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GDrive\Obsidian Vault\Pós-Graduação - FNAT\Modulo 1\4  Case Health Insurance\"/>
    </mc:Choice>
  </mc:AlternateContent>
  <xr:revisionPtr revIDLastSave="0" documentId="13_ncr:1_{E103F20B-3E6C-43E4-AFF3-3BEF1E02661B}" xr6:coauthVersionLast="47" xr6:coauthVersionMax="47" xr10:uidLastSave="{00000000-0000-0000-0000-000000000000}"/>
  <bookViews>
    <workbookView xWindow="-120" yWindow="-120" windowWidth="38640" windowHeight="21120" xr2:uid="{F4CF11F1-1644-4067-978A-AA41CCE67263}"/>
  </bookViews>
  <sheets>
    <sheet name="Base Clientes" sheetId="1" r:id="rId1"/>
    <sheet name="Clusterização com Python" sheetId="3" r:id="rId2"/>
    <sheet name="Base_Clusterizada" sheetId="15" r:id="rId3"/>
    <sheet name="Quanto Cobrar" sheetId="18" r:id="rId4"/>
    <sheet name="Planilha1" sheetId="19" r:id="rId5"/>
  </sheets>
  <definedNames>
    <definedName name="_xlnm._FilterDatabase" localSheetId="0" hidden="1">'Base Clientes'!$A$1:$H$1339</definedName>
    <definedName name="_xlnm._FilterDatabase" localSheetId="3" hidden="1">'Quanto Cobrar'!$A$1:$L$1339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O8" i="18" l="1"/>
  <c r="N8" i="18"/>
  <c r="L3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L342" i="18"/>
  <c r="L343" i="18"/>
  <c r="L344" i="18"/>
  <c r="L345" i="18"/>
  <c r="L346" i="18"/>
  <c r="L347" i="18"/>
  <c r="L348" i="18"/>
  <c r="L349" i="18"/>
  <c r="L350" i="18"/>
  <c r="L351" i="18"/>
  <c r="L352" i="18"/>
  <c r="L353" i="18"/>
  <c r="L354" i="18"/>
  <c r="L355" i="18"/>
  <c r="L356" i="18"/>
  <c r="L357" i="18"/>
  <c r="L358" i="18"/>
  <c r="L359" i="18"/>
  <c r="L360" i="18"/>
  <c r="L361" i="18"/>
  <c r="L362" i="18"/>
  <c r="L363" i="18"/>
  <c r="L364" i="18"/>
  <c r="L365" i="18"/>
  <c r="L366" i="18"/>
  <c r="L367" i="18"/>
  <c r="L368" i="18"/>
  <c r="L369" i="18"/>
  <c r="L370" i="18"/>
  <c r="L371" i="18"/>
  <c r="L372" i="18"/>
  <c r="L373" i="18"/>
  <c r="L374" i="18"/>
  <c r="L375" i="18"/>
  <c r="L376" i="18"/>
  <c r="L377" i="18"/>
  <c r="L378" i="18"/>
  <c r="L379" i="18"/>
  <c r="L380" i="18"/>
  <c r="L381" i="18"/>
  <c r="L382" i="18"/>
  <c r="L383" i="18"/>
  <c r="L384" i="18"/>
  <c r="L385" i="18"/>
  <c r="L386" i="18"/>
  <c r="L387" i="18"/>
  <c r="L388" i="18"/>
  <c r="L389" i="18"/>
  <c r="L390" i="18"/>
  <c r="L391" i="18"/>
  <c r="L392" i="18"/>
  <c r="L393" i="18"/>
  <c r="L394" i="18"/>
  <c r="L395" i="18"/>
  <c r="L396" i="18"/>
  <c r="L397" i="18"/>
  <c r="L398" i="18"/>
  <c r="L399" i="18"/>
  <c r="L400" i="18"/>
  <c r="L401" i="18"/>
  <c r="L402" i="18"/>
  <c r="L403" i="18"/>
  <c r="L404" i="18"/>
  <c r="L405" i="18"/>
  <c r="L406" i="18"/>
  <c r="L407" i="18"/>
  <c r="L408" i="18"/>
  <c r="L409" i="18"/>
  <c r="L410" i="18"/>
  <c r="L411" i="18"/>
  <c r="L412" i="18"/>
  <c r="L413" i="18"/>
  <c r="L414" i="18"/>
  <c r="L415" i="18"/>
  <c r="L416" i="18"/>
  <c r="L417" i="18"/>
  <c r="L418" i="18"/>
  <c r="L419" i="18"/>
  <c r="L420" i="18"/>
  <c r="L421" i="18"/>
  <c r="L422" i="18"/>
  <c r="L423" i="18"/>
  <c r="L424" i="18"/>
  <c r="L425" i="18"/>
  <c r="L426" i="18"/>
  <c r="L427" i="18"/>
  <c r="L428" i="18"/>
  <c r="L429" i="18"/>
  <c r="L430" i="18"/>
  <c r="L431" i="18"/>
  <c r="L432" i="18"/>
  <c r="L433" i="18"/>
  <c r="L434" i="18"/>
  <c r="L435" i="18"/>
  <c r="L436" i="18"/>
  <c r="L437" i="18"/>
  <c r="L438" i="18"/>
  <c r="L439" i="18"/>
  <c r="L440" i="18"/>
  <c r="L441" i="18"/>
  <c r="L442" i="18"/>
  <c r="L443" i="18"/>
  <c r="L444" i="18"/>
  <c r="L445" i="18"/>
  <c r="L446" i="18"/>
  <c r="L447" i="18"/>
  <c r="L448" i="18"/>
  <c r="L449" i="18"/>
  <c r="L450" i="18"/>
  <c r="L451" i="18"/>
  <c r="L452" i="18"/>
  <c r="L453" i="18"/>
  <c r="L454" i="18"/>
  <c r="L455" i="18"/>
  <c r="L456" i="18"/>
  <c r="L457" i="18"/>
  <c r="L458" i="18"/>
  <c r="L459" i="18"/>
  <c r="L460" i="18"/>
  <c r="L461" i="18"/>
  <c r="L462" i="18"/>
  <c r="L463" i="18"/>
  <c r="L464" i="18"/>
  <c r="L465" i="18"/>
  <c r="L466" i="18"/>
  <c r="L467" i="18"/>
  <c r="L468" i="18"/>
  <c r="L469" i="18"/>
  <c r="L470" i="18"/>
  <c r="L471" i="18"/>
  <c r="L472" i="18"/>
  <c r="L473" i="18"/>
  <c r="L474" i="18"/>
  <c r="L475" i="18"/>
  <c r="L476" i="18"/>
  <c r="L477" i="18"/>
  <c r="L478" i="18"/>
  <c r="L479" i="18"/>
  <c r="L480" i="18"/>
  <c r="L481" i="18"/>
  <c r="L482" i="18"/>
  <c r="L483" i="18"/>
  <c r="L484" i="18"/>
  <c r="L485" i="18"/>
  <c r="L486" i="18"/>
  <c r="L487" i="18"/>
  <c r="L488" i="18"/>
  <c r="L489" i="18"/>
  <c r="L490" i="18"/>
  <c r="L491" i="18"/>
  <c r="L492" i="18"/>
  <c r="L493" i="18"/>
  <c r="L494" i="18"/>
  <c r="L495" i="18"/>
  <c r="L496" i="18"/>
  <c r="L497" i="18"/>
  <c r="L498" i="18"/>
  <c r="L499" i="18"/>
  <c r="L500" i="18"/>
  <c r="L501" i="18"/>
  <c r="L502" i="18"/>
  <c r="L503" i="18"/>
  <c r="L504" i="18"/>
  <c r="L505" i="18"/>
  <c r="L506" i="18"/>
  <c r="L507" i="18"/>
  <c r="L508" i="18"/>
  <c r="L509" i="18"/>
  <c r="L510" i="18"/>
  <c r="L511" i="18"/>
  <c r="L512" i="18"/>
  <c r="L513" i="18"/>
  <c r="L514" i="18"/>
  <c r="L515" i="18"/>
  <c r="L516" i="18"/>
  <c r="L517" i="18"/>
  <c r="L518" i="18"/>
  <c r="L519" i="18"/>
  <c r="L520" i="18"/>
  <c r="L521" i="18"/>
  <c r="L522" i="18"/>
  <c r="L523" i="18"/>
  <c r="L524" i="18"/>
  <c r="L525" i="18"/>
  <c r="L526" i="18"/>
  <c r="L527" i="18"/>
  <c r="L528" i="18"/>
  <c r="L529" i="18"/>
  <c r="L530" i="18"/>
  <c r="L531" i="18"/>
  <c r="L532" i="18"/>
  <c r="L533" i="18"/>
  <c r="L534" i="18"/>
  <c r="L535" i="18"/>
  <c r="L536" i="18"/>
  <c r="L537" i="18"/>
  <c r="L538" i="18"/>
  <c r="L539" i="18"/>
  <c r="L540" i="18"/>
  <c r="L541" i="18"/>
  <c r="L542" i="18"/>
  <c r="L543" i="18"/>
  <c r="L544" i="18"/>
  <c r="L545" i="18"/>
  <c r="L546" i="18"/>
  <c r="L547" i="18"/>
  <c r="L548" i="18"/>
  <c r="L549" i="18"/>
  <c r="L550" i="18"/>
  <c r="L551" i="18"/>
  <c r="L552" i="18"/>
  <c r="L553" i="18"/>
  <c r="L554" i="18"/>
  <c r="L555" i="18"/>
  <c r="L556" i="18"/>
  <c r="L557" i="18"/>
  <c r="L558" i="18"/>
  <c r="L559" i="18"/>
  <c r="L560" i="18"/>
  <c r="L561" i="18"/>
  <c r="L562" i="18"/>
  <c r="L563" i="18"/>
  <c r="L564" i="18"/>
  <c r="L565" i="18"/>
  <c r="L566" i="18"/>
  <c r="L567" i="18"/>
  <c r="L568" i="18"/>
  <c r="L569" i="18"/>
  <c r="L570" i="18"/>
  <c r="L571" i="18"/>
  <c r="L572" i="18"/>
  <c r="L573" i="18"/>
  <c r="L574" i="18"/>
  <c r="L575" i="18"/>
  <c r="L576" i="18"/>
  <c r="L577" i="18"/>
  <c r="L578" i="18"/>
  <c r="L579" i="18"/>
  <c r="L580" i="18"/>
  <c r="L581" i="18"/>
  <c r="L582" i="18"/>
  <c r="L583" i="18"/>
  <c r="L584" i="18"/>
  <c r="L585" i="18"/>
  <c r="L586" i="18"/>
  <c r="L587" i="18"/>
  <c r="L588" i="18"/>
  <c r="L589" i="18"/>
  <c r="L590" i="18"/>
  <c r="L591" i="18"/>
  <c r="L592" i="18"/>
  <c r="L593" i="18"/>
  <c r="L594" i="18"/>
  <c r="L595" i="18"/>
  <c r="L596" i="18"/>
  <c r="L597" i="18"/>
  <c r="L598" i="18"/>
  <c r="L599" i="18"/>
  <c r="L600" i="18"/>
  <c r="L601" i="18"/>
  <c r="L602" i="18"/>
  <c r="L603" i="18"/>
  <c r="L604" i="18"/>
  <c r="L605" i="18"/>
  <c r="L606" i="18"/>
  <c r="L607" i="18"/>
  <c r="L608" i="18"/>
  <c r="L609" i="18"/>
  <c r="L610" i="18"/>
  <c r="L611" i="18"/>
  <c r="L612" i="18"/>
  <c r="L613" i="18"/>
  <c r="L614" i="18"/>
  <c r="L615" i="18"/>
  <c r="L616" i="18"/>
  <c r="L617" i="18"/>
  <c r="L618" i="18"/>
  <c r="L619" i="18"/>
  <c r="L620" i="18"/>
  <c r="L621" i="18"/>
  <c r="L622" i="18"/>
  <c r="L623" i="18"/>
  <c r="L624" i="18"/>
  <c r="L625" i="18"/>
  <c r="L626" i="18"/>
  <c r="L627" i="18"/>
  <c r="L628" i="18"/>
  <c r="L629" i="18"/>
  <c r="L630" i="18"/>
  <c r="L631" i="18"/>
  <c r="L632" i="18"/>
  <c r="L633" i="18"/>
  <c r="L634" i="18"/>
  <c r="L635" i="18"/>
  <c r="L636" i="18"/>
  <c r="L637" i="18"/>
  <c r="L638" i="18"/>
  <c r="L639" i="18"/>
  <c r="L640" i="18"/>
  <c r="L641" i="18"/>
  <c r="L642" i="18"/>
  <c r="L643" i="18"/>
  <c r="L644" i="18"/>
  <c r="L645" i="18"/>
  <c r="L646" i="18"/>
  <c r="L647" i="18"/>
  <c r="L648" i="18"/>
  <c r="L649" i="18"/>
  <c r="L650" i="18"/>
  <c r="L651" i="18"/>
  <c r="L652" i="18"/>
  <c r="L653" i="18"/>
  <c r="L654" i="18"/>
  <c r="L655" i="18"/>
  <c r="L656" i="18"/>
  <c r="L657" i="18"/>
  <c r="L658" i="18"/>
  <c r="L659" i="18"/>
  <c r="L660" i="18"/>
  <c r="L661" i="18"/>
  <c r="L662" i="18"/>
  <c r="L663" i="18"/>
  <c r="L664" i="18"/>
  <c r="L665" i="18"/>
  <c r="L666" i="18"/>
  <c r="L667" i="18"/>
  <c r="L668" i="18"/>
  <c r="L669" i="18"/>
  <c r="L670" i="18"/>
  <c r="L671" i="18"/>
  <c r="L672" i="18"/>
  <c r="L673" i="18"/>
  <c r="L674" i="18"/>
  <c r="L675" i="18"/>
  <c r="L676" i="18"/>
  <c r="L677" i="18"/>
  <c r="L678" i="18"/>
  <c r="L679" i="18"/>
  <c r="L680" i="18"/>
  <c r="L681" i="18"/>
  <c r="L682" i="18"/>
  <c r="L683" i="18"/>
  <c r="L684" i="18"/>
  <c r="L685" i="18"/>
  <c r="L686" i="18"/>
  <c r="L687" i="18"/>
  <c r="L688" i="18"/>
  <c r="L689" i="18"/>
  <c r="L690" i="18"/>
  <c r="L691" i="18"/>
  <c r="L692" i="18"/>
  <c r="L693" i="18"/>
  <c r="L694" i="18"/>
  <c r="L695" i="18"/>
  <c r="L696" i="18"/>
  <c r="L697" i="18"/>
  <c r="L698" i="18"/>
  <c r="L699" i="18"/>
  <c r="L700" i="18"/>
  <c r="L701" i="18"/>
  <c r="L702" i="18"/>
  <c r="L703" i="18"/>
  <c r="L704" i="18"/>
  <c r="L705" i="18"/>
  <c r="L706" i="18"/>
  <c r="L707" i="18"/>
  <c r="L708" i="18"/>
  <c r="L709" i="18"/>
  <c r="L710" i="18"/>
  <c r="L711" i="18"/>
  <c r="L712" i="18"/>
  <c r="L713" i="18"/>
  <c r="L714" i="18"/>
  <c r="L715" i="18"/>
  <c r="L716" i="18"/>
  <c r="L717" i="18"/>
  <c r="L718" i="18"/>
  <c r="L719" i="18"/>
  <c r="L720" i="18"/>
  <c r="L721" i="18"/>
  <c r="L722" i="18"/>
  <c r="L723" i="18"/>
  <c r="L724" i="18"/>
  <c r="L725" i="18"/>
  <c r="L726" i="18"/>
  <c r="L727" i="18"/>
  <c r="L728" i="18"/>
  <c r="L729" i="18"/>
  <c r="L730" i="18"/>
  <c r="L731" i="18"/>
  <c r="L732" i="18"/>
  <c r="L733" i="18"/>
  <c r="L734" i="18"/>
  <c r="L735" i="18"/>
  <c r="L736" i="18"/>
  <c r="L737" i="18"/>
  <c r="L738" i="18"/>
  <c r="L739" i="18"/>
  <c r="L740" i="18"/>
  <c r="L741" i="18"/>
  <c r="L742" i="18"/>
  <c r="L743" i="18"/>
  <c r="L744" i="18"/>
  <c r="L745" i="18"/>
  <c r="L746" i="18"/>
  <c r="L747" i="18"/>
  <c r="L748" i="18"/>
  <c r="L749" i="18"/>
  <c r="L750" i="18"/>
  <c r="L751" i="18"/>
  <c r="L752" i="18"/>
  <c r="L753" i="18"/>
  <c r="L754" i="18"/>
  <c r="L755" i="18"/>
  <c r="L756" i="18"/>
  <c r="L757" i="18"/>
  <c r="L758" i="18"/>
  <c r="L759" i="18"/>
  <c r="L760" i="18"/>
  <c r="L761" i="18"/>
  <c r="L762" i="18"/>
  <c r="L763" i="18"/>
  <c r="L764" i="18"/>
  <c r="L765" i="18"/>
  <c r="L766" i="18"/>
  <c r="L767" i="18"/>
  <c r="L768" i="18"/>
  <c r="L769" i="18"/>
  <c r="L770" i="18"/>
  <c r="L771" i="18"/>
  <c r="L772" i="18"/>
  <c r="L773" i="18"/>
  <c r="L774" i="18"/>
  <c r="L775" i="18"/>
  <c r="L776" i="18"/>
  <c r="L777" i="18"/>
  <c r="L778" i="18"/>
  <c r="L779" i="18"/>
  <c r="L780" i="18"/>
  <c r="L781" i="18"/>
  <c r="L782" i="18"/>
  <c r="L783" i="18"/>
  <c r="L784" i="18"/>
  <c r="L785" i="18"/>
  <c r="L786" i="18"/>
  <c r="L787" i="18"/>
  <c r="L788" i="18"/>
  <c r="L789" i="18"/>
  <c r="L790" i="18"/>
  <c r="L791" i="18"/>
  <c r="L792" i="18"/>
  <c r="L793" i="18"/>
  <c r="L794" i="18"/>
  <c r="L795" i="18"/>
  <c r="L796" i="18"/>
  <c r="L797" i="18"/>
  <c r="L798" i="18"/>
  <c r="L799" i="18"/>
  <c r="L800" i="18"/>
  <c r="L801" i="18"/>
  <c r="L802" i="18"/>
  <c r="L803" i="18"/>
  <c r="L804" i="18"/>
  <c r="L805" i="18"/>
  <c r="L806" i="18"/>
  <c r="L807" i="18"/>
  <c r="L808" i="18"/>
  <c r="L809" i="18"/>
  <c r="L810" i="18"/>
  <c r="L811" i="18"/>
  <c r="L812" i="18"/>
  <c r="L813" i="18"/>
  <c r="L814" i="18"/>
  <c r="L815" i="18"/>
  <c r="L816" i="18"/>
  <c r="L817" i="18"/>
  <c r="L818" i="18"/>
  <c r="L819" i="18"/>
  <c r="L820" i="18"/>
  <c r="L821" i="18"/>
  <c r="L822" i="18"/>
  <c r="L823" i="18"/>
  <c r="L824" i="18"/>
  <c r="L825" i="18"/>
  <c r="L826" i="18"/>
  <c r="L827" i="18"/>
  <c r="L828" i="18"/>
  <c r="L829" i="18"/>
  <c r="L830" i="18"/>
  <c r="L831" i="18"/>
  <c r="L832" i="18"/>
  <c r="L833" i="18"/>
  <c r="L834" i="18"/>
  <c r="L835" i="18"/>
  <c r="L836" i="18"/>
  <c r="L837" i="18"/>
  <c r="L838" i="18"/>
  <c r="L839" i="18"/>
  <c r="L840" i="18"/>
  <c r="L841" i="18"/>
  <c r="L842" i="18"/>
  <c r="L843" i="18"/>
  <c r="L844" i="18"/>
  <c r="L845" i="18"/>
  <c r="L846" i="18"/>
  <c r="L847" i="18"/>
  <c r="L848" i="18"/>
  <c r="L849" i="18"/>
  <c r="L850" i="18"/>
  <c r="L851" i="18"/>
  <c r="L852" i="18"/>
  <c r="L853" i="18"/>
  <c r="L854" i="18"/>
  <c r="L855" i="18"/>
  <c r="L856" i="18"/>
  <c r="L857" i="18"/>
  <c r="L858" i="18"/>
  <c r="L859" i="18"/>
  <c r="L860" i="18"/>
  <c r="L861" i="18"/>
  <c r="L862" i="18"/>
  <c r="L863" i="18"/>
  <c r="L864" i="18"/>
  <c r="L865" i="18"/>
  <c r="L866" i="18"/>
  <c r="L867" i="18"/>
  <c r="L868" i="18"/>
  <c r="L869" i="18"/>
  <c r="L870" i="18"/>
  <c r="L871" i="18"/>
  <c r="L872" i="18"/>
  <c r="L873" i="18"/>
  <c r="L874" i="18"/>
  <c r="L875" i="18"/>
  <c r="L876" i="18"/>
  <c r="L877" i="18"/>
  <c r="L878" i="18"/>
  <c r="L879" i="18"/>
  <c r="L880" i="18"/>
  <c r="L881" i="18"/>
  <c r="L882" i="18"/>
  <c r="L883" i="18"/>
  <c r="L884" i="18"/>
  <c r="L885" i="18"/>
  <c r="L886" i="18"/>
  <c r="L887" i="18"/>
  <c r="L888" i="18"/>
  <c r="L889" i="18"/>
  <c r="L890" i="18"/>
  <c r="L891" i="18"/>
  <c r="L892" i="18"/>
  <c r="L893" i="18"/>
  <c r="L894" i="18"/>
  <c r="L895" i="18"/>
  <c r="L896" i="18"/>
  <c r="L897" i="18"/>
  <c r="L898" i="18"/>
  <c r="L899" i="18"/>
  <c r="L900" i="18"/>
  <c r="L901" i="18"/>
  <c r="L902" i="18"/>
  <c r="L903" i="18"/>
  <c r="L904" i="18"/>
  <c r="L905" i="18"/>
  <c r="L906" i="18"/>
  <c r="L907" i="18"/>
  <c r="L908" i="18"/>
  <c r="L909" i="18"/>
  <c r="L910" i="18"/>
  <c r="L911" i="18"/>
  <c r="L912" i="18"/>
  <c r="L913" i="18"/>
  <c r="L914" i="18"/>
  <c r="L915" i="18"/>
  <c r="L916" i="18"/>
  <c r="L917" i="18"/>
  <c r="L918" i="18"/>
  <c r="L919" i="18"/>
  <c r="L920" i="18"/>
  <c r="L921" i="18"/>
  <c r="L922" i="18"/>
  <c r="L923" i="18"/>
  <c r="L924" i="18"/>
  <c r="L925" i="18"/>
  <c r="L926" i="18"/>
  <c r="L927" i="18"/>
  <c r="L928" i="18"/>
  <c r="L929" i="18"/>
  <c r="L930" i="18"/>
  <c r="L931" i="18"/>
  <c r="L932" i="18"/>
  <c r="L933" i="18"/>
  <c r="L934" i="18"/>
  <c r="L935" i="18"/>
  <c r="L936" i="18"/>
  <c r="L937" i="18"/>
  <c r="L938" i="18"/>
  <c r="L939" i="18"/>
  <c r="L940" i="18"/>
  <c r="L941" i="18"/>
  <c r="L942" i="18"/>
  <c r="L943" i="18"/>
  <c r="L944" i="18"/>
  <c r="L945" i="18"/>
  <c r="L946" i="18"/>
  <c r="L947" i="18"/>
  <c r="L948" i="18"/>
  <c r="L949" i="18"/>
  <c r="L950" i="18"/>
  <c r="L951" i="18"/>
  <c r="L952" i="18"/>
  <c r="L953" i="18"/>
  <c r="L954" i="18"/>
  <c r="L955" i="18"/>
  <c r="L956" i="18"/>
  <c r="L957" i="18"/>
  <c r="L958" i="18"/>
  <c r="L959" i="18"/>
  <c r="L960" i="18"/>
  <c r="L961" i="18"/>
  <c r="L962" i="18"/>
  <c r="L963" i="18"/>
  <c r="L964" i="18"/>
  <c r="L965" i="18"/>
  <c r="L966" i="18"/>
  <c r="L967" i="18"/>
  <c r="L968" i="18"/>
  <c r="L969" i="18"/>
  <c r="L970" i="18"/>
  <c r="L971" i="18"/>
  <c r="L972" i="18"/>
  <c r="L973" i="18"/>
  <c r="L974" i="18"/>
  <c r="L975" i="18"/>
  <c r="L976" i="18"/>
  <c r="L977" i="18"/>
  <c r="L978" i="18"/>
  <c r="L979" i="18"/>
  <c r="L980" i="18"/>
  <c r="L981" i="18"/>
  <c r="L982" i="18"/>
  <c r="L983" i="18"/>
  <c r="L984" i="18"/>
  <c r="L985" i="18"/>
  <c r="L986" i="18"/>
  <c r="L987" i="18"/>
  <c r="L988" i="18"/>
  <c r="L989" i="18"/>
  <c r="L990" i="18"/>
  <c r="L991" i="18"/>
  <c r="L992" i="18"/>
  <c r="L993" i="18"/>
  <c r="L994" i="18"/>
  <c r="L995" i="18"/>
  <c r="L996" i="18"/>
  <c r="L997" i="18"/>
  <c r="L998" i="18"/>
  <c r="L999" i="18"/>
  <c r="L1000" i="18"/>
  <c r="L1001" i="18"/>
  <c r="L1002" i="18"/>
  <c r="L1003" i="18"/>
  <c r="L1004" i="18"/>
  <c r="L1005" i="18"/>
  <c r="L1006" i="18"/>
  <c r="L1007" i="18"/>
  <c r="L1008" i="18"/>
  <c r="L1009" i="18"/>
  <c r="L1010" i="18"/>
  <c r="L1011" i="18"/>
  <c r="L1012" i="18"/>
  <c r="L1013" i="18"/>
  <c r="L1014" i="18"/>
  <c r="L1015" i="18"/>
  <c r="L1016" i="18"/>
  <c r="L1017" i="18"/>
  <c r="L1018" i="18"/>
  <c r="L1019" i="18"/>
  <c r="L1020" i="18"/>
  <c r="L1021" i="18"/>
  <c r="L1022" i="18"/>
  <c r="L1023" i="18"/>
  <c r="L1024" i="18"/>
  <c r="L1025" i="18"/>
  <c r="L1026" i="18"/>
  <c r="L1027" i="18"/>
  <c r="L1028" i="18"/>
  <c r="L1029" i="18"/>
  <c r="L1030" i="18"/>
  <c r="L1031" i="18"/>
  <c r="L1032" i="18"/>
  <c r="L1033" i="18"/>
  <c r="L1034" i="18"/>
  <c r="L1035" i="18"/>
  <c r="L1036" i="18"/>
  <c r="L1037" i="18"/>
  <c r="L1038" i="18"/>
  <c r="L1039" i="18"/>
  <c r="L1040" i="18"/>
  <c r="L1041" i="18"/>
  <c r="L1042" i="18"/>
  <c r="L1043" i="18"/>
  <c r="L1044" i="18"/>
  <c r="L1045" i="18"/>
  <c r="L1046" i="18"/>
  <c r="L1047" i="18"/>
  <c r="L1048" i="18"/>
  <c r="L1049" i="18"/>
  <c r="L1050" i="18"/>
  <c r="L1051" i="18"/>
  <c r="L1052" i="18"/>
  <c r="L1053" i="18"/>
  <c r="L1054" i="18"/>
  <c r="L1055" i="18"/>
  <c r="L1056" i="18"/>
  <c r="L1057" i="18"/>
  <c r="L1058" i="18"/>
  <c r="L1059" i="18"/>
  <c r="L1060" i="18"/>
  <c r="L1061" i="18"/>
  <c r="L1062" i="18"/>
  <c r="L1063" i="18"/>
  <c r="L1064" i="18"/>
  <c r="L1065" i="18"/>
  <c r="L1066" i="18"/>
  <c r="L1067" i="18"/>
  <c r="L1068" i="18"/>
  <c r="L1069" i="18"/>
  <c r="L1070" i="18"/>
  <c r="L1071" i="18"/>
  <c r="L1072" i="18"/>
  <c r="L1073" i="18"/>
  <c r="L1074" i="18"/>
  <c r="L1075" i="18"/>
  <c r="L1076" i="18"/>
  <c r="L1077" i="18"/>
  <c r="L1078" i="18"/>
  <c r="L1079" i="18"/>
  <c r="L1080" i="18"/>
  <c r="L1081" i="18"/>
  <c r="L1082" i="18"/>
  <c r="L1083" i="18"/>
  <c r="L1084" i="18"/>
  <c r="L1085" i="18"/>
  <c r="L1086" i="18"/>
  <c r="L1087" i="18"/>
  <c r="L1088" i="18"/>
  <c r="L1089" i="18"/>
  <c r="L1090" i="18"/>
  <c r="L1091" i="18"/>
  <c r="L1092" i="18"/>
  <c r="L1093" i="18"/>
  <c r="L1094" i="18"/>
  <c r="L1095" i="18"/>
  <c r="L1096" i="18"/>
  <c r="L1097" i="18"/>
  <c r="L1098" i="18"/>
  <c r="L1099" i="18"/>
  <c r="L1100" i="18"/>
  <c r="L1101" i="18"/>
  <c r="L1102" i="18"/>
  <c r="L1103" i="18"/>
  <c r="L1104" i="18"/>
  <c r="L1105" i="18"/>
  <c r="L1106" i="18"/>
  <c r="L1107" i="18"/>
  <c r="L1108" i="18"/>
  <c r="L1109" i="18"/>
  <c r="L1110" i="18"/>
  <c r="L1111" i="18"/>
  <c r="L1112" i="18"/>
  <c r="L1113" i="18"/>
  <c r="L1114" i="18"/>
  <c r="L1115" i="18"/>
  <c r="L1116" i="18"/>
  <c r="L1117" i="18"/>
  <c r="L1118" i="18"/>
  <c r="L1119" i="18"/>
  <c r="L1120" i="18"/>
  <c r="L1121" i="18"/>
  <c r="L1122" i="18"/>
  <c r="L1123" i="18"/>
  <c r="L1124" i="18"/>
  <c r="L1125" i="18"/>
  <c r="L1126" i="18"/>
  <c r="L1127" i="18"/>
  <c r="L1128" i="18"/>
  <c r="L1129" i="18"/>
  <c r="L1130" i="18"/>
  <c r="L1131" i="18"/>
  <c r="L1132" i="18"/>
  <c r="L1133" i="18"/>
  <c r="L1134" i="18"/>
  <c r="L1135" i="18"/>
  <c r="L1136" i="18"/>
  <c r="L1137" i="18"/>
  <c r="L1138" i="18"/>
  <c r="L1139" i="18"/>
  <c r="L1140" i="18"/>
  <c r="L1141" i="18"/>
  <c r="L1142" i="18"/>
  <c r="L1143" i="18"/>
  <c r="L1144" i="18"/>
  <c r="L1145" i="18"/>
  <c r="L1146" i="18"/>
  <c r="L1147" i="18"/>
  <c r="L1148" i="18"/>
  <c r="L1149" i="18"/>
  <c r="L1150" i="18"/>
  <c r="L1151" i="18"/>
  <c r="L1152" i="18"/>
  <c r="L1153" i="18"/>
  <c r="L1154" i="18"/>
  <c r="L1155" i="18"/>
  <c r="L1156" i="18"/>
  <c r="L1157" i="18"/>
  <c r="L1158" i="18"/>
  <c r="L1159" i="18"/>
  <c r="L1160" i="18"/>
  <c r="L1161" i="18"/>
  <c r="L1162" i="18"/>
  <c r="L1163" i="18"/>
  <c r="L1164" i="18"/>
  <c r="L1165" i="18"/>
  <c r="L1166" i="18"/>
  <c r="L1167" i="18"/>
  <c r="L1168" i="18"/>
  <c r="L1169" i="18"/>
  <c r="L1170" i="18"/>
  <c r="L1171" i="18"/>
  <c r="L1172" i="18"/>
  <c r="L1173" i="18"/>
  <c r="L1174" i="18"/>
  <c r="L1175" i="18"/>
  <c r="L1176" i="18"/>
  <c r="L1177" i="18"/>
  <c r="L1178" i="18"/>
  <c r="L1179" i="18"/>
  <c r="L1180" i="18"/>
  <c r="L1181" i="18"/>
  <c r="L1182" i="18"/>
  <c r="L1183" i="18"/>
  <c r="L1184" i="18"/>
  <c r="L1185" i="18"/>
  <c r="L1186" i="18"/>
  <c r="L1187" i="18"/>
  <c r="L1188" i="18"/>
  <c r="L1189" i="18"/>
  <c r="L1190" i="18"/>
  <c r="L1191" i="18"/>
  <c r="L1192" i="18"/>
  <c r="L1193" i="18"/>
  <c r="L1194" i="18"/>
  <c r="L1195" i="18"/>
  <c r="L1196" i="18"/>
  <c r="L1197" i="18"/>
  <c r="L1198" i="18"/>
  <c r="L1199" i="18"/>
  <c r="L1200" i="18"/>
  <c r="L1201" i="18"/>
  <c r="L1202" i="18"/>
  <c r="L1203" i="18"/>
  <c r="L1204" i="18"/>
  <c r="L1205" i="18"/>
  <c r="L1206" i="18"/>
  <c r="L1207" i="18"/>
  <c r="L1208" i="18"/>
  <c r="L1209" i="18"/>
  <c r="L1210" i="18"/>
  <c r="L1211" i="18"/>
  <c r="L1212" i="18"/>
  <c r="L1213" i="18"/>
  <c r="L1214" i="18"/>
  <c r="L1215" i="18"/>
  <c r="L1216" i="18"/>
  <c r="L1217" i="18"/>
  <c r="L1218" i="18"/>
  <c r="L1219" i="18"/>
  <c r="L1220" i="18"/>
  <c r="L1221" i="18"/>
  <c r="L1222" i="18"/>
  <c r="L1223" i="18"/>
  <c r="L1224" i="18"/>
  <c r="L1225" i="18"/>
  <c r="L1226" i="18"/>
  <c r="L1227" i="18"/>
  <c r="L1228" i="18"/>
  <c r="L1229" i="18"/>
  <c r="L1230" i="18"/>
  <c r="L1231" i="18"/>
  <c r="L1232" i="18"/>
  <c r="L1233" i="18"/>
  <c r="L1234" i="18"/>
  <c r="L1235" i="18"/>
  <c r="L1236" i="18"/>
  <c r="L1237" i="18"/>
  <c r="L1238" i="18"/>
  <c r="L1239" i="18"/>
  <c r="L1240" i="18"/>
  <c r="L1241" i="18"/>
  <c r="L1242" i="18"/>
  <c r="L1243" i="18"/>
  <c r="L1244" i="18"/>
  <c r="L1245" i="18"/>
  <c r="L1246" i="18"/>
  <c r="L1247" i="18"/>
  <c r="L1248" i="18"/>
  <c r="L1249" i="18"/>
  <c r="L1250" i="18"/>
  <c r="L1251" i="18"/>
  <c r="L1252" i="18"/>
  <c r="L1253" i="18"/>
  <c r="L1254" i="18"/>
  <c r="L1255" i="18"/>
  <c r="L1256" i="18"/>
  <c r="L1257" i="18"/>
  <c r="L1258" i="18"/>
  <c r="L1259" i="18"/>
  <c r="L1260" i="18"/>
  <c r="L1261" i="18"/>
  <c r="L1262" i="18"/>
  <c r="L1263" i="18"/>
  <c r="L1264" i="18"/>
  <c r="L1265" i="18"/>
  <c r="L1266" i="18"/>
  <c r="L1267" i="18"/>
  <c r="L1268" i="18"/>
  <c r="L1269" i="18"/>
  <c r="L1270" i="18"/>
  <c r="L1271" i="18"/>
  <c r="L1272" i="18"/>
  <c r="L1273" i="18"/>
  <c r="L1274" i="18"/>
  <c r="L1275" i="18"/>
  <c r="L1276" i="18"/>
  <c r="L1277" i="18"/>
  <c r="L1278" i="18"/>
  <c r="L1279" i="18"/>
  <c r="L1280" i="18"/>
  <c r="L1281" i="18"/>
  <c r="L1282" i="18"/>
  <c r="L1283" i="18"/>
  <c r="L1284" i="18"/>
  <c r="L1285" i="18"/>
  <c r="L1286" i="18"/>
  <c r="L1287" i="18"/>
  <c r="L1288" i="18"/>
  <c r="L1289" i="18"/>
  <c r="L1290" i="18"/>
  <c r="L1291" i="18"/>
  <c r="L1292" i="18"/>
  <c r="L1293" i="18"/>
  <c r="L1294" i="18"/>
  <c r="L1295" i="18"/>
  <c r="L1296" i="18"/>
  <c r="L1297" i="18"/>
  <c r="L1298" i="18"/>
  <c r="L1299" i="18"/>
  <c r="L1300" i="18"/>
  <c r="L1301" i="18"/>
  <c r="L1302" i="18"/>
  <c r="L1303" i="18"/>
  <c r="L1304" i="18"/>
  <c r="L1305" i="18"/>
  <c r="L1306" i="18"/>
  <c r="L1307" i="18"/>
  <c r="L1308" i="18"/>
  <c r="L1309" i="18"/>
  <c r="L1310" i="18"/>
  <c r="L1311" i="18"/>
  <c r="L1312" i="18"/>
  <c r="L1313" i="18"/>
  <c r="L1314" i="18"/>
  <c r="L1315" i="18"/>
  <c r="L1316" i="18"/>
  <c r="L1317" i="18"/>
  <c r="L1318" i="18"/>
  <c r="L1319" i="18"/>
  <c r="L1320" i="18"/>
  <c r="L1321" i="18"/>
  <c r="L1322" i="18"/>
  <c r="L1323" i="18"/>
  <c r="L1324" i="18"/>
  <c r="L1325" i="18"/>
  <c r="L1326" i="18"/>
  <c r="L1327" i="18"/>
  <c r="L1328" i="18"/>
  <c r="L1329" i="18"/>
  <c r="L1330" i="18"/>
  <c r="L1331" i="18"/>
  <c r="L1332" i="18"/>
  <c r="L1333" i="18"/>
  <c r="L1334" i="18"/>
  <c r="L1335" i="18"/>
  <c r="L1336" i="18"/>
  <c r="L1337" i="18"/>
  <c r="L1338" i="18"/>
  <c r="L1339" i="18"/>
  <c r="L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K182" i="18"/>
  <c r="K183" i="18"/>
  <c r="K184" i="18"/>
  <c r="K185" i="18"/>
  <c r="K186" i="18"/>
  <c r="K187" i="18"/>
  <c r="K188" i="18"/>
  <c r="K189" i="18"/>
  <c r="K190" i="18"/>
  <c r="K191" i="18"/>
  <c r="K192" i="18"/>
  <c r="K193" i="18"/>
  <c r="K194" i="18"/>
  <c r="K195" i="18"/>
  <c r="K196" i="18"/>
  <c r="K197" i="18"/>
  <c r="K198" i="18"/>
  <c r="K199" i="18"/>
  <c r="K200" i="18"/>
  <c r="K201" i="18"/>
  <c r="K202" i="18"/>
  <c r="K203" i="18"/>
  <c r="K204" i="18"/>
  <c r="K205" i="18"/>
  <c r="K206" i="18"/>
  <c r="K207" i="18"/>
  <c r="K208" i="18"/>
  <c r="K209" i="18"/>
  <c r="K210" i="18"/>
  <c r="K211" i="18"/>
  <c r="K212" i="18"/>
  <c r="K213" i="18"/>
  <c r="K214" i="18"/>
  <c r="K215" i="18"/>
  <c r="K216" i="18"/>
  <c r="K217" i="18"/>
  <c r="K218" i="18"/>
  <c r="K219" i="18"/>
  <c r="K220" i="18"/>
  <c r="K221" i="18"/>
  <c r="K222" i="18"/>
  <c r="K223" i="18"/>
  <c r="K224" i="18"/>
  <c r="K225" i="18"/>
  <c r="K226" i="18"/>
  <c r="K227" i="18"/>
  <c r="K228" i="18"/>
  <c r="K229" i="18"/>
  <c r="K230" i="18"/>
  <c r="K231" i="18"/>
  <c r="K232" i="18"/>
  <c r="K233" i="18"/>
  <c r="K234" i="18"/>
  <c r="K235" i="18"/>
  <c r="K236" i="18"/>
  <c r="K237" i="18"/>
  <c r="K238" i="18"/>
  <c r="K239" i="18"/>
  <c r="K240" i="18"/>
  <c r="K241" i="18"/>
  <c r="K242" i="18"/>
  <c r="K243" i="18"/>
  <c r="K244" i="18"/>
  <c r="K245" i="18"/>
  <c r="K246" i="18"/>
  <c r="K247" i="18"/>
  <c r="K248" i="18"/>
  <c r="K249" i="18"/>
  <c r="K250" i="18"/>
  <c r="K251" i="18"/>
  <c r="K252" i="18"/>
  <c r="K253" i="18"/>
  <c r="K254" i="18"/>
  <c r="K255" i="18"/>
  <c r="K256" i="18"/>
  <c r="K257" i="18"/>
  <c r="K258" i="18"/>
  <c r="K259" i="18"/>
  <c r="K260" i="18"/>
  <c r="K261" i="18"/>
  <c r="K262" i="18"/>
  <c r="K263" i="18"/>
  <c r="K264" i="18"/>
  <c r="K265" i="18"/>
  <c r="K266" i="18"/>
  <c r="K267" i="18"/>
  <c r="K268" i="18"/>
  <c r="K269" i="18"/>
  <c r="K270" i="18"/>
  <c r="K271" i="18"/>
  <c r="K272" i="18"/>
  <c r="K273" i="18"/>
  <c r="K274" i="18"/>
  <c r="K275" i="18"/>
  <c r="K276" i="18"/>
  <c r="K277" i="18"/>
  <c r="K278" i="18"/>
  <c r="K279" i="18"/>
  <c r="K280" i="18"/>
  <c r="K281" i="18"/>
  <c r="K282" i="18"/>
  <c r="K283" i="18"/>
  <c r="K284" i="18"/>
  <c r="K285" i="18"/>
  <c r="K286" i="18"/>
  <c r="K287" i="18"/>
  <c r="K288" i="18"/>
  <c r="K289" i="18"/>
  <c r="K290" i="18"/>
  <c r="K291" i="18"/>
  <c r="K292" i="18"/>
  <c r="K293" i="18"/>
  <c r="K294" i="18"/>
  <c r="K295" i="18"/>
  <c r="K296" i="18"/>
  <c r="K297" i="18"/>
  <c r="K298" i="18"/>
  <c r="K299" i="18"/>
  <c r="K300" i="18"/>
  <c r="K301" i="18"/>
  <c r="K302" i="18"/>
  <c r="K303" i="18"/>
  <c r="K304" i="18"/>
  <c r="K305" i="18"/>
  <c r="K306" i="18"/>
  <c r="K307" i="18"/>
  <c r="K308" i="18"/>
  <c r="K309" i="18"/>
  <c r="K310" i="18"/>
  <c r="K311" i="18"/>
  <c r="K312" i="18"/>
  <c r="K313" i="18"/>
  <c r="K314" i="18"/>
  <c r="K315" i="18"/>
  <c r="K316" i="18"/>
  <c r="K317" i="18"/>
  <c r="K318" i="18"/>
  <c r="K319" i="18"/>
  <c r="K320" i="18"/>
  <c r="K321" i="18"/>
  <c r="K322" i="18"/>
  <c r="K323" i="18"/>
  <c r="K324" i="18"/>
  <c r="K325" i="18"/>
  <c r="K326" i="18"/>
  <c r="K327" i="18"/>
  <c r="K328" i="18"/>
  <c r="K329" i="18"/>
  <c r="K330" i="18"/>
  <c r="K331" i="18"/>
  <c r="K332" i="18"/>
  <c r="K333" i="18"/>
  <c r="K334" i="18"/>
  <c r="K335" i="18"/>
  <c r="K336" i="18"/>
  <c r="K337" i="18"/>
  <c r="K338" i="18"/>
  <c r="K339" i="18"/>
  <c r="K340" i="18"/>
  <c r="K341" i="18"/>
  <c r="K342" i="18"/>
  <c r="K343" i="18"/>
  <c r="K344" i="18"/>
  <c r="K345" i="18"/>
  <c r="K346" i="18"/>
  <c r="K347" i="18"/>
  <c r="K348" i="18"/>
  <c r="K349" i="18"/>
  <c r="K350" i="18"/>
  <c r="K351" i="18"/>
  <c r="K352" i="18"/>
  <c r="K353" i="18"/>
  <c r="K354" i="18"/>
  <c r="K355" i="18"/>
  <c r="K356" i="18"/>
  <c r="K357" i="18"/>
  <c r="K358" i="18"/>
  <c r="K359" i="18"/>
  <c r="K360" i="18"/>
  <c r="K361" i="18"/>
  <c r="K362" i="18"/>
  <c r="K363" i="18"/>
  <c r="K364" i="18"/>
  <c r="K365" i="18"/>
  <c r="K366" i="18"/>
  <c r="K367" i="18"/>
  <c r="K368" i="18"/>
  <c r="K369" i="18"/>
  <c r="K370" i="18"/>
  <c r="K371" i="18"/>
  <c r="K372" i="18"/>
  <c r="K373" i="18"/>
  <c r="K374" i="18"/>
  <c r="K375" i="18"/>
  <c r="K376" i="18"/>
  <c r="K377" i="18"/>
  <c r="K378" i="18"/>
  <c r="K379" i="18"/>
  <c r="K380" i="18"/>
  <c r="K381" i="18"/>
  <c r="K382" i="18"/>
  <c r="K383" i="18"/>
  <c r="K384" i="18"/>
  <c r="K385" i="18"/>
  <c r="K386" i="18"/>
  <c r="K387" i="18"/>
  <c r="K388" i="18"/>
  <c r="K389" i="18"/>
  <c r="K390" i="18"/>
  <c r="K391" i="18"/>
  <c r="K392" i="18"/>
  <c r="K393" i="18"/>
  <c r="K394" i="18"/>
  <c r="K395" i="18"/>
  <c r="K396" i="18"/>
  <c r="K397" i="18"/>
  <c r="K398" i="18"/>
  <c r="K399" i="18"/>
  <c r="K400" i="18"/>
  <c r="K401" i="18"/>
  <c r="K402" i="18"/>
  <c r="K403" i="18"/>
  <c r="K404" i="18"/>
  <c r="K405" i="18"/>
  <c r="K406" i="18"/>
  <c r="K407" i="18"/>
  <c r="K408" i="18"/>
  <c r="K409" i="18"/>
  <c r="K410" i="18"/>
  <c r="K411" i="18"/>
  <c r="K412" i="18"/>
  <c r="K413" i="18"/>
  <c r="K414" i="18"/>
  <c r="K415" i="18"/>
  <c r="K416" i="18"/>
  <c r="K417" i="18"/>
  <c r="K418" i="18"/>
  <c r="K419" i="18"/>
  <c r="K420" i="18"/>
  <c r="K421" i="18"/>
  <c r="K422" i="18"/>
  <c r="K423" i="18"/>
  <c r="K424" i="18"/>
  <c r="K425" i="18"/>
  <c r="K426" i="18"/>
  <c r="K427" i="18"/>
  <c r="K428" i="18"/>
  <c r="K429" i="18"/>
  <c r="K430" i="18"/>
  <c r="K431" i="18"/>
  <c r="K432" i="18"/>
  <c r="K433" i="18"/>
  <c r="K434" i="18"/>
  <c r="K435" i="18"/>
  <c r="K436" i="18"/>
  <c r="K437" i="18"/>
  <c r="K438" i="18"/>
  <c r="K439" i="18"/>
  <c r="K440" i="18"/>
  <c r="K441" i="18"/>
  <c r="K442" i="18"/>
  <c r="K443" i="18"/>
  <c r="K444" i="18"/>
  <c r="K445" i="18"/>
  <c r="K446" i="18"/>
  <c r="K447" i="18"/>
  <c r="K448" i="18"/>
  <c r="K449" i="18"/>
  <c r="K450" i="18"/>
  <c r="K451" i="18"/>
  <c r="K452" i="18"/>
  <c r="K453" i="18"/>
  <c r="K454" i="18"/>
  <c r="K455" i="18"/>
  <c r="K456" i="18"/>
  <c r="K457" i="18"/>
  <c r="K458" i="18"/>
  <c r="K459" i="18"/>
  <c r="K460" i="18"/>
  <c r="K461" i="18"/>
  <c r="K462" i="18"/>
  <c r="K463" i="18"/>
  <c r="K464" i="18"/>
  <c r="K465" i="18"/>
  <c r="K466" i="18"/>
  <c r="K467" i="18"/>
  <c r="K468" i="18"/>
  <c r="K469" i="18"/>
  <c r="K470" i="18"/>
  <c r="K471" i="18"/>
  <c r="K472" i="18"/>
  <c r="K473" i="18"/>
  <c r="K474" i="18"/>
  <c r="K475" i="18"/>
  <c r="K476" i="18"/>
  <c r="K477" i="18"/>
  <c r="K478" i="18"/>
  <c r="K479" i="18"/>
  <c r="K480" i="18"/>
  <c r="K481" i="18"/>
  <c r="K482" i="18"/>
  <c r="K483" i="18"/>
  <c r="K484" i="18"/>
  <c r="K485" i="18"/>
  <c r="K486" i="18"/>
  <c r="K487" i="18"/>
  <c r="K488" i="18"/>
  <c r="K489" i="18"/>
  <c r="K490" i="18"/>
  <c r="K491" i="18"/>
  <c r="K492" i="18"/>
  <c r="K493" i="18"/>
  <c r="K494" i="18"/>
  <c r="K495" i="18"/>
  <c r="K496" i="18"/>
  <c r="K497" i="18"/>
  <c r="K498" i="18"/>
  <c r="K499" i="18"/>
  <c r="K500" i="18"/>
  <c r="K501" i="18"/>
  <c r="K502" i="18"/>
  <c r="K503" i="18"/>
  <c r="K504" i="18"/>
  <c r="K505" i="18"/>
  <c r="K506" i="18"/>
  <c r="K507" i="18"/>
  <c r="K508" i="18"/>
  <c r="K509" i="18"/>
  <c r="K510" i="18"/>
  <c r="K511" i="18"/>
  <c r="K512" i="18"/>
  <c r="K513" i="18"/>
  <c r="K514" i="18"/>
  <c r="K515" i="18"/>
  <c r="K516" i="18"/>
  <c r="K517" i="18"/>
  <c r="K518" i="18"/>
  <c r="K519" i="18"/>
  <c r="K520" i="18"/>
  <c r="K521" i="18"/>
  <c r="K522" i="18"/>
  <c r="K523" i="18"/>
  <c r="K524" i="18"/>
  <c r="K525" i="18"/>
  <c r="K526" i="18"/>
  <c r="K527" i="18"/>
  <c r="K528" i="18"/>
  <c r="K529" i="18"/>
  <c r="K530" i="18"/>
  <c r="K531" i="18"/>
  <c r="K532" i="18"/>
  <c r="K533" i="18"/>
  <c r="K534" i="18"/>
  <c r="K535" i="18"/>
  <c r="K536" i="18"/>
  <c r="K537" i="18"/>
  <c r="K538" i="18"/>
  <c r="K539" i="18"/>
  <c r="K540" i="18"/>
  <c r="K541" i="18"/>
  <c r="K542" i="18"/>
  <c r="K543" i="18"/>
  <c r="K544" i="18"/>
  <c r="K545" i="18"/>
  <c r="K546" i="18"/>
  <c r="K547" i="18"/>
  <c r="K548" i="18"/>
  <c r="K549" i="18"/>
  <c r="K550" i="18"/>
  <c r="K551" i="18"/>
  <c r="K552" i="18"/>
  <c r="K553" i="18"/>
  <c r="K554" i="18"/>
  <c r="K555" i="18"/>
  <c r="K556" i="18"/>
  <c r="K557" i="18"/>
  <c r="K558" i="18"/>
  <c r="K559" i="18"/>
  <c r="K560" i="18"/>
  <c r="K561" i="18"/>
  <c r="K562" i="18"/>
  <c r="K563" i="18"/>
  <c r="K564" i="18"/>
  <c r="K565" i="18"/>
  <c r="K566" i="18"/>
  <c r="K567" i="18"/>
  <c r="K568" i="18"/>
  <c r="K569" i="18"/>
  <c r="K570" i="18"/>
  <c r="K571" i="18"/>
  <c r="K572" i="18"/>
  <c r="K573" i="18"/>
  <c r="K574" i="18"/>
  <c r="K575" i="18"/>
  <c r="K576" i="18"/>
  <c r="K577" i="18"/>
  <c r="K578" i="18"/>
  <c r="K579" i="18"/>
  <c r="K580" i="18"/>
  <c r="K581" i="18"/>
  <c r="K582" i="18"/>
  <c r="K583" i="18"/>
  <c r="K584" i="18"/>
  <c r="K585" i="18"/>
  <c r="K586" i="18"/>
  <c r="K587" i="18"/>
  <c r="K588" i="18"/>
  <c r="K589" i="18"/>
  <c r="K590" i="18"/>
  <c r="K591" i="18"/>
  <c r="K592" i="18"/>
  <c r="K593" i="18"/>
  <c r="K594" i="18"/>
  <c r="K595" i="18"/>
  <c r="K596" i="18"/>
  <c r="K597" i="18"/>
  <c r="K598" i="18"/>
  <c r="K599" i="18"/>
  <c r="K600" i="18"/>
  <c r="K601" i="18"/>
  <c r="K602" i="18"/>
  <c r="K603" i="18"/>
  <c r="K604" i="18"/>
  <c r="K605" i="18"/>
  <c r="K606" i="18"/>
  <c r="K607" i="18"/>
  <c r="K608" i="18"/>
  <c r="K609" i="18"/>
  <c r="K610" i="18"/>
  <c r="K611" i="18"/>
  <c r="K612" i="18"/>
  <c r="K613" i="18"/>
  <c r="K614" i="18"/>
  <c r="K615" i="18"/>
  <c r="K616" i="18"/>
  <c r="K617" i="18"/>
  <c r="K618" i="18"/>
  <c r="K619" i="18"/>
  <c r="K620" i="18"/>
  <c r="K621" i="18"/>
  <c r="K622" i="18"/>
  <c r="K623" i="18"/>
  <c r="K624" i="18"/>
  <c r="K625" i="18"/>
  <c r="K626" i="18"/>
  <c r="K627" i="18"/>
  <c r="K628" i="18"/>
  <c r="K629" i="18"/>
  <c r="K630" i="18"/>
  <c r="K631" i="18"/>
  <c r="K632" i="18"/>
  <c r="K633" i="18"/>
  <c r="K634" i="18"/>
  <c r="K635" i="18"/>
  <c r="K636" i="18"/>
  <c r="K637" i="18"/>
  <c r="K638" i="18"/>
  <c r="K639" i="18"/>
  <c r="K640" i="18"/>
  <c r="K641" i="18"/>
  <c r="K642" i="18"/>
  <c r="K643" i="18"/>
  <c r="K644" i="18"/>
  <c r="K645" i="18"/>
  <c r="K646" i="18"/>
  <c r="K647" i="18"/>
  <c r="K648" i="18"/>
  <c r="K649" i="18"/>
  <c r="K650" i="18"/>
  <c r="K651" i="18"/>
  <c r="K652" i="18"/>
  <c r="K653" i="18"/>
  <c r="K654" i="18"/>
  <c r="K655" i="18"/>
  <c r="K656" i="18"/>
  <c r="K657" i="18"/>
  <c r="K658" i="18"/>
  <c r="K659" i="18"/>
  <c r="K660" i="18"/>
  <c r="K661" i="18"/>
  <c r="K662" i="18"/>
  <c r="K663" i="18"/>
  <c r="K664" i="18"/>
  <c r="K665" i="18"/>
  <c r="K666" i="18"/>
  <c r="K667" i="18"/>
  <c r="K668" i="18"/>
  <c r="K669" i="18"/>
  <c r="K670" i="18"/>
  <c r="K671" i="18"/>
  <c r="K672" i="18"/>
  <c r="K673" i="18"/>
  <c r="K674" i="18"/>
  <c r="K675" i="18"/>
  <c r="K676" i="18"/>
  <c r="K677" i="18"/>
  <c r="K678" i="18"/>
  <c r="K679" i="18"/>
  <c r="K680" i="18"/>
  <c r="K681" i="18"/>
  <c r="K682" i="18"/>
  <c r="K683" i="18"/>
  <c r="K684" i="18"/>
  <c r="K685" i="18"/>
  <c r="K686" i="18"/>
  <c r="K687" i="18"/>
  <c r="K688" i="18"/>
  <c r="K689" i="18"/>
  <c r="K690" i="18"/>
  <c r="K691" i="18"/>
  <c r="K692" i="18"/>
  <c r="K693" i="18"/>
  <c r="K694" i="18"/>
  <c r="K695" i="18"/>
  <c r="K696" i="18"/>
  <c r="K697" i="18"/>
  <c r="K698" i="18"/>
  <c r="K699" i="18"/>
  <c r="K700" i="18"/>
  <c r="K701" i="18"/>
  <c r="K702" i="18"/>
  <c r="K703" i="18"/>
  <c r="K704" i="18"/>
  <c r="K705" i="18"/>
  <c r="K706" i="18"/>
  <c r="K707" i="18"/>
  <c r="K708" i="18"/>
  <c r="K709" i="18"/>
  <c r="K710" i="18"/>
  <c r="K711" i="18"/>
  <c r="K712" i="18"/>
  <c r="K713" i="18"/>
  <c r="K714" i="18"/>
  <c r="K715" i="18"/>
  <c r="K716" i="18"/>
  <c r="K717" i="18"/>
  <c r="K718" i="18"/>
  <c r="K719" i="18"/>
  <c r="K720" i="18"/>
  <c r="K721" i="18"/>
  <c r="K722" i="18"/>
  <c r="K723" i="18"/>
  <c r="K724" i="18"/>
  <c r="K725" i="18"/>
  <c r="K726" i="18"/>
  <c r="K727" i="18"/>
  <c r="K728" i="18"/>
  <c r="K729" i="18"/>
  <c r="K730" i="18"/>
  <c r="K731" i="18"/>
  <c r="K732" i="18"/>
  <c r="K733" i="18"/>
  <c r="K734" i="18"/>
  <c r="K735" i="18"/>
  <c r="K736" i="18"/>
  <c r="K737" i="18"/>
  <c r="K738" i="18"/>
  <c r="K739" i="18"/>
  <c r="K740" i="18"/>
  <c r="K741" i="18"/>
  <c r="K742" i="18"/>
  <c r="K743" i="18"/>
  <c r="K744" i="18"/>
  <c r="K745" i="18"/>
  <c r="K746" i="18"/>
  <c r="K747" i="18"/>
  <c r="K748" i="18"/>
  <c r="K749" i="18"/>
  <c r="K750" i="18"/>
  <c r="K751" i="18"/>
  <c r="K752" i="18"/>
  <c r="K753" i="18"/>
  <c r="K754" i="18"/>
  <c r="K755" i="18"/>
  <c r="K756" i="18"/>
  <c r="K757" i="18"/>
  <c r="K758" i="18"/>
  <c r="K759" i="18"/>
  <c r="K760" i="18"/>
  <c r="K761" i="18"/>
  <c r="K762" i="18"/>
  <c r="K763" i="18"/>
  <c r="K764" i="18"/>
  <c r="K765" i="18"/>
  <c r="K766" i="18"/>
  <c r="K767" i="18"/>
  <c r="K768" i="18"/>
  <c r="K769" i="18"/>
  <c r="K770" i="18"/>
  <c r="K771" i="18"/>
  <c r="K772" i="18"/>
  <c r="K773" i="18"/>
  <c r="K774" i="18"/>
  <c r="K775" i="18"/>
  <c r="K776" i="18"/>
  <c r="K777" i="18"/>
  <c r="K778" i="18"/>
  <c r="K779" i="18"/>
  <c r="K780" i="18"/>
  <c r="K781" i="18"/>
  <c r="K782" i="18"/>
  <c r="K783" i="18"/>
  <c r="K784" i="18"/>
  <c r="K785" i="18"/>
  <c r="K786" i="18"/>
  <c r="K787" i="18"/>
  <c r="K788" i="18"/>
  <c r="K789" i="18"/>
  <c r="K790" i="18"/>
  <c r="K791" i="18"/>
  <c r="K792" i="18"/>
  <c r="K793" i="18"/>
  <c r="K794" i="18"/>
  <c r="K795" i="18"/>
  <c r="K796" i="18"/>
  <c r="K797" i="18"/>
  <c r="K798" i="18"/>
  <c r="K799" i="18"/>
  <c r="K800" i="18"/>
  <c r="K801" i="18"/>
  <c r="K802" i="18"/>
  <c r="K803" i="18"/>
  <c r="K804" i="18"/>
  <c r="K805" i="18"/>
  <c r="K806" i="18"/>
  <c r="K807" i="18"/>
  <c r="K808" i="18"/>
  <c r="K809" i="18"/>
  <c r="K810" i="18"/>
  <c r="K811" i="18"/>
  <c r="K812" i="18"/>
  <c r="K813" i="18"/>
  <c r="K814" i="18"/>
  <c r="K815" i="18"/>
  <c r="K816" i="18"/>
  <c r="K817" i="18"/>
  <c r="K818" i="18"/>
  <c r="K819" i="18"/>
  <c r="K820" i="18"/>
  <c r="K821" i="18"/>
  <c r="K822" i="18"/>
  <c r="K823" i="18"/>
  <c r="K824" i="18"/>
  <c r="K825" i="18"/>
  <c r="K826" i="18"/>
  <c r="K827" i="18"/>
  <c r="K828" i="18"/>
  <c r="K829" i="18"/>
  <c r="K830" i="18"/>
  <c r="K831" i="18"/>
  <c r="K832" i="18"/>
  <c r="K833" i="18"/>
  <c r="K834" i="18"/>
  <c r="K835" i="18"/>
  <c r="K836" i="18"/>
  <c r="K837" i="18"/>
  <c r="K838" i="18"/>
  <c r="K839" i="18"/>
  <c r="K840" i="18"/>
  <c r="K841" i="18"/>
  <c r="K842" i="18"/>
  <c r="K843" i="18"/>
  <c r="K844" i="18"/>
  <c r="K845" i="18"/>
  <c r="K846" i="18"/>
  <c r="K847" i="18"/>
  <c r="K848" i="18"/>
  <c r="K849" i="18"/>
  <c r="K850" i="18"/>
  <c r="K851" i="18"/>
  <c r="K852" i="18"/>
  <c r="K853" i="18"/>
  <c r="K854" i="18"/>
  <c r="K855" i="18"/>
  <c r="K856" i="18"/>
  <c r="K857" i="18"/>
  <c r="K858" i="18"/>
  <c r="K859" i="18"/>
  <c r="K860" i="18"/>
  <c r="K861" i="18"/>
  <c r="K862" i="18"/>
  <c r="K863" i="18"/>
  <c r="K864" i="18"/>
  <c r="K865" i="18"/>
  <c r="K866" i="18"/>
  <c r="K867" i="18"/>
  <c r="K868" i="18"/>
  <c r="K869" i="18"/>
  <c r="K870" i="18"/>
  <c r="K871" i="18"/>
  <c r="K872" i="18"/>
  <c r="K873" i="18"/>
  <c r="K874" i="18"/>
  <c r="K875" i="18"/>
  <c r="K876" i="18"/>
  <c r="K877" i="18"/>
  <c r="K878" i="18"/>
  <c r="K879" i="18"/>
  <c r="K880" i="18"/>
  <c r="K881" i="18"/>
  <c r="K882" i="18"/>
  <c r="K883" i="18"/>
  <c r="K884" i="18"/>
  <c r="K885" i="18"/>
  <c r="K886" i="18"/>
  <c r="K887" i="18"/>
  <c r="K888" i="18"/>
  <c r="K889" i="18"/>
  <c r="K890" i="18"/>
  <c r="K891" i="18"/>
  <c r="K892" i="18"/>
  <c r="K893" i="18"/>
  <c r="K894" i="18"/>
  <c r="K895" i="18"/>
  <c r="K896" i="18"/>
  <c r="K897" i="18"/>
  <c r="K898" i="18"/>
  <c r="K899" i="18"/>
  <c r="K900" i="18"/>
  <c r="K901" i="18"/>
  <c r="K902" i="18"/>
  <c r="K903" i="18"/>
  <c r="K904" i="18"/>
  <c r="K905" i="18"/>
  <c r="K906" i="18"/>
  <c r="K907" i="18"/>
  <c r="K908" i="18"/>
  <c r="K909" i="18"/>
  <c r="K910" i="18"/>
  <c r="K911" i="18"/>
  <c r="K912" i="18"/>
  <c r="K913" i="18"/>
  <c r="K914" i="18"/>
  <c r="K915" i="18"/>
  <c r="K916" i="18"/>
  <c r="K917" i="18"/>
  <c r="K918" i="18"/>
  <c r="K919" i="18"/>
  <c r="K920" i="18"/>
  <c r="K921" i="18"/>
  <c r="K922" i="18"/>
  <c r="K923" i="18"/>
  <c r="K924" i="18"/>
  <c r="K925" i="18"/>
  <c r="K926" i="18"/>
  <c r="K927" i="18"/>
  <c r="K928" i="18"/>
  <c r="K929" i="18"/>
  <c r="K930" i="18"/>
  <c r="K931" i="18"/>
  <c r="K932" i="18"/>
  <c r="K933" i="18"/>
  <c r="K934" i="18"/>
  <c r="K935" i="18"/>
  <c r="K936" i="18"/>
  <c r="K937" i="18"/>
  <c r="K938" i="18"/>
  <c r="K939" i="18"/>
  <c r="K940" i="18"/>
  <c r="K941" i="18"/>
  <c r="K942" i="18"/>
  <c r="K943" i="18"/>
  <c r="K944" i="18"/>
  <c r="K945" i="18"/>
  <c r="K946" i="18"/>
  <c r="K947" i="18"/>
  <c r="K948" i="18"/>
  <c r="K949" i="18"/>
  <c r="K950" i="18"/>
  <c r="K951" i="18"/>
  <c r="K952" i="18"/>
  <c r="K953" i="18"/>
  <c r="K954" i="18"/>
  <c r="K955" i="18"/>
  <c r="K956" i="18"/>
  <c r="K957" i="18"/>
  <c r="K958" i="18"/>
  <c r="K959" i="18"/>
  <c r="K960" i="18"/>
  <c r="K961" i="18"/>
  <c r="K962" i="18"/>
  <c r="K963" i="18"/>
  <c r="K964" i="18"/>
  <c r="K965" i="18"/>
  <c r="K966" i="18"/>
  <c r="K967" i="18"/>
  <c r="K968" i="18"/>
  <c r="K969" i="18"/>
  <c r="K970" i="18"/>
  <c r="K971" i="18"/>
  <c r="K972" i="18"/>
  <c r="K973" i="18"/>
  <c r="K974" i="18"/>
  <c r="K975" i="18"/>
  <c r="K976" i="18"/>
  <c r="K977" i="18"/>
  <c r="K978" i="18"/>
  <c r="K979" i="18"/>
  <c r="K980" i="18"/>
  <c r="K981" i="18"/>
  <c r="K982" i="18"/>
  <c r="K983" i="18"/>
  <c r="K984" i="18"/>
  <c r="K985" i="18"/>
  <c r="K986" i="18"/>
  <c r="K987" i="18"/>
  <c r="K988" i="18"/>
  <c r="K989" i="18"/>
  <c r="K990" i="18"/>
  <c r="K991" i="18"/>
  <c r="K992" i="18"/>
  <c r="K993" i="18"/>
  <c r="K994" i="18"/>
  <c r="K995" i="18"/>
  <c r="K996" i="18"/>
  <c r="K997" i="18"/>
  <c r="K998" i="18"/>
  <c r="K999" i="18"/>
  <c r="K1000" i="18"/>
  <c r="K1001" i="18"/>
  <c r="K1002" i="18"/>
  <c r="K1003" i="18"/>
  <c r="K1004" i="18"/>
  <c r="K1005" i="18"/>
  <c r="K1006" i="18"/>
  <c r="K1007" i="18"/>
  <c r="K1008" i="18"/>
  <c r="K1009" i="18"/>
  <c r="K1010" i="18"/>
  <c r="K1011" i="18"/>
  <c r="K1012" i="18"/>
  <c r="K1013" i="18"/>
  <c r="K1014" i="18"/>
  <c r="K1015" i="18"/>
  <c r="K1016" i="18"/>
  <c r="K1017" i="18"/>
  <c r="K1018" i="18"/>
  <c r="K1019" i="18"/>
  <c r="K1020" i="18"/>
  <c r="K1021" i="18"/>
  <c r="K1022" i="18"/>
  <c r="K1023" i="18"/>
  <c r="K1024" i="18"/>
  <c r="K1025" i="18"/>
  <c r="K1026" i="18"/>
  <c r="K1027" i="18"/>
  <c r="K1028" i="18"/>
  <c r="K1029" i="18"/>
  <c r="K1030" i="18"/>
  <c r="K1031" i="18"/>
  <c r="K1032" i="18"/>
  <c r="K1033" i="18"/>
  <c r="K1034" i="18"/>
  <c r="K1035" i="18"/>
  <c r="K1036" i="18"/>
  <c r="K1037" i="18"/>
  <c r="K1038" i="18"/>
  <c r="K1039" i="18"/>
  <c r="K1040" i="18"/>
  <c r="K1041" i="18"/>
  <c r="K1042" i="18"/>
  <c r="K1043" i="18"/>
  <c r="K1044" i="18"/>
  <c r="K1045" i="18"/>
  <c r="K1046" i="18"/>
  <c r="K1047" i="18"/>
  <c r="K1048" i="18"/>
  <c r="K1049" i="18"/>
  <c r="K1050" i="18"/>
  <c r="K1051" i="18"/>
  <c r="K1052" i="18"/>
  <c r="K1053" i="18"/>
  <c r="K1054" i="18"/>
  <c r="K1055" i="18"/>
  <c r="K1056" i="18"/>
  <c r="K1057" i="18"/>
  <c r="K1058" i="18"/>
  <c r="K1059" i="18"/>
  <c r="K1060" i="18"/>
  <c r="K1061" i="18"/>
  <c r="K1062" i="18"/>
  <c r="K1063" i="18"/>
  <c r="K1064" i="18"/>
  <c r="K1065" i="18"/>
  <c r="K1066" i="18"/>
  <c r="K1067" i="18"/>
  <c r="K1068" i="18"/>
  <c r="K1069" i="18"/>
  <c r="K1070" i="18"/>
  <c r="K1071" i="18"/>
  <c r="K1072" i="18"/>
  <c r="K1073" i="18"/>
  <c r="K1074" i="18"/>
  <c r="K1075" i="18"/>
  <c r="K1076" i="18"/>
  <c r="K1077" i="18"/>
  <c r="K1078" i="18"/>
  <c r="K1079" i="18"/>
  <c r="K1080" i="18"/>
  <c r="K1081" i="18"/>
  <c r="K1082" i="18"/>
  <c r="K1083" i="18"/>
  <c r="K1084" i="18"/>
  <c r="K1085" i="18"/>
  <c r="K1086" i="18"/>
  <c r="K1087" i="18"/>
  <c r="K1088" i="18"/>
  <c r="K1089" i="18"/>
  <c r="K1090" i="18"/>
  <c r="K1091" i="18"/>
  <c r="K1092" i="18"/>
  <c r="K1093" i="18"/>
  <c r="K1094" i="18"/>
  <c r="K1095" i="18"/>
  <c r="K1096" i="18"/>
  <c r="K1097" i="18"/>
  <c r="K1098" i="18"/>
  <c r="K1099" i="18"/>
  <c r="K1100" i="18"/>
  <c r="K1101" i="18"/>
  <c r="K1102" i="18"/>
  <c r="K1103" i="18"/>
  <c r="K1104" i="18"/>
  <c r="K1105" i="18"/>
  <c r="K1106" i="18"/>
  <c r="K1107" i="18"/>
  <c r="K1108" i="18"/>
  <c r="K1109" i="18"/>
  <c r="K1110" i="18"/>
  <c r="K1111" i="18"/>
  <c r="K1112" i="18"/>
  <c r="K1113" i="18"/>
  <c r="K1114" i="18"/>
  <c r="K1115" i="18"/>
  <c r="K1116" i="18"/>
  <c r="K1117" i="18"/>
  <c r="K1118" i="18"/>
  <c r="K1119" i="18"/>
  <c r="K1120" i="18"/>
  <c r="K1121" i="18"/>
  <c r="K1122" i="18"/>
  <c r="K1123" i="18"/>
  <c r="K1124" i="18"/>
  <c r="K1125" i="18"/>
  <c r="K1126" i="18"/>
  <c r="K1127" i="18"/>
  <c r="K1128" i="18"/>
  <c r="K1129" i="18"/>
  <c r="K1130" i="18"/>
  <c r="K1131" i="18"/>
  <c r="K1132" i="18"/>
  <c r="K1133" i="18"/>
  <c r="K1134" i="18"/>
  <c r="K1135" i="18"/>
  <c r="K1136" i="18"/>
  <c r="K1137" i="18"/>
  <c r="K1138" i="18"/>
  <c r="K1139" i="18"/>
  <c r="K1140" i="18"/>
  <c r="K1141" i="18"/>
  <c r="K1142" i="18"/>
  <c r="K1143" i="18"/>
  <c r="K1144" i="18"/>
  <c r="K1145" i="18"/>
  <c r="K1146" i="18"/>
  <c r="K1147" i="18"/>
  <c r="K1148" i="18"/>
  <c r="K1149" i="18"/>
  <c r="K1150" i="18"/>
  <c r="K1151" i="18"/>
  <c r="K1152" i="18"/>
  <c r="K1153" i="18"/>
  <c r="K1154" i="18"/>
  <c r="K1155" i="18"/>
  <c r="K1156" i="18"/>
  <c r="K1157" i="18"/>
  <c r="K1158" i="18"/>
  <c r="K1159" i="18"/>
  <c r="K1160" i="18"/>
  <c r="K1161" i="18"/>
  <c r="K1162" i="18"/>
  <c r="K1163" i="18"/>
  <c r="K1164" i="18"/>
  <c r="K1165" i="18"/>
  <c r="K1166" i="18"/>
  <c r="K1167" i="18"/>
  <c r="K1168" i="18"/>
  <c r="K1169" i="18"/>
  <c r="K1170" i="18"/>
  <c r="K1171" i="18"/>
  <c r="K1172" i="18"/>
  <c r="K1173" i="18"/>
  <c r="K1174" i="18"/>
  <c r="K1175" i="18"/>
  <c r="K1176" i="18"/>
  <c r="K1177" i="18"/>
  <c r="K1178" i="18"/>
  <c r="K1179" i="18"/>
  <c r="K1180" i="18"/>
  <c r="K1181" i="18"/>
  <c r="K1182" i="18"/>
  <c r="K1183" i="18"/>
  <c r="K1184" i="18"/>
  <c r="K1185" i="18"/>
  <c r="K1186" i="18"/>
  <c r="K1187" i="18"/>
  <c r="K1188" i="18"/>
  <c r="K1189" i="18"/>
  <c r="K1190" i="18"/>
  <c r="K1191" i="18"/>
  <c r="K1192" i="18"/>
  <c r="K1193" i="18"/>
  <c r="K1194" i="18"/>
  <c r="K1195" i="18"/>
  <c r="K1196" i="18"/>
  <c r="K1197" i="18"/>
  <c r="K1198" i="18"/>
  <c r="K1199" i="18"/>
  <c r="K1200" i="18"/>
  <c r="K1201" i="18"/>
  <c r="K1202" i="18"/>
  <c r="K1203" i="18"/>
  <c r="K1204" i="18"/>
  <c r="K1205" i="18"/>
  <c r="K1206" i="18"/>
  <c r="K1207" i="18"/>
  <c r="K1208" i="18"/>
  <c r="K1209" i="18"/>
  <c r="K1210" i="18"/>
  <c r="K1211" i="18"/>
  <c r="K1212" i="18"/>
  <c r="K1213" i="18"/>
  <c r="K1214" i="18"/>
  <c r="K1215" i="18"/>
  <c r="K1216" i="18"/>
  <c r="K1217" i="18"/>
  <c r="K1218" i="18"/>
  <c r="K1219" i="18"/>
  <c r="K1220" i="18"/>
  <c r="K1221" i="18"/>
  <c r="K1222" i="18"/>
  <c r="K1223" i="18"/>
  <c r="K1224" i="18"/>
  <c r="K1225" i="18"/>
  <c r="K1226" i="18"/>
  <c r="K1227" i="18"/>
  <c r="K1228" i="18"/>
  <c r="K1229" i="18"/>
  <c r="K1230" i="18"/>
  <c r="K1231" i="18"/>
  <c r="K1232" i="18"/>
  <c r="K1233" i="18"/>
  <c r="K1234" i="18"/>
  <c r="K1235" i="18"/>
  <c r="K1236" i="18"/>
  <c r="K1237" i="18"/>
  <c r="K1238" i="18"/>
  <c r="K1239" i="18"/>
  <c r="K1240" i="18"/>
  <c r="K1241" i="18"/>
  <c r="K1242" i="18"/>
  <c r="K1243" i="18"/>
  <c r="K1244" i="18"/>
  <c r="K1245" i="18"/>
  <c r="K1246" i="18"/>
  <c r="K1247" i="18"/>
  <c r="K1248" i="18"/>
  <c r="K1249" i="18"/>
  <c r="K1250" i="18"/>
  <c r="K1251" i="18"/>
  <c r="K1252" i="18"/>
  <c r="K1253" i="18"/>
  <c r="K1254" i="18"/>
  <c r="K1255" i="18"/>
  <c r="K1256" i="18"/>
  <c r="K1257" i="18"/>
  <c r="K1258" i="18"/>
  <c r="K1259" i="18"/>
  <c r="K1260" i="18"/>
  <c r="K1261" i="18"/>
  <c r="K1262" i="18"/>
  <c r="K1263" i="18"/>
  <c r="K1264" i="18"/>
  <c r="K1265" i="18"/>
  <c r="K1266" i="18"/>
  <c r="K1267" i="18"/>
  <c r="K1268" i="18"/>
  <c r="K1269" i="18"/>
  <c r="K1270" i="18"/>
  <c r="K1271" i="18"/>
  <c r="K1272" i="18"/>
  <c r="K1273" i="18"/>
  <c r="K1274" i="18"/>
  <c r="K1275" i="18"/>
  <c r="K1276" i="18"/>
  <c r="K1277" i="18"/>
  <c r="K1278" i="18"/>
  <c r="K1279" i="18"/>
  <c r="K1280" i="18"/>
  <c r="K1281" i="18"/>
  <c r="K1282" i="18"/>
  <c r="K1283" i="18"/>
  <c r="K1284" i="18"/>
  <c r="K1285" i="18"/>
  <c r="K1286" i="18"/>
  <c r="K1287" i="18"/>
  <c r="K1288" i="18"/>
  <c r="K1289" i="18"/>
  <c r="K1290" i="18"/>
  <c r="K1291" i="18"/>
  <c r="K1292" i="18"/>
  <c r="K1293" i="18"/>
  <c r="K1294" i="18"/>
  <c r="K1295" i="18"/>
  <c r="K1296" i="18"/>
  <c r="K1297" i="18"/>
  <c r="K1298" i="18"/>
  <c r="K1299" i="18"/>
  <c r="K1300" i="18"/>
  <c r="K1301" i="18"/>
  <c r="K1302" i="18"/>
  <c r="K1303" i="18"/>
  <c r="K1304" i="18"/>
  <c r="K1305" i="18"/>
  <c r="K1306" i="18"/>
  <c r="K1307" i="18"/>
  <c r="K1308" i="18"/>
  <c r="K1309" i="18"/>
  <c r="K1310" i="18"/>
  <c r="K1311" i="18"/>
  <c r="K1312" i="18"/>
  <c r="K1313" i="18"/>
  <c r="K1314" i="18"/>
  <c r="K1315" i="18"/>
  <c r="K1316" i="18"/>
  <c r="K1317" i="18"/>
  <c r="K1318" i="18"/>
  <c r="K1319" i="18"/>
  <c r="K1320" i="18"/>
  <c r="K1321" i="18"/>
  <c r="K1322" i="18"/>
  <c r="K1323" i="18"/>
  <c r="K1324" i="18"/>
  <c r="K1325" i="18"/>
  <c r="K1326" i="18"/>
  <c r="K1327" i="18"/>
  <c r="K1328" i="18"/>
  <c r="K1329" i="18"/>
  <c r="K1330" i="18"/>
  <c r="K1331" i="18"/>
  <c r="K1332" i="18"/>
  <c r="K1333" i="18"/>
  <c r="K1334" i="18"/>
  <c r="K1335" i="18"/>
  <c r="K1336" i="18"/>
  <c r="K1337" i="18"/>
  <c r="K1338" i="18"/>
  <c r="K1339" i="18"/>
  <c r="K2" i="18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J501" i="18"/>
  <c r="J502" i="18"/>
  <c r="J503" i="18"/>
  <c r="J504" i="18"/>
  <c r="J505" i="18"/>
  <c r="J506" i="18"/>
  <c r="J507" i="18"/>
  <c r="J508" i="18"/>
  <c r="J509" i="18"/>
  <c r="J510" i="18"/>
  <c r="J511" i="18"/>
  <c r="J512" i="18"/>
  <c r="J513" i="18"/>
  <c r="J514" i="18"/>
  <c r="J515" i="18"/>
  <c r="J516" i="18"/>
  <c r="J517" i="18"/>
  <c r="J518" i="18"/>
  <c r="J519" i="18"/>
  <c r="J520" i="18"/>
  <c r="J521" i="18"/>
  <c r="J522" i="18"/>
  <c r="J523" i="18"/>
  <c r="J524" i="18"/>
  <c r="J525" i="18"/>
  <c r="J526" i="18"/>
  <c r="J527" i="18"/>
  <c r="J528" i="18"/>
  <c r="J529" i="18"/>
  <c r="J530" i="18"/>
  <c r="J531" i="18"/>
  <c r="J532" i="18"/>
  <c r="J533" i="18"/>
  <c r="J534" i="18"/>
  <c r="J535" i="18"/>
  <c r="J536" i="18"/>
  <c r="J537" i="18"/>
  <c r="J538" i="18"/>
  <c r="J539" i="18"/>
  <c r="J540" i="18"/>
  <c r="J541" i="18"/>
  <c r="J542" i="18"/>
  <c r="J543" i="18"/>
  <c r="J544" i="18"/>
  <c r="J545" i="18"/>
  <c r="J546" i="18"/>
  <c r="J547" i="18"/>
  <c r="J548" i="18"/>
  <c r="J549" i="18"/>
  <c r="J550" i="18"/>
  <c r="J551" i="18"/>
  <c r="J552" i="18"/>
  <c r="J553" i="18"/>
  <c r="J554" i="18"/>
  <c r="J555" i="18"/>
  <c r="J556" i="18"/>
  <c r="J557" i="18"/>
  <c r="J558" i="18"/>
  <c r="J559" i="18"/>
  <c r="J560" i="18"/>
  <c r="J561" i="18"/>
  <c r="J562" i="18"/>
  <c r="J563" i="18"/>
  <c r="J564" i="18"/>
  <c r="J565" i="18"/>
  <c r="J566" i="18"/>
  <c r="J567" i="18"/>
  <c r="J568" i="18"/>
  <c r="J569" i="18"/>
  <c r="J570" i="18"/>
  <c r="J571" i="18"/>
  <c r="J572" i="18"/>
  <c r="J573" i="18"/>
  <c r="J574" i="18"/>
  <c r="J575" i="18"/>
  <c r="J576" i="18"/>
  <c r="J577" i="18"/>
  <c r="J578" i="18"/>
  <c r="J579" i="18"/>
  <c r="J580" i="18"/>
  <c r="J581" i="18"/>
  <c r="J582" i="18"/>
  <c r="J583" i="18"/>
  <c r="J584" i="18"/>
  <c r="J585" i="18"/>
  <c r="J586" i="18"/>
  <c r="J587" i="18"/>
  <c r="J588" i="18"/>
  <c r="J589" i="18"/>
  <c r="J590" i="18"/>
  <c r="J591" i="18"/>
  <c r="J592" i="18"/>
  <c r="J593" i="18"/>
  <c r="J594" i="18"/>
  <c r="J595" i="18"/>
  <c r="J596" i="18"/>
  <c r="J597" i="18"/>
  <c r="J598" i="18"/>
  <c r="J599" i="18"/>
  <c r="J600" i="18"/>
  <c r="J601" i="18"/>
  <c r="J602" i="18"/>
  <c r="J603" i="18"/>
  <c r="J604" i="18"/>
  <c r="J605" i="18"/>
  <c r="J606" i="18"/>
  <c r="J607" i="18"/>
  <c r="J608" i="18"/>
  <c r="J609" i="18"/>
  <c r="J610" i="18"/>
  <c r="J611" i="18"/>
  <c r="J612" i="18"/>
  <c r="J613" i="18"/>
  <c r="J614" i="18"/>
  <c r="J615" i="18"/>
  <c r="J616" i="18"/>
  <c r="J617" i="18"/>
  <c r="J618" i="18"/>
  <c r="J619" i="18"/>
  <c r="J620" i="18"/>
  <c r="J621" i="18"/>
  <c r="J622" i="18"/>
  <c r="J623" i="18"/>
  <c r="J624" i="18"/>
  <c r="J625" i="18"/>
  <c r="J626" i="18"/>
  <c r="J627" i="18"/>
  <c r="J628" i="18"/>
  <c r="J629" i="18"/>
  <c r="J630" i="18"/>
  <c r="J631" i="18"/>
  <c r="J632" i="18"/>
  <c r="J633" i="18"/>
  <c r="J634" i="18"/>
  <c r="J635" i="18"/>
  <c r="J636" i="18"/>
  <c r="J637" i="18"/>
  <c r="J638" i="18"/>
  <c r="J639" i="18"/>
  <c r="J640" i="18"/>
  <c r="J641" i="18"/>
  <c r="J642" i="18"/>
  <c r="J643" i="18"/>
  <c r="J644" i="18"/>
  <c r="J645" i="18"/>
  <c r="J646" i="18"/>
  <c r="J647" i="18"/>
  <c r="J648" i="18"/>
  <c r="J649" i="18"/>
  <c r="J650" i="18"/>
  <c r="J651" i="18"/>
  <c r="J652" i="18"/>
  <c r="J653" i="18"/>
  <c r="J654" i="18"/>
  <c r="J655" i="18"/>
  <c r="J656" i="18"/>
  <c r="J657" i="18"/>
  <c r="J658" i="18"/>
  <c r="J659" i="18"/>
  <c r="J660" i="18"/>
  <c r="J661" i="18"/>
  <c r="J662" i="18"/>
  <c r="J663" i="18"/>
  <c r="J664" i="18"/>
  <c r="J665" i="18"/>
  <c r="J666" i="18"/>
  <c r="J667" i="18"/>
  <c r="J668" i="18"/>
  <c r="J669" i="18"/>
  <c r="J670" i="18"/>
  <c r="J671" i="18"/>
  <c r="J672" i="18"/>
  <c r="J673" i="18"/>
  <c r="J674" i="18"/>
  <c r="J675" i="18"/>
  <c r="J676" i="18"/>
  <c r="J677" i="18"/>
  <c r="J678" i="18"/>
  <c r="J679" i="18"/>
  <c r="J680" i="18"/>
  <c r="J681" i="18"/>
  <c r="J682" i="18"/>
  <c r="J683" i="18"/>
  <c r="J684" i="18"/>
  <c r="J685" i="18"/>
  <c r="J686" i="18"/>
  <c r="J687" i="18"/>
  <c r="J688" i="18"/>
  <c r="J689" i="18"/>
  <c r="J690" i="18"/>
  <c r="J691" i="18"/>
  <c r="J692" i="18"/>
  <c r="J693" i="18"/>
  <c r="J694" i="18"/>
  <c r="J695" i="18"/>
  <c r="J696" i="18"/>
  <c r="J697" i="18"/>
  <c r="J698" i="18"/>
  <c r="J699" i="18"/>
  <c r="J700" i="18"/>
  <c r="J701" i="18"/>
  <c r="J702" i="18"/>
  <c r="J703" i="18"/>
  <c r="J704" i="18"/>
  <c r="J705" i="18"/>
  <c r="J706" i="18"/>
  <c r="J707" i="18"/>
  <c r="J708" i="18"/>
  <c r="J709" i="18"/>
  <c r="J710" i="18"/>
  <c r="J711" i="18"/>
  <c r="J712" i="18"/>
  <c r="J713" i="18"/>
  <c r="J714" i="18"/>
  <c r="J715" i="18"/>
  <c r="J716" i="18"/>
  <c r="J717" i="18"/>
  <c r="J718" i="18"/>
  <c r="J719" i="18"/>
  <c r="J720" i="18"/>
  <c r="J721" i="18"/>
  <c r="J722" i="18"/>
  <c r="J723" i="18"/>
  <c r="J724" i="18"/>
  <c r="J725" i="18"/>
  <c r="J726" i="18"/>
  <c r="J727" i="18"/>
  <c r="J728" i="18"/>
  <c r="J729" i="18"/>
  <c r="J730" i="18"/>
  <c r="J731" i="18"/>
  <c r="J732" i="18"/>
  <c r="J733" i="18"/>
  <c r="J734" i="18"/>
  <c r="J735" i="18"/>
  <c r="J736" i="18"/>
  <c r="J737" i="18"/>
  <c r="J738" i="18"/>
  <c r="J739" i="18"/>
  <c r="J740" i="18"/>
  <c r="J741" i="18"/>
  <c r="J742" i="18"/>
  <c r="J743" i="18"/>
  <c r="J744" i="18"/>
  <c r="J745" i="18"/>
  <c r="J746" i="18"/>
  <c r="J747" i="18"/>
  <c r="J748" i="18"/>
  <c r="J749" i="18"/>
  <c r="J750" i="18"/>
  <c r="J751" i="18"/>
  <c r="J752" i="18"/>
  <c r="J753" i="18"/>
  <c r="J754" i="18"/>
  <c r="J755" i="18"/>
  <c r="J756" i="18"/>
  <c r="J757" i="18"/>
  <c r="J758" i="18"/>
  <c r="J759" i="18"/>
  <c r="J760" i="18"/>
  <c r="J761" i="18"/>
  <c r="J762" i="18"/>
  <c r="J763" i="18"/>
  <c r="J764" i="18"/>
  <c r="J765" i="18"/>
  <c r="J766" i="18"/>
  <c r="J767" i="18"/>
  <c r="J768" i="18"/>
  <c r="J769" i="18"/>
  <c r="J770" i="18"/>
  <c r="J771" i="18"/>
  <c r="J772" i="18"/>
  <c r="J773" i="18"/>
  <c r="J774" i="18"/>
  <c r="J775" i="18"/>
  <c r="J776" i="18"/>
  <c r="J777" i="18"/>
  <c r="J778" i="18"/>
  <c r="J779" i="18"/>
  <c r="J780" i="18"/>
  <c r="J781" i="18"/>
  <c r="J782" i="18"/>
  <c r="J783" i="18"/>
  <c r="J784" i="18"/>
  <c r="J785" i="18"/>
  <c r="J786" i="18"/>
  <c r="J787" i="18"/>
  <c r="J788" i="18"/>
  <c r="J789" i="18"/>
  <c r="J790" i="18"/>
  <c r="J791" i="18"/>
  <c r="J792" i="18"/>
  <c r="J793" i="18"/>
  <c r="J794" i="18"/>
  <c r="J795" i="18"/>
  <c r="J796" i="18"/>
  <c r="J797" i="18"/>
  <c r="J798" i="18"/>
  <c r="J799" i="18"/>
  <c r="J800" i="18"/>
  <c r="J801" i="18"/>
  <c r="J802" i="18"/>
  <c r="J803" i="18"/>
  <c r="J804" i="18"/>
  <c r="J805" i="18"/>
  <c r="J806" i="18"/>
  <c r="J807" i="18"/>
  <c r="J808" i="18"/>
  <c r="J809" i="18"/>
  <c r="J810" i="18"/>
  <c r="J811" i="18"/>
  <c r="J812" i="18"/>
  <c r="J813" i="18"/>
  <c r="J814" i="18"/>
  <c r="J815" i="18"/>
  <c r="J816" i="18"/>
  <c r="J817" i="18"/>
  <c r="J818" i="18"/>
  <c r="J819" i="18"/>
  <c r="J820" i="18"/>
  <c r="J821" i="18"/>
  <c r="J822" i="18"/>
  <c r="J823" i="18"/>
  <c r="J824" i="18"/>
  <c r="J825" i="18"/>
  <c r="J826" i="18"/>
  <c r="J827" i="18"/>
  <c r="J828" i="18"/>
  <c r="J829" i="18"/>
  <c r="J830" i="18"/>
  <c r="J831" i="18"/>
  <c r="J832" i="18"/>
  <c r="J833" i="18"/>
  <c r="J834" i="18"/>
  <c r="J835" i="18"/>
  <c r="J836" i="18"/>
  <c r="J837" i="18"/>
  <c r="J838" i="18"/>
  <c r="J839" i="18"/>
  <c r="J840" i="18"/>
  <c r="J841" i="18"/>
  <c r="J842" i="18"/>
  <c r="J843" i="18"/>
  <c r="J844" i="18"/>
  <c r="J845" i="18"/>
  <c r="J846" i="18"/>
  <c r="J847" i="18"/>
  <c r="J848" i="18"/>
  <c r="J849" i="18"/>
  <c r="J850" i="18"/>
  <c r="J851" i="18"/>
  <c r="J852" i="18"/>
  <c r="J853" i="18"/>
  <c r="J854" i="18"/>
  <c r="J855" i="18"/>
  <c r="J856" i="18"/>
  <c r="J857" i="18"/>
  <c r="J858" i="18"/>
  <c r="J859" i="18"/>
  <c r="J860" i="18"/>
  <c r="J861" i="18"/>
  <c r="J862" i="18"/>
  <c r="J863" i="18"/>
  <c r="J864" i="18"/>
  <c r="J865" i="18"/>
  <c r="J866" i="18"/>
  <c r="J867" i="18"/>
  <c r="J868" i="18"/>
  <c r="J869" i="18"/>
  <c r="J870" i="18"/>
  <c r="J871" i="18"/>
  <c r="J872" i="18"/>
  <c r="J873" i="18"/>
  <c r="J874" i="18"/>
  <c r="J875" i="18"/>
  <c r="J876" i="18"/>
  <c r="J877" i="18"/>
  <c r="J878" i="18"/>
  <c r="J879" i="18"/>
  <c r="J880" i="18"/>
  <c r="J881" i="18"/>
  <c r="J882" i="18"/>
  <c r="J883" i="18"/>
  <c r="J884" i="18"/>
  <c r="J885" i="18"/>
  <c r="J886" i="18"/>
  <c r="J887" i="18"/>
  <c r="J888" i="18"/>
  <c r="J889" i="18"/>
  <c r="J890" i="18"/>
  <c r="J891" i="18"/>
  <c r="J892" i="18"/>
  <c r="J893" i="18"/>
  <c r="J894" i="18"/>
  <c r="J895" i="18"/>
  <c r="J896" i="18"/>
  <c r="J897" i="18"/>
  <c r="J898" i="18"/>
  <c r="J899" i="18"/>
  <c r="J900" i="18"/>
  <c r="J901" i="18"/>
  <c r="J902" i="18"/>
  <c r="J903" i="18"/>
  <c r="J904" i="18"/>
  <c r="J905" i="18"/>
  <c r="J906" i="18"/>
  <c r="J907" i="18"/>
  <c r="J908" i="18"/>
  <c r="J909" i="18"/>
  <c r="J910" i="18"/>
  <c r="J911" i="18"/>
  <c r="J912" i="18"/>
  <c r="J913" i="18"/>
  <c r="J914" i="18"/>
  <c r="J915" i="18"/>
  <c r="J916" i="18"/>
  <c r="J917" i="18"/>
  <c r="J918" i="18"/>
  <c r="J919" i="18"/>
  <c r="J920" i="18"/>
  <c r="J921" i="18"/>
  <c r="J922" i="18"/>
  <c r="J923" i="18"/>
  <c r="J924" i="18"/>
  <c r="J925" i="18"/>
  <c r="J926" i="18"/>
  <c r="J927" i="18"/>
  <c r="J928" i="18"/>
  <c r="J929" i="18"/>
  <c r="J930" i="18"/>
  <c r="J931" i="18"/>
  <c r="J932" i="18"/>
  <c r="J933" i="18"/>
  <c r="J934" i="18"/>
  <c r="J935" i="18"/>
  <c r="J936" i="18"/>
  <c r="J937" i="18"/>
  <c r="J938" i="18"/>
  <c r="J939" i="18"/>
  <c r="J940" i="18"/>
  <c r="J941" i="18"/>
  <c r="J942" i="18"/>
  <c r="J943" i="18"/>
  <c r="J944" i="18"/>
  <c r="J945" i="18"/>
  <c r="J946" i="18"/>
  <c r="J947" i="18"/>
  <c r="J948" i="18"/>
  <c r="J949" i="18"/>
  <c r="J950" i="18"/>
  <c r="J951" i="18"/>
  <c r="J952" i="18"/>
  <c r="J953" i="18"/>
  <c r="J954" i="18"/>
  <c r="J955" i="18"/>
  <c r="J956" i="18"/>
  <c r="J957" i="18"/>
  <c r="J958" i="18"/>
  <c r="J959" i="18"/>
  <c r="J960" i="18"/>
  <c r="J961" i="18"/>
  <c r="J962" i="18"/>
  <c r="J963" i="18"/>
  <c r="J964" i="18"/>
  <c r="J965" i="18"/>
  <c r="J966" i="18"/>
  <c r="J967" i="18"/>
  <c r="J968" i="18"/>
  <c r="J969" i="18"/>
  <c r="J970" i="18"/>
  <c r="J971" i="18"/>
  <c r="J972" i="18"/>
  <c r="J973" i="18"/>
  <c r="J974" i="18"/>
  <c r="J975" i="18"/>
  <c r="J976" i="18"/>
  <c r="J977" i="18"/>
  <c r="J978" i="18"/>
  <c r="J979" i="18"/>
  <c r="J980" i="18"/>
  <c r="J981" i="18"/>
  <c r="J982" i="18"/>
  <c r="J983" i="18"/>
  <c r="J984" i="18"/>
  <c r="J985" i="18"/>
  <c r="J986" i="18"/>
  <c r="J987" i="18"/>
  <c r="J988" i="18"/>
  <c r="J989" i="18"/>
  <c r="J990" i="18"/>
  <c r="J991" i="18"/>
  <c r="J992" i="18"/>
  <c r="J993" i="18"/>
  <c r="J994" i="18"/>
  <c r="J995" i="18"/>
  <c r="J996" i="18"/>
  <c r="J997" i="18"/>
  <c r="J998" i="18"/>
  <c r="J999" i="18"/>
  <c r="J1000" i="18"/>
  <c r="J1001" i="18"/>
  <c r="J1002" i="18"/>
  <c r="J1003" i="18"/>
  <c r="J1004" i="18"/>
  <c r="J1005" i="18"/>
  <c r="J1006" i="18"/>
  <c r="J1007" i="18"/>
  <c r="J1008" i="18"/>
  <c r="J1009" i="18"/>
  <c r="J1010" i="18"/>
  <c r="J1011" i="18"/>
  <c r="J1012" i="18"/>
  <c r="J1013" i="18"/>
  <c r="J1014" i="18"/>
  <c r="J1015" i="18"/>
  <c r="J1016" i="18"/>
  <c r="J1017" i="18"/>
  <c r="J1018" i="18"/>
  <c r="J1019" i="18"/>
  <c r="J1020" i="18"/>
  <c r="J1021" i="18"/>
  <c r="J1022" i="18"/>
  <c r="J1023" i="18"/>
  <c r="J1024" i="18"/>
  <c r="J1025" i="18"/>
  <c r="J1026" i="18"/>
  <c r="J1027" i="18"/>
  <c r="J1028" i="18"/>
  <c r="J1029" i="18"/>
  <c r="J1030" i="18"/>
  <c r="J1031" i="18"/>
  <c r="J1032" i="18"/>
  <c r="J1033" i="18"/>
  <c r="J1034" i="18"/>
  <c r="J1035" i="18"/>
  <c r="J1036" i="18"/>
  <c r="J1037" i="18"/>
  <c r="J1038" i="18"/>
  <c r="J1039" i="18"/>
  <c r="J1040" i="18"/>
  <c r="J1041" i="18"/>
  <c r="J1042" i="18"/>
  <c r="J1043" i="18"/>
  <c r="J1044" i="18"/>
  <c r="J1045" i="18"/>
  <c r="J1046" i="18"/>
  <c r="J1047" i="18"/>
  <c r="J1048" i="18"/>
  <c r="J1049" i="18"/>
  <c r="J1050" i="18"/>
  <c r="J1051" i="18"/>
  <c r="J1052" i="18"/>
  <c r="J1053" i="18"/>
  <c r="J1054" i="18"/>
  <c r="J1055" i="18"/>
  <c r="J1056" i="18"/>
  <c r="J1057" i="18"/>
  <c r="J1058" i="18"/>
  <c r="J1059" i="18"/>
  <c r="J1060" i="18"/>
  <c r="J1061" i="18"/>
  <c r="J1062" i="18"/>
  <c r="J1063" i="18"/>
  <c r="J1064" i="18"/>
  <c r="J1065" i="18"/>
  <c r="J1066" i="18"/>
  <c r="J1067" i="18"/>
  <c r="J1068" i="18"/>
  <c r="J1069" i="18"/>
  <c r="J1070" i="18"/>
  <c r="J1071" i="18"/>
  <c r="J1072" i="18"/>
  <c r="J1073" i="18"/>
  <c r="J1074" i="18"/>
  <c r="J1075" i="18"/>
  <c r="J1076" i="18"/>
  <c r="J1077" i="18"/>
  <c r="J1078" i="18"/>
  <c r="J1079" i="18"/>
  <c r="J1080" i="18"/>
  <c r="J1081" i="18"/>
  <c r="J1082" i="18"/>
  <c r="J1083" i="18"/>
  <c r="J1084" i="18"/>
  <c r="J1085" i="18"/>
  <c r="J1086" i="18"/>
  <c r="J1087" i="18"/>
  <c r="J1088" i="18"/>
  <c r="J1089" i="18"/>
  <c r="J1090" i="18"/>
  <c r="J1091" i="18"/>
  <c r="J1092" i="18"/>
  <c r="J1093" i="18"/>
  <c r="J1094" i="18"/>
  <c r="J1095" i="18"/>
  <c r="J1096" i="18"/>
  <c r="J1097" i="18"/>
  <c r="J1098" i="18"/>
  <c r="J1099" i="18"/>
  <c r="J1100" i="18"/>
  <c r="J1101" i="18"/>
  <c r="J1102" i="18"/>
  <c r="J1103" i="18"/>
  <c r="J1104" i="18"/>
  <c r="J1105" i="18"/>
  <c r="J1106" i="18"/>
  <c r="J1107" i="18"/>
  <c r="J1108" i="18"/>
  <c r="J1109" i="18"/>
  <c r="J1110" i="18"/>
  <c r="J1111" i="18"/>
  <c r="J1112" i="18"/>
  <c r="J1113" i="18"/>
  <c r="J1114" i="18"/>
  <c r="J1115" i="18"/>
  <c r="J1116" i="18"/>
  <c r="J1117" i="18"/>
  <c r="J1118" i="18"/>
  <c r="J1119" i="18"/>
  <c r="J1120" i="18"/>
  <c r="J1121" i="18"/>
  <c r="J1122" i="18"/>
  <c r="J1123" i="18"/>
  <c r="J1124" i="18"/>
  <c r="J1125" i="18"/>
  <c r="J1126" i="18"/>
  <c r="J1127" i="18"/>
  <c r="J1128" i="18"/>
  <c r="J1129" i="18"/>
  <c r="J1130" i="18"/>
  <c r="J1131" i="18"/>
  <c r="J1132" i="18"/>
  <c r="J1133" i="18"/>
  <c r="J1134" i="18"/>
  <c r="J1135" i="18"/>
  <c r="J1136" i="18"/>
  <c r="J1137" i="18"/>
  <c r="J1138" i="18"/>
  <c r="J1139" i="18"/>
  <c r="J1140" i="18"/>
  <c r="J1141" i="18"/>
  <c r="J1142" i="18"/>
  <c r="J1143" i="18"/>
  <c r="J1144" i="18"/>
  <c r="J1145" i="18"/>
  <c r="J1146" i="18"/>
  <c r="J1147" i="18"/>
  <c r="J1148" i="18"/>
  <c r="J1149" i="18"/>
  <c r="J1150" i="18"/>
  <c r="J1151" i="18"/>
  <c r="J1152" i="18"/>
  <c r="J1153" i="18"/>
  <c r="J1154" i="18"/>
  <c r="J1155" i="18"/>
  <c r="J1156" i="18"/>
  <c r="J1157" i="18"/>
  <c r="J1158" i="18"/>
  <c r="J1159" i="18"/>
  <c r="J1160" i="18"/>
  <c r="J1161" i="18"/>
  <c r="J1162" i="18"/>
  <c r="J1163" i="18"/>
  <c r="J1164" i="18"/>
  <c r="J1165" i="18"/>
  <c r="J1166" i="18"/>
  <c r="J1167" i="18"/>
  <c r="J1168" i="18"/>
  <c r="J1169" i="18"/>
  <c r="J1170" i="18"/>
  <c r="J1171" i="18"/>
  <c r="J1172" i="18"/>
  <c r="J1173" i="18"/>
  <c r="J1174" i="18"/>
  <c r="J1175" i="18"/>
  <c r="J1176" i="18"/>
  <c r="J1177" i="18"/>
  <c r="J1178" i="18"/>
  <c r="J1179" i="18"/>
  <c r="J1180" i="18"/>
  <c r="J1181" i="18"/>
  <c r="J1182" i="18"/>
  <c r="J1183" i="18"/>
  <c r="J1184" i="18"/>
  <c r="J1185" i="18"/>
  <c r="J1186" i="18"/>
  <c r="J1187" i="18"/>
  <c r="J1188" i="18"/>
  <c r="J1189" i="18"/>
  <c r="J1190" i="18"/>
  <c r="J1191" i="18"/>
  <c r="J1192" i="18"/>
  <c r="J1193" i="18"/>
  <c r="J1194" i="18"/>
  <c r="J1195" i="18"/>
  <c r="J1196" i="18"/>
  <c r="J1197" i="18"/>
  <c r="J1198" i="18"/>
  <c r="J1199" i="18"/>
  <c r="J1200" i="18"/>
  <c r="J1201" i="18"/>
  <c r="J1202" i="18"/>
  <c r="J1203" i="18"/>
  <c r="J1204" i="18"/>
  <c r="J1205" i="18"/>
  <c r="J1206" i="18"/>
  <c r="J1207" i="18"/>
  <c r="J1208" i="18"/>
  <c r="J1209" i="18"/>
  <c r="J1210" i="18"/>
  <c r="J1211" i="18"/>
  <c r="J1212" i="18"/>
  <c r="J1213" i="18"/>
  <c r="J1214" i="18"/>
  <c r="J1215" i="18"/>
  <c r="J1216" i="18"/>
  <c r="J1217" i="18"/>
  <c r="J1218" i="18"/>
  <c r="J1219" i="18"/>
  <c r="J1220" i="18"/>
  <c r="J1221" i="18"/>
  <c r="J1222" i="18"/>
  <c r="J1223" i="18"/>
  <c r="J1224" i="18"/>
  <c r="J1225" i="18"/>
  <c r="J1226" i="18"/>
  <c r="J1227" i="18"/>
  <c r="J1228" i="18"/>
  <c r="J1229" i="18"/>
  <c r="J1230" i="18"/>
  <c r="J1231" i="18"/>
  <c r="J1232" i="18"/>
  <c r="J1233" i="18"/>
  <c r="J1234" i="18"/>
  <c r="J1235" i="18"/>
  <c r="J1236" i="18"/>
  <c r="J1237" i="18"/>
  <c r="J1238" i="18"/>
  <c r="J1239" i="18"/>
  <c r="J1240" i="18"/>
  <c r="J1241" i="18"/>
  <c r="J1242" i="18"/>
  <c r="J1243" i="18"/>
  <c r="J1244" i="18"/>
  <c r="J1245" i="18"/>
  <c r="J1246" i="18"/>
  <c r="J1247" i="18"/>
  <c r="J1248" i="18"/>
  <c r="J1249" i="18"/>
  <c r="J1250" i="18"/>
  <c r="J1251" i="18"/>
  <c r="J1252" i="18"/>
  <c r="J1253" i="18"/>
  <c r="J1254" i="18"/>
  <c r="J1255" i="18"/>
  <c r="J1256" i="18"/>
  <c r="J1257" i="18"/>
  <c r="J1258" i="18"/>
  <c r="J1259" i="18"/>
  <c r="J1260" i="18"/>
  <c r="J1261" i="18"/>
  <c r="J1262" i="18"/>
  <c r="J1263" i="18"/>
  <c r="J1264" i="18"/>
  <c r="J1265" i="18"/>
  <c r="J1266" i="18"/>
  <c r="J1267" i="18"/>
  <c r="J1268" i="18"/>
  <c r="J1269" i="18"/>
  <c r="J1270" i="18"/>
  <c r="J1271" i="18"/>
  <c r="J1272" i="18"/>
  <c r="J1273" i="18"/>
  <c r="J1274" i="18"/>
  <c r="J1275" i="18"/>
  <c r="J1276" i="18"/>
  <c r="J1277" i="18"/>
  <c r="J1278" i="18"/>
  <c r="J1279" i="18"/>
  <c r="J1280" i="18"/>
  <c r="J1281" i="18"/>
  <c r="J1282" i="18"/>
  <c r="J1283" i="18"/>
  <c r="J1284" i="18"/>
  <c r="J1285" i="18"/>
  <c r="J1286" i="18"/>
  <c r="J1287" i="18"/>
  <c r="J1288" i="18"/>
  <c r="J1289" i="18"/>
  <c r="J1290" i="18"/>
  <c r="J1291" i="18"/>
  <c r="J1292" i="18"/>
  <c r="J1293" i="18"/>
  <c r="J1294" i="18"/>
  <c r="J1295" i="18"/>
  <c r="J1296" i="18"/>
  <c r="J1297" i="18"/>
  <c r="J1298" i="18"/>
  <c r="J1299" i="18"/>
  <c r="J1300" i="18"/>
  <c r="J1301" i="18"/>
  <c r="J1302" i="18"/>
  <c r="J1303" i="18"/>
  <c r="J1304" i="18"/>
  <c r="J1305" i="18"/>
  <c r="J1306" i="18"/>
  <c r="J1307" i="18"/>
  <c r="J1308" i="18"/>
  <c r="J1309" i="18"/>
  <c r="J1310" i="18"/>
  <c r="J1311" i="18"/>
  <c r="J1312" i="18"/>
  <c r="J1313" i="18"/>
  <c r="J1314" i="18"/>
  <c r="J1315" i="18"/>
  <c r="J1316" i="18"/>
  <c r="J1317" i="18"/>
  <c r="J1318" i="18"/>
  <c r="J1319" i="18"/>
  <c r="J1320" i="18"/>
  <c r="J1321" i="18"/>
  <c r="J1322" i="18"/>
  <c r="J1323" i="18"/>
  <c r="J1324" i="18"/>
  <c r="J1325" i="18"/>
  <c r="J1326" i="18"/>
  <c r="J1327" i="18"/>
  <c r="J1328" i="18"/>
  <c r="J1329" i="18"/>
  <c r="J1330" i="18"/>
  <c r="J1331" i="18"/>
  <c r="J1332" i="18"/>
  <c r="J1333" i="18"/>
  <c r="J1334" i="18"/>
  <c r="J1335" i="18"/>
  <c r="J1336" i="18"/>
  <c r="J1337" i="18"/>
  <c r="J1338" i="18"/>
  <c r="J1339" i="18"/>
  <c r="J2" i="18"/>
  <c r="M5" i="19"/>
  <c r="M6" i="19"/>
  <c r="M7" i="19"/>
  <c r="M4" i="19"/>
  <c r="K5" i="19"/>
  <c r="K6" i="19"/>
  <c r="K7" i="19"/>
  <c r="K4" i="19"/>
  <c r="J5" i="19"/>
  <c r="J6" i="19"/>
  <c r="J7" i="19"/>
  <c r="J4" i="19"/>
  <c r="I5" i="19"/>
  <c r="I6" i="19"/>
  <c r="I7" i="19"/>
  <c r="I4" i="19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<sst xmlns="http://schemas.openxmlformats.org/spreadsheetml/2006/main" count="12105" uniqueCount="55">
  <si>
    <t>age</t>
  </si>
  <si>
    <t>gender</t>
  </si>
  <si>
    <t>bmi</t>
  </si>
  <si>
    <t>children</t>
  </si>
  <si>
    <t>discount_eligibility</t>
  </si>
  <si>
    <t>region</t>
  </si>
  <si>
    <t>expenses</t>
  </si>
  <si>
    <t>premium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</si>
  <si>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</si>
  <si>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</si>
  <si>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</si>
  <si>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</si>
  <si>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</si>
  <si>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</si>
  <si>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</si>
  <si>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</si>
  <si>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1 - Carregar a tabela do Excel pro Python</t>
  </si>
  <si>
    <t>Cluster</t>
  </si>
  <si>
    <t>Lucro que teríamos</t>
  </si>
  <si>
    <t>Lucro que tivemos</t>
  </si>
  <si>
    <t>midwest</t>
  </si>
  <si>
    <t>south</t>
  </si>
  <si>
    <t>Margem Desejada</t>
  </si>
  <si>
    <t>Clusterização com K-Means</t>
  </si>
  <si>
    <t>2 - Padronizar os dados</t>
  </si>
  <si>
    <t>3 - Avaliar quantidade de clusters</t>
  </si>
  <si>
    <t>discount_eligibility_tratado</t>
  </si>
  <si>
    <t>4 - Rodando a Clusterização</t>
  </si>
  <si>
    <t>5 - Acrescentando coluna 'Cluster' na base</t>
  </si>
  <si>
    <t>6 - Exibindo base clusterizada</t>
  </si>
  <si>
    <t>Valor Premium Novo</t>
  </si>
  <si>
    <t>Rótulos de Linha</t>
  </si>
  <si>
    <t>Total Geral</t>
  </si>
  <si>
    <t>Média de age</t>
  </si>
  <si>
    <t>Média de bmi</t>
  </si>
  <si>
    <t>Média de children</t>
  </si>
  <si>
    <t>Média de discount_eligibility_tratado</t>
  </si>
  <si>
    <t>Média de expenses</t>
  </si>
  <si>
    <t>Média de premium</t>
  </si>
  <si>
    <t xml:space="preserve">Cluster 0 </t>
  </si>
  <si>
    <t>Mais jovem, imc, baixo, poucos filhos</t>
  </si>
  <si>
    <t>Cluster 1</t>
  </si>
  <si>
    <t>Mais velho, imc mais alto, poucos filhos</t>
  </si>
  <si>
    <t>Cluster 2</t>
  </si>
  <si>
    <t>Cluster 3</t>
  </si>
  <si>
    <t>Clientes com desconto</t>
  </si>
  <si>
    <t>Meia idade, imc mais alto, muitos filhos</t>
  </si>
  <si>
    <t>DesvPad de expenses</t>
  </si>
  <si>
    <t>Coeficiente Variação (expenses)</t>
  </si>
  <si>
    <t>Lucro médio</t>
  </si>
  <si>
    <t>Margem</t>
  </si>
  <si>
    <t>Margem desejada</t>
  </si>
  <si>
    <t>Preço Alvo</t>
  </si>
  <si>
    <t>Lucro Antigo</t>
  </si>
  <si>
    <t>Lucro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</si>
</sst>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"/>
    <numFmt numFmtId="165" formatCode="_-[$R$-416]\ * #,##0.00_-;\-[$R$-416]\ * #,##0.00_-;_-[$R$-416]\ 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8" fontId="0" fillId="0" borderId="0" xfId="0" applyNumberFormat="1"/>
    <xf numFmtId="0" fontId="0" fillId="0" borderId="11" xfId="0" applyBorder="1"/>
    <xf numFmtId="0" fontId="13" fillId="33" borderId="13" xfId="0" applyFont="1" applyFill="1" applyBorder="1"/>
    <xf numFmtId="0" fontId="13" fillId="33" borderId="14" xfId="0" applyFont="1" applyFill="1" applyBorder="1"/>
    <xf numFmtId="0" fontId="0" fillId="0" borderId="15" xfId="0" applyBorder="1"/>
    <xf numFmtId="0" fontId="13" fillId="33" borderId="12" xfId="0" applyFont="1" applyFill="1" applyBorder="1"/>
    <xf numFmtId="0" fontId="13" fillId="33" borderId="10" xfId="0" applyFont="1" applyFill="1" applyBorder="1"/>
    <xf numFmtId="8" fontId="0" fillId="0" borderId="10" xfId="0" applyNumberFormat="1" applyBorder="1"/>
    <xf numFmtId="9" fontId="0" fillId="0" borderId="10" xfId="0" applyNumberFormat="1" applyBorder="1"/>
    <xf numFmtId="3" fontId="0" fillId="0" borderId="10" xfId="0" applyNumberFormat="1" applyBorder="1"/>
    <xf numFmtId="8" fontId="13" fillId="33" borderId="10" xfId="0" applyNumberFormat="1" applyFont="1" applyFill="1" applyBorder="1"/>
    <xf numFmtId="2" fontId="0" fillId="0" borderId="11" xfId="0" applyNumberFormat="1" applyBorder="1"/>
    <xf numFmtId="2" fontId="0" fillId="0" borderId="10" xfId="0" applyNumberFormat="1" applyBorder="1"/>
    <xf numFmtId="0" fontId="0" fillId="0" borderId="16" xfId="0" applyBorder="1"/>
    <xf numFmtId="0" fontId="13" fillId="33" borderId="0" xfId="0" applyFont="1" applyFill="1"/>
    <xf numFmtId="0" fontId="13" fillId="33" borderId="17" xfId="0" applyFont="1" applyFill="1" applyBorder="1"/>
    <xf numFmtId="2" fontId="0" fillId="0" borderId="18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6" fillId="34" borderId="19" xfId="0" applyFont="1" applyFill="1" applyBorder="1"/>
    <xf numFmtId="164" fontId="0" fillId="0" borderId="0" xfId="0" applyNumberFormat="1"/>
    <xf numFmtId="165" fontId="0" fillId="0" borderId="0" xfId="0" applyNumberFormat="1"/>
    <xf numFmtId="0" fontId="16" fillId="35" borderId="10" xfId="0" applyFont="1" applyFill="1" applyBorder="1" applyAlignment="1">
      <alignment horizontal="center"/>
    </xf>
    <xf numFmtId="9" fontId="0" fillId="0" borderId="0" xfId="42" applyFont="1"/>
    <xf numFmtId="165" fontId="14" fillId="0" borderId="0" xfId="0" applyNumberFormat="1" applyFont="1"/>
    <xf numFmtId="9" fontId="14" fillId="0" borderId="0" xfId="42" applyFont="1"/>
    <xf numFmtId="0" fontId="16" fillId="34" borderId="0" xfId="0" applyFont="1" applyFill="1"/>
    <xf numFmtId="9" fontId="0" fillId="0" borderId="0" xfId="0" applyNumberFormat="1"/>
    <xf numFmtId="0" fontId="18" fillId="33" borderId="0" xfId="0" applyFont="1" applyFill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3">
    <dxf>
      <numFmt numFmtId="165" formatCode="_-[$R$-416]\ * #,##0.00_-;\-[$R$-416]\ * #,##0.00_-;_-[$R$-416]\ * &quot;-&quot;??_-;_-@_-"/>
    </dxf>
    <dxf>
      <numFmt numFmtId="164" formatCode="0.0"/>
    </dxf>
    <dxf>
      <numFmt numFmtId="164" formatCode="0.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mruColors>
      <color rgb="FFD4EEF8"/>
      <color rgb="FFFFF1C5"/>
      <color rgb="FFFFEC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5.749645370372" createdVersion="8" refreshedVersion="8" minRefreshableVersion="3" recordCount="1338" xr:uid="{2522D9A8-9599-4A33-83F5-EC426978EF32}">
  <cacheSource type="worksheet">
    <worksheetSource ref="A1:J1339" sheet="Base_Clusterizada"/>
  </cacheSource>
  <cacheFields count="10">
    <cacheField name="age" numFmtId="0">
      <sharedItems containsSemiMixedTypes="0" containsString="0" containsNumber="1" containsInteger="1" minValue="18" maxValue="64"/>
    </cacheField>
    <cacheField name="gender" numFmtId="0">
      <sharedItems/>
    </cacheField>
    <cacheField name="bmi" numFmtId="0">
      <sharedItems containsSemiMixedTypes="0" containsString="0" containsNumber="1" minValue="16.8" maxValue="49.1"/>
    </cacheField>
    <cacheField name="children" numFmtId="0">
      <sharedItems containsSemiMixedTypes="0" containsString="0" containsNumber="1" containsInteger="1" minValue="0" maxValue="5"/>
    </cacheField>
    <cacheField name="discount_eligibility" numFmtId="0">
      <sharedItems/>
    </cacheField>
    <cacheField name="region" numFmtId="0">
      <sharedItems/>
    </cacheField>
    <cacheField name="expenses" numFmtId="0">
      <sharedItems containsSemiMixedTypes="0" containsString="0" containsNumber="1" minValue="841.87453898069703" maxValue="6495.0878525316093"/>
    </cacheField>
    <cacheField name="premium" numFmtId="0">
      <sharedItems containsSemiMixedTypes="0" containsString="0" containsNumber="1" minValue="1122.499385307596" maxValue="6185.7979547920095"/>
    </cacheField>
    <cacheField name="discount_eligibility_tratado" numFmtId="0">
      <sharedItems containsSemiMixedTypes="0" containsString="0" containsNumber="1" containsInteger="1" minValue="0" maxValue="1"/>
    </cacheField>
    <cacheField name="Cluster" numFmtId="0">
      <sharedItems containsSemiMixedTypes="0" containsString="0" containsNumber="1" containsInteger="1" minValue="0" maxValue="3" count="4">
        <n v="2"/>
        <n v="0"/>
        <n v="3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4.1"/>
    <n v="0"/>
    <s v="yes"/>
    <s v="south"/>
    <n v="1483.2083438014599"/>
    <n v="1744.9509927076006"/>
    <n v="1"/>
    <x v="0"/>
  </r>
  <r>
    <n v="18"/>
    <s v="male"/>
    <n v="23.5"/>
    <n v="1"/>
    <s v="no"/>
    <s v="southeast"/>
    <n v="2237.6079336587268"/>
    <n v="2632.4799219514439"/>
    <n v="0"/>
    <x v="1"/>
  </r>
  <r>
    <n v="28"/>
    <s v="male"/>
    <n v="33"/>
    <n v="3"/>
    <s v="no"/>
    <s v="southeast"/>
    <n v="2046.087155520574"/>
    <n v="2728.1162073607652"/>
    <n v="0"/>
    <x v="2"/>
  </r>
  <r>
    <n v="33"/>
    <s v="male"/>
    <n v="23.3"/>
    <n v="0"/>
    <s v="no"/>
    <s v="midwest"/>
    <n v="2331.6920440425133"/>
    <n v="2743.1671106382519"/>
    <n v="0"/>
    <x v="1"/>
  </r>
  <r>
    <n v="32"/>
    <s v="male"/>
    <n v="23.4"/>
    <n v="0"/>
    <s v="no"/>
    <s v="midwest"/>
    <n v="1942.5012513580566"/>
    <n v="2285.2955898330083"/>
    <n v="0"/>
    <x v="1"/>
  </r>
  <r>
    <n v="31"/>
    <s v="female"/>
    <n v="22.9"/>
    <n v="0"/>
    <s v="no"/>
    <s v="southeast"/>
    <n v="2375.7405441112601"/>
    <n v="2794.9888754250128"/>
    <n v="0"/>
    <x v="1"/>
  </r>
  <r>
    <n v="46"/>
    <s v="female"/>
    <n v="33.4"/>
    <n v="1"/>
    <s v="no"/>
    <s v="southeast"/>
    <n v="4453.2339258824668"/>
    <n v="4241.1751675071127"/>
    <n v="0"/>
    <x v="3"/>
  </r>
  <r>
    <n v="37"/>
    <s v="female"/>
    <n v="27.7"/>
    <n v="3"/>
    <s v="no"/>
    <s v="midwest"/>
    <n v="2326.6881657621798"/>
    <n v="3102.2508876829061"/>
    <n v="0"/>
    <x v="2"/>
  </r>
  <r>
    <n v="37"/>
    <s v="male"/>
    <n v="29.8"/>
    <n v="2"/>
    <s v="no"/>
    <s v="northeast"/>
    <n v="1712.4259783787038"/>
    <n v="2283.2346378382717"/>
    <n v="0"/>
    <x v="2"/>
  </r>
  <r>
    <n v="60"/>
    <s v="female"/>
    <n v="25.8"/>
    <n v="0"/>
    <s v="no"/>
    <s v="midwest"/>
    <n v="4684.8205889541305"/>
    <n v="4461.7338942420301"/>
    <n v="0"/>
    <x v="3"/>
  </r>
  <r>
    <n v="25"/>
    <s v="male"/>
    <n v="20.3"/>
    <n v="0"/>
    <s v="no"/>
    <s v="northeast"/>
    <n v="2168.5564914224506"/>
    <n v="2551.2429310852363"/>
    <n v="0"/>
    <x v="1"/>
  </r>
  <r>
    <n v="62"/>
    <s v="female"/>
    <n v="26.3"/>
    <n v="0"/>
    <s v="yes"/>
    <s v="southeast"/>
    <n v="5417.6353024167529"/>
    <n v="5159.6526689683369"/>
    <n v="1"/>
    <x v="0"/>
  </r>
  <r>
    <n v="23"/>
    <s v="male"/>
    <n v="21.2"/>
    <n v="0"/>
    <s v="no"/>
    <s v="south"/>
    <n v="1802.1615009832854"/>
    <n v="2120.1900011568073"/>
    <n v="0"/>
    <x v="1"/>
  </r>
  <r>
    <n v="56"/>
    <s v="female"/>
    <n v="39.799999999999997"/>
    <n v="0"/>
    <s v="no"/>
    <s v="southeast"/>
    <n v="3641.0645374069709"/>
    <n v="3467.6805118161642"/>
    <n v="0"/>
    <x v="3"/>
  </r>
  <r>
    <n v="27"/>
    <s v="male"/>
    <n v="24.2"/>
    <n v="0"/>
    <s v="yes"/>
    <s v="southeast"/>
    <n v="1460.3167286240553"/>
    <n v="1718.0196807341836"/>
    <n v="1"/>
    <x v="0"/>
  </r>
  <r>
    <n v="19"/>
    <s v="male"/>
    <n v="25.8"/>
    <n v="1"/>
    <s v="no"/>
    <s v="south"/>
    <n v="1680.3079158609976"/>
    <n v="1976.8328421894096"/>
    <n v="0"/>
    <x v="1"/>
  </r>
  <r>
    <n v="52"/>
    <s v="female"/>
    <n v="30.8"/>
    <n v="1"/>
    <s v="no"/>
    <s v="northeast"/>
    <n v="3924.9201682119551"/>
    <n v="3738.0192078209111"/>
    <n v="0"/>
    <x v="3"/>
  </r>
  <r>
    <n v="23"/>
    <s v="male"/>
    <n v="25.8"/>
    <n v="0"/>
    <s v="no"/>
    <s v="northeast"/>
    <n v="1787.5454795082733"/>
    <n v="2102.9946817744399"/>
    <n v="0"/>
    <x v="1"/>
  </r>
  <r>
    <n v="56"/>
    <s v="male"/>
    <n v="40.299999999999997"/>
    <n v="0"/>
    <s v="no"/>
    <s v="south"/>
    <n v="4404.9073514532083"/>
    <n v="4195.1498585268664"/>
    <n v="0"/>
    <x v="3"/>
  </r>
  <r>
    <n v="30"/>
    <s v="male"/>
    <n v="25.7"/>
    <n v="0"/>
    <s v="yes"/>
    <s v="south"/>
    <n v="1910.2586995687416"/>
    <n v="2247.3631759632262"/>
    <n v="1"/>
    <x v="0"/>
  </r>
  <r>
    <n v="60"/>
    <s v="female"/>
    <n v="36"/>
    <n v="0"/>
    <s v="no"/>
    <s v="northeast"/>
    <n v="3798.1509253779682"/>
    <n v="3617.286595598066"/>
    <n v="0"/>
    <x v="3"/>
  </r>
  <r>
    <n v="30"/>
    <s v="female"/>
    <n v="24.1"/>
    <n v="1"/>
    <s v="no"/>
    <s v="south"/>
    <n v="1740.5823660346139"/>
    <n v="2047.7439600407231"/>
    <n v="0"/>
    <x v="1"/>
  </r>
  <r>
    <n v="18"/>
    <s v="male"/>
    <n v="23"/>
    <n v="0"/>
    <s v="no"/>
    <s v="southeast"/>
    <n v="1536.0759965914722"/>
    <n v="1807.1482312840858"/>
    <n v="0"/>
    <x v="1"/>
  </r>
  <r>
    <n v="34"/>
    <s v="female"/>
    <n v="23.4"/>
    <n v="1"/>
    <s v="yes"/>
    <s v="northeast"/>
    <n v="1555.8077274141297"/>
    <n v="1830.3620322519178"/>
    <n v="1"/>
    <x v="0"/>
  </r>
  <r>
    <n v="37"/>
    <s v="male"/>
    <n v="28"/>
    <n v="2"/>
    <s v="no"/>
    <s v="midwest"/>
    <n v="1093.0780399373862"/>
    <n v="1457.4373865831815"/>
    <n v="0"/>
    <x v="2"/>
  </r>
  <r>
    <n v="59"/>
    <s v="female"/>
    <n v="27.7"/>
    <n v="3"/>
    <s v="no"/>
    <s v="southeast"/>
    <n v="3087.1134897948969"/>
    <n v="4116.1513197265294"/>
    <n v="0"/>
    <x v="2"/>
  </r>
  <r>
    <n v="63"/>
    <s v="female"/>
    <n v="23.1"/>
    <n v="0"/>
    <s v="no"/>
    <s v="northeast"/>
    <n v="4919.5069773495661"/>
    <n v="4685.2447403329215"/>
    <n v="0"/>
    <x v="3"/>
  </r>
  <r>
    <n v="55"/>
    <s v="female"/>
    <n v="32.799999999999997"/>
    <n v="2"/>
    <s v="no"/>
    <s v="midwest"/>
    <n v="2582.8582873001646"/>
    <n v="3443.8110497335529"/>
    <n v="0"/>
    <x v="2"/>
  </r>
  <r>
    <n v="23"/>
    <s v="male"/>
    <n v="25.1"/>
    <n v="1"/>
    <s v="no"/>
    <s v="midwest"/>
    <n v="1649.6327842520591"/>
    <n v="1940.7444520612464"/>
    <n v="0"/>
    <x v="1"/>
  </r>
  <r>
    <n v="31"/>
    <s v="male"/>
    <n v="36.299999999999997"/>
    <n v="2"/>
    <s v="yes"/>
    <s v="south"/>
    <n v="1296.1726470837023"/>
    <n v="1728.2301961116029"/>
    <n v="1"/>
    <x v="0"/>
  </r>
  <r>
    <n v="22"/>
    <s v="male"/>
    <n v="25.1"/>
    <n v="0"/>
    <s v="yes"/>
    <s v="south"/>
    <n v="1877.2039853968902"/>
    <n v="2208.4752769375186"/>
    <n v="1"/>
    <x v="0"/>
  </r>
  <r>
    <n v="18"/>
    <s v="female"/>
    <n v="22.5"/>
    <n v="0"/>
    <s v="no"/>
    <s v="northeast"/>
    <n v="1604.652954234886"/>
    <n v="1887.8270049822195"/>
    <n v="0"/>
    <x v="1"/>
  </r>
  <r>
    <n v="19"/>
    <s v="female"/>
    <n v="28.6"/>
    <n v="5"/>
    <s v="no"/>
    <s v="south"/>
    <n v="1755.0163522779319"/>
    <n v="2340.0218030372425"/>
    <n v="0"/>
    <x v="2"/>
  </r>
  <r>
    <n v="63"/>
    <s v="male"/>
    <n v="28.3"/>
    <n v="0"/>
    <s v="no"/>
    <s v="midwest"/>
    <n v="4335.0767517388849"/>
    <n v="4128.6445254656064"/>
    <n v="0"/>
    <x v="3"/>
  </r>
  <r>
    <n v="28"/>
    <s v="male"/>
    <n v="25.6"/>
    <n v="1"/>
    <s v="yes"/>
    <s v="south"/>
    <n v="1697.8195808138189"/>
    <n v="1997.4348009574348"/>
    <n v="1"/>
    <x v="0"/>
  </r>
  <r>
    <n v="19"/>
    <s v="male"/>
    <n v="23.1"/>
    <n v="0"/>
    <s v="no"/>
    <s v="midwest"/>
    <n v="1611.3302033011"/>
    <n v="1895.6825921189422"/>
    <n v="0"/>
    <x v="1"/>
  </r>
  <r>
    <n v="62"/>
    <s v="female"/>
    <n v="33"/>
    <n v="3"/>
    <s v="no"/>
    <s v="midwest"/>
    <n v="2721.6316463543644"/>
    <n v="3628.8421951391524"/>
    <n v="0"/>
    <x v="2"/>
  </r>
  <r>
    <n v="26"/>
    <s v="male"/>
    <n v="21.7"/>
    <n v="0"/>
    <s v="no"/>
    <s v="south"/>
    <n v="2008.3371640795592"/>
    <n v="2362.7496047994823"/>
    <n v="0"/>
    <x v="1"/>
  </r>
  <r>
    <n v="35"/>
    <s v="male"/>
    <n v="23.2"/>
    <n v="1"/>
    <s v="yes"/>
    <s v="northeast"/>
    <n v="2193.7219135449909"/>
    <n v="2580.8493100529313"/>
    <n v="1"/>
    <x v="0"/>
  </r>
  <r>
    <n v="60"/>
    <s v="male"/>
    <n v="39.9"/>
    <n v="0"/>
    <s v="yes"/>
    <s v="south"/>
    <n v="5115.4472379346953"/>
    <n v="4871.8545123187587"/>
    <n v="1"/>
    <x v="0"/>
  </r>
  <r>
    <n v="24"/>
    <s v="female"/>
    <n v="24.6"/>
    <n v="0"/>
    <s v="no"/>
    <s v="northeast"/>
    <n v="2072.8431013415097"/>
    <n v="2438.6389427547183"/>
    <n v="0"/>
    <x v="1"/>
  </r>
  <r>
    <n v="31"/>
    <s v="female"/>
    <n v="36.6"/>
    <n v="2"/>
    <s v="no"/>
    <s v="southeast"/>
    <n v="1751.7273667869426"/>
    <n v="2335.6364890492569"/>
    <n v="0"/>
    <x v="2"/>
  </r>
  <r>
    <n v="41"/>
    <s v="male"/>
    <n v="26"/>
    <n v="1"/>
    <s v="no"/>
    <s v="southeast"/>
    <n v="2499.9994280995807"/>
    <n v="2941.1757977642133"/>
    <n v="0"/>
    <x v="1"/>
  </r>
  <r>
    <n v="37"/>
    <s v="female"/>
    <n v="30.8"/>
    <n v="2"/>
    <s v="no"/>
    <s v="southeast"/>
    <n v="2547.9037535150105"/>
    <n v="3397.2050046866807"/>
    <n v="0"/>
    <x v="2"/>
  </r>
  <r>
    <n v="38"/>
    <s v="male"/>
    <n v="37.1"/>
    <n v="1"/>
    <s v="no"/>
    <s v="northeast"/>
    <n v="4982.2283606755091"/>
    <n v="4744.9793911195338"/>
    <n v="0"/>
    <x v="3"/>
  </r>
  <r>
    <n v="55"/>
    <s v="male"/>
    <n v="37.299999999999997"/>
    <n v="0"/>
    <s v="no"/>
    <s v="south"/>
    <n v="4668.2767734299141"/>
    <n v="4445.977879457063"/>
    <n v="0"/>
    <x v="3"/>
  </r>
  <r>
    <n v="18"/>
    <s v="female"/>
    <n v="20.8"/>
    <n v="2"/>
    <s v="no"/>
    <s v="northeast"/>
    <n v="1299.2137487315999"/>
    <n v="1528.4867632136479"/>
    <n v="0"/>
    <x v="1"/>
  </r>
  <r>
    <n v="28"/>
    <s v="female"/>
    <n v="21.2"/>
    <n v="0"/>
    <s v="no"/>
    <s v="midwest"/>
    <n v="2186.4894001621292"/>
    <n v="2572.3404707789764"/>
    <n v="0"/>
    <x v="1"/>
  </r>
  <r>
    <n v="60"/>
    <s v="female"/>
    <n v="24.5"/>
    <n v="0"/>
    <s v="no"/>
    <s v="southeast"/>
    <n v="4762.9663886199869"/>
    <n v="4536.1584653523696"/>
    <n v="0"/>
    <x v="3"/>
  </r>
  <r>
    <n v="36"/>
    <s v="male"/>
    <n v="24.8"/>
    <n v="1"/>
    <s v="yes"/>
    <s v="southeast"/>
    <n v="1776.7645457412086"/>
    <n v="2090.3112302837753"/>
    <n v="1"/>
    <x v="0"/>
  </r>
  <r>
    <n v="18"/>
    <s v="female"/>
    <n v="20.3"/>
    <n v="0"/>
    <s v="no"/>
    <s v="northeast"/>
    <n v="1867.9946703078481"/>
    <n v="2197.6407885974691"/>
    <n v="0"/>
    <x v="1"/>
  </r>
  <r>
    <n v="21"/>
    <s v="female"/>
    <n v="21.4"/>
    <n v="2"/>
    <s v="no"/>
    <s v="midwest"/>
    <n v="1616.530685607062"/>
    <n v="1901.8008065965441"/>
    <n v="0"/>
    <x v="1"/>
  </r>
  <r>
    <n v="48"/>
    <s v="male"/>
    <n v="28"/>
    <n v="1"/>
    <s v="yes"/>
    <s v="south"/>
    <n v="5250.1824531209822"/>
    <n v="5000.1737648771277"/>
    <n v="1"/>
    <x v="0"/>
  </r>
  <r>
    <n v="36"/>
    <s v="male"/>
    <n v="21.9"/>
    <n v="0"/>
    <s v="yes"/>
    <s v="southeast"/>
    <n v="1829.4347356478459"/>
    <n v="2152.2761595857014"/>
    <n v="1"/>
    <x v="0"/>
  </r>
  <r>
    <n v="40"/>
    <s v="female"/>
    <n v="28.7"/>
    <n v="3"/>
    <s v="no"/>
    <s v="midwest"/>
    <n v="1504.5517626502708"/>
    <n v="2006.0690168670278"/>
    <n v="0"/>
    <x v="2"/>
  </r>
  <r>
    <n v="58"/>
    <s v="male"/>
    <n v="37"/>
    <n v="2"/>
    <s v="yes"/>
    <s v="midwest"/>
    <n v="1819.0250386424214"/>
    <n v="2425.366718189895"/>
    <n v="1"/>
    <x v="0"/>
  </r>
  <r>
    <n v="58"/>
    <s v="female"/>
    <n v="31.8"/>
    <n v="2"/>
    <s v="no"/>
    <s v="northeast"/>
    <n v="3198.1282518967"/>
    <n v="4264.1710025289331"/>
    <n v="0"/>
    <x v="2"/>
  </r>
  <r>
    <n v="18"/>
    <s v="male"/>
    <n v="24.1"/>
    <n v="2"/>
    <s v="yes"/>
    <s v="southeast"/>
    <n v="1795.2045225438158"/>
    <n v="2112.0053206397843"/>
    <n v="1"/>
    <x v="0"/>
  </r>
  <r>
    <n v="53"/>
    <s v="female"/>
    <n v="22.9"/>
    <n v="1"/>
    <s v="yes"/>
    <s v="southeast"/>
    <n v="4961.2091866083965"/>
    <n v="4724.9611301032364"/>
    <n v="1"/>
    <x v="0"/>
  </r>
  <r>
    <n v="34"/>
    <s v="female"/>
    <n v="37.299999999999997"/>
    <n v="2"/>
    <s v="no"/>
    <s v="midwest"/>
    <n v="2514.0463149952825"/>
    <n v="3352.0617533270433"/>
    <n v="0"/>
    <x v="2"/>
  </r>
  <r>
    <n v="43"/>
    <s v="male"/>
    <n v="27.4"/>
    <n v="3"/>
    <s v="no"/>
    <s v="northeast"/>
    <n v="2832.381622210497"/>
    <n v="3776.5088296139961"/>
    <n v="0"/>
    <x v="2"/>
  </r>
  <r>
    <n v="25"/>
    <s v="male"/>
    <n v="33.700000000000003"/>
    <n v="4"/>
    <s v="no"/>
    <s v="southeast"/>
    <n v="3307.6697586685068"/>
    <n v="4410.2263448913427"/>
    <n v="0"/>
    <x v="2"/>
  </r>
  <r>
    <n v="64"/>
    <s v="male"/>
    <n v="24.7"/>
    <n v="1"/>
    <s v="no"/>
    <s v="midwest"/>
    <n v="3562.6555957121759"/>
    <n v="3393.0053292496932"/>
    <n v="0"/>
    <x v="3"/>
  </r>
  <r>
    <n v="28"/>
    <s v="female"/>
    <n v="22.4"/>
    <n v="1"/>
    <s v="no"/>
    <s v="midwest"/>
    <n v="1895.4256918236044"/>
    <n v="2229.9125786160062"/>
    <n v="0"/>
    <x v="1"/>
  </r>
  <r>
    <n v="20"/>
    <s v="female"/>
    <n v="21.6"/>
    <n v="0"/>
    <s v="yes"/>
    <s v="midwest"/>
    <n v="2065.9089867552989"/>
    <n v="2430.4811608885875"/>
    <n v="1"/>
    <x v="0"/>
  </r>
  <r>
    <n v="19"/>
    <s v="female"/>
    <n v="20.399999999999999"/>
    <n v="0"/>
    <s v="no"/>
    <s v="south"/>
    <n v="1629.2647893933795"/>
    <n v="1916.7821051686824"/>
    <n v="0"/>
    <x v="1"/>
  </r>
  <r>
    <n v="61"/>
    <s v="female"/>
    <n v="39.1"/>
    <n v="2"/>
    <s v="no"/>
    <s v="south"/>
    <n v="5013.1239081717858"/>
    <n v="4774.4037220683686"/>
    <n v="0"/>
    <x v="3"/>
  </r>
  <r>
    <n v="40"/>
    <s v="male"/>
    <n v="20.9"/>
    <n v="1"/>
    <s v="no"/>
    <s v="midwest"/>
    <n v="1669.3929529135407"/>
    <n v="1963.9917093100489"/>
    <n v="0"/>
    <x v="1"/>
  </r>
  <r>
    <n v="40"/>
    <s v="female"/>
    <n v="36.200000000000003"/>
    <n v="0"/>
    <s v="no"/>
    <s v="southeast"/>
    <n v="3925.3280224449527"/>
    <n v="3738.4076404237658"/>
    <n v="0"/>
    <x v="3"/>
  </r>
  <r>
    <n v="28"/>
    <s v="male"/>
    <n v="24"/>
    <n v="3"/>
    <s v="yes"/>
    <s v="southeast"/>
    <n v="1735.1687744677088"/>
    <n v="2313.5583659569452"/>
    <n v="1"/>
    <x v="0"/>
  </r>
  <r>
    <n v="27"/>
    <s v="female"/>
    <n v="24.4"/>
    <n v="0"/>
    <s v="yes"/>
    <s v="southeast"/>
    <n v="2298.9199001383977"/>
    <n v="2704.6116472216449"/>
    <n v="1"/>
    <x v="0"/>
  </r>
  <r>
    <n v="31"/>
    <s v="male"/>
    <n v="28.5"/>
    <n v="5"/>
    <s v="no"/>
    <s v="northeast"/>
    <n v="2639.4314364261386"/>
    <n v="3519.2419152348516"/>
    <n v="0"/>
    <x v="2"/>
  </r>
  <r>
    <n v="53"/>
    <s v="female"/>
    <n v="28.1"/>
    <n v="3"/>
    <s v="no"/>
    <s v="south"/>
    <n v="2384.620782474095"/>
    <n v="3179.4943766321267"/>
    <n v="0"/>
    <x v="2"/>
  </r>
  <r>
    <n v="58"/>
    <s v="male"/>
    <n v="32"/>
    <n v="1"/>
    <s v="no"/>
    <s v="southeast"/>
    <n v="4093.5770448389408"/>
    <n v="3898.6448046085166"/>
    <n v="0"/>
    <x v="3"/>
  </r>
  <r>
    <n v="44"/>
    <s v="male"/>
    <n v="27.4"/>
    <n v="2"/>
    <s v="no"/>
    <s v="south"/>
    <n v="3054.7916269971856"/>
    <n v="4073.0555026629145"/>
    <n v="0"/>
    <x v="2"/>
  </r>
  <r>
    <n v="57"/>
    <s v="male"/>
    <n v="34"/>
    <n v="0"/>
    <s v="no"/>
    <s v="midwest"/>
    <n v="4520.1796923530137"/>
    <n v="4304.9330403362046"/>
    <n v="0"/>
    <x v="3"/>
  </r>
  <r>
    <n v="29"/>
    <s v="female"/>
    <n v="22.4"/>
    <n v="1"/>
    <s v="no"/>
    <s v="southeast"/>
    <n v="2198.0489927980111"/>
    <n v="2585.9399915270728"/>
    <n v="0"/>
    <x v="1"/>
  </r>
  <r>
    <n v="21"/>
    <s v="male"/>
    <n v="23.1"/>
    <n v="0"/>
    <s v="no"/>
    <s v="southeast"/>
    <n v="1654.3787686317801"/>
    <n v="1946.3279630962127"/>
    <n v="0"/>
    <x v="1"/>
  </r>
  <r>
    <n v="22"/>
    <s v="female"/>
    <n v="24.8"/>
    <n v="0"/>
    <s v="no"/>
    <s v="northeast"/>
    <n v="2131.4700186081218"/>
    <n v="2507.6117865977913"/>
    <n v="0"/>
    <x v="1"/>
  </r>
  <r>
    <n v="41"/>
    <s v="female"/>
    <n v="33"/>
    <n v="0"/>
    <s v="no"/>
    <s v="midwest"/>
    <n v="4218.2329620094015"/>
    <n v="4017.364725723241"/>
    <n v="0"/>
    <x v="3"/>
  </r>
  <r>
    <n v="31"/>
    <s v="male"/>
    <n v="21.9"/>
    <n v="1"/>
    <s v="no"/>
    <s v="northeast"/>
    <n v="1852.3027237544995"/>
    <n v="2179.1796750052945"/>
    <n v="0"/>
    <x v="1"/>
  </r>
  <r>
    <n v="45"/>
    <s v="female"/>
    <n v="38.299999999999997"/>
    <n v="0"/>
    <s v="no"/>
    <s v="northeast"/>
    <n v="5461.0297786820292"/>
    <n v="5200.9807416019339"/>
    <n v="0"/>
    <x v="3"/>
  </r>
  <r>
    <n v="22"/>
    <s v="male"/>
    <n v="20.3"/>
    <n v="1"/>
    <s v="yes"/>
    <s v="southeast"/>
    <n v="2325.2038013019805"/>
    <n v="2735.5338838846837"/>
    <n v="1"/>
    <x v="0"/>
  </r>
  <r>
    <n v="48"/>
    <s v="female"/>
    <n v="41.2"/>
    <n v="4"/>
    <s v="no"/>
    <s v="midwest"/>
    <n v="1785.2296005369521"/>
    <n v="2380.3061340492695"/>
    <n v="0"/>
    <x v="2"/>
  </r>
  <r>
    <n v="37"/>
    <s v="female"/>
    <n v="34.799999999999997"/>
    <n v="2"/>
    <s v="yes"/>
    <s v="south"/>
    <n v="1918.7870407750931"/>
    <n v="2558.3827210334575"/>
    <n v="1"/>
    <x v="0"/>
  </r>
  <r>
    <n v="45"/>
    <s v="male"/>
    <n v="22.9"/>
    <n v="2"/>
    <s v="yes"/>
    <s v="midwest"/>
    <n v="1349.0817945203366"/>
    <n v="1798.7757260271155"/>
    <n v="1"/>
    <x v="0"/>
  </r>
  <r>
    <n v="57"/>
    <s v="female"/>
    <n v="31.2"/>
    <n v="0"/>
    <s v="yes"/>
    <s v="midwest"/>
    <n v="4682.6202892593656"/>
    <n v="4459.6383707232062"/>
    <n v="1"/>
    <x v="0"/>
  </r>
  <r>
    <n v="56"/>
    <s v="female"/>
    <n v="27.2"/>
    <n v="0"/>
    <s v="no"/>
    <s v="south"/>
    <n v="5688.3468893807276"/>
    <n v="5417.4732279816471"/>
    <n v="0"/>
    <x v="3"/>
  </r>
  <r>
    <n v="46"/>
    <s v="female"/>
    <n v="27.7"/>
    <n v="0"/>
    <s v="no"/>
    <s v="midwest"/>
    <n v="4398.7505345334012"/>
    <n v="4189.2862233651458"/>
    <n v="0"/>
    <x v="3"/>
  </r>
  <r>
    <n v="55"/>
    <s v="female"/>
    <n v="27"/>
    <n v="0"/>
    <s v="no"/>
    <s v="midwest"/>
    <n v="5388.6136888826732"/>
    <n v="5132.013037031119"/>
    <n v="0"/>
    <x v="3"/>
  </r>
  <r>
    <n v="21"/>
    <s v="female"/>
    <n v="20.399999999999999"/>
    <n v="0"/>
    <s v="no"/>
    <s v="southeast"/>
    <n v="1985.2144381811302"/>
    <n v="2335.5463978601538"/>
    <n v="0"/>
    <x v="1"/>
  </r>
  <r>
    <n v="53"/>
    <s v="female"/>
    <n v="24.8"/>
    <n v="1"/>
    <s v="no"/>
    <s v="midwest"/>
    <n v="4468.7099785149176"/>
    <n v="4255.9142652523042"/>
    <n v="0"/>
    <x v="3"/>
  </r>
  <r>
    <n v="59"/>
    <s v="male"/>
    <n v="29.8"/>
    <n v="3"/>
    <s v="yes"/>
    <s v="northeast"/>
    <n v="1979.1236414412906"/>
    <n v="2638.8315219217207"/>
    <n v="1"/>
    <x v="0"/>
  </r>
  <r>
    <n v="35"/>
    <s v="male"/>
    <n v="34.799999999999997"/>
    <n v="2"/>
    <s v="no"/>
    <s v="midwest"/>
    <n v="1420.8993791965383"/>
    <n v="1894.5325055953845"/>
    <n v="0"/>
    <x v="2"/>
  </r>
  <r>
    <n v="64"/>
    <s v="female"/>
    <n v="31.3"/>
    <n v="2"/>
    <s v="yes"/>
    <s v="south"/>
    <n v="4226.0672002939264"/>
    <n v="4024.825905041836"/>
    <n v="1"/>
    <x v="0"/>
  </r>
  <r>
    <n v="28"/>
    <s v="female"/>
    <n v="22.3"/>
    <n v="1"/>
    <s v="no"/>
    <s v="southeast"/>
    <n v="2491.2687980162623"/>
    <n v="2930.9044682544268"/>
    <n v="0"/>
    <x v="1"/>
  </r>
  <r>
    <n v="54"/>
    <s v="female"/>
    <n v="30.8"/>
    <n v="3"/>
    <s v="no"/>
    <s v="south"/>
    <n v="2714.9978669848169"/>
    <n v="3619.9971559797559"/>
    <n v="0"/>
    <x v="2"/>
  </r>
  <r>
    <n v="55"/>
    <s v="male"/>
    <n v="38.299999999999997"/>
    <n v="0"/>
    <s v="no"/>
    <s v="southeast"/>
    <n v="4573.8199875381815"/>
    <n v="4356.0190357506508"/>
    <n v="0"/>
    <x v="3"/>
  </r>
  <r>
    <n v="56"/>
    <s v="male"/>
    <n v="20"/>
    <n v="0"/>
    <s v="yes"/>
    <s v="northeast"/>
    <n v="3762.4287431027205"/>
    <n v="3583.2654696216405"/>
    <n v="1"/>
    <x v="0"/>
  </r>
  <r>
    <n v="38"/>
    <s v="male"/>
    <n v="24.4"/>
    <n v="0"/>
    <s v="yes"/>
    <s v="south"/>
    <n v="1862.1234597222269"/>
    <n v="2190.7334820261499"/>
    <n v="1"/>
    <x v="0"/>
  </r>
  <r>
    <n v="41"/>
    <s v="female"/>
    <n v="31.6"/>
    <n v="0"/>
    <s v="no"/>
    <s v="south"/>
    <n v="5540.1331975344701"/>
    <n v="5276.3173309852109"/>
    <n v="0"/>
    <x v="3"/>
  </r>
  <r>
    <n v="30"/>
    <s v="male"/>
    <n v="24"/>
    <n v="0"/>
    <s v="no"/>
    <s v="northeast"/>
    <n v="1725.6873835924328"/>
    <n v="2030.2204512852159"/>
    <n v="0"/>
    <x v="1"/>
  </r>
  <r>
    <n v="18"/>
    <s v="female"/>
    <n v="25.8"/>
    <n v="0"/>
    <s v="no"/>
    <s v="northeast"/>
    <n v="1676.5324466235249"/>
    <n v="1972.3911136747361"/>
    <n v="0"/>
    <x v="1"/>
  </r>
  <r>
    <n v="61"/>
    <s v="female"/>
    <n v="29.9"/>
    <n v="3"/>
    <s v="yes"/>
    <s v="southeast"/>
    <n v="2065.7567231661196"/>
    <n v="2754.3422975548265"/>
    <n v="1"/>
    <x v="0"/>
  </r>
  <r>
    <n v="34"/>
    <s v="female"/>
    <n v="24"/>
    <n v="1"/>
    <s v="no"/>
    <s v="south"/>
    <n v="1629.5980714431037"/>
    <n v="1917.1742016977698"/>
    <n v="0"/>
    <x v="1"/>
  </r>
  <r>
    <n v="20"/>
    <s v="male"/>
    <n v="20.3"/>
    <n v="1"/>
    <s v="yes"/>
    <s v="midwest"/>
    <n v="1412.5701369134324"/>
    <n v="1661.8472198981565"/>
    <n v="1"/>
    <x v="0"/>
  </r>
  <r>
    <n v="19"/>
    <s v="female"/>
    <n v="21.4"/>
    <n v="1"/>
    <s v="no"/>
    <s v="south"/>
    <n v="1732.0546304830134"/>
    <n v="2037.7113299800167"/>
    <n v="0"/>
    <x v="1"/>
  </r>
  <r>
    <n v="26"/>
    <s v="male"/>
    <n v="30.9"/>
    <n v="2"/>
    <s v="no"/>
    <s v="midwest"/>
    <n v="2517.0728798476548"/>
    <n v="3356.0971731302066"/>
    <n v="0"/>
    <x v="2"/>
  </r>
  <r>
    <n v="29"/>
    <s v="male"/>
    <n v="21"/>
    <n v="0"/>
    <s v="no"/>
    <s v="southeast"/>
    <n v="1946.3102372709895"/>
    <n v="2289.7767497305767"/>
    <n v="0"/>
    <x v="1"/>
  </r>
  <r>
    <n v="63"/>
    <s v="male"/>
    <n v="35.1"/>
    <n v="0"/>
    <s v="yes"/>
    <s v="southeast"/>
    <n v="5365.5387078461554"/>
    <n v="5110.0368646153875"/>
    <n v="1"/>
    <x v="0"/>
  </r>
  <r>
    <n v="54"/>
    <s v="male"/>
    <n v="33.6"/>
    <n v="1"/>
    <s v="no"/>
    <s v="midwest"/>
    <n v="5580.8013011362837"/>
    <n v="5315.0488582250346"/>
    <n v="0"/>
    <x v="3"/>
  </r>
  <r>
    <n v="55"/>
    <s v="female"/>
    <n v="29.7"/>
    <n v="2"/>
    <s v="no"/>
    <s v="south"/>
    <n v="1595.0953825058127"/>
    <n v="2126.7938433410836"/>
    <n v="0"/>
    <x v="2"/>
  </r>
  <r>
    <n v="37"/>
    <s v="male"/>
    <n v="20"/>
    <n v="0"/>
    <s v="no"/>
    <s v="south"/>
    <n v="2231.2468538328712"/>
    <n v="2624.9962986269084"/>
    <n v="0"/>
    <x v="1"/>
  </r>
  <r>
    <n v="21"/>
    <s v="female"/>
    <n v="21.4"/>
    <n v="0"/>
    <s v="no"/>
    <s v="midwest"/>
    <n v="1634.5056560994026"/>
    <n v="1922.9478307051802"/>
    <n v="0"/>
    <x v="1"/>
  </r>
  <r>
    <n v="52"/>
    <s v="male"/>
    <n v="32.200000000000003"/>
    <n v="3"/>
    <s v="no"/>
    <s v="northeast"/>
    <n v="1847.5148385060888"/>
    <n v="2463.3531180081186"/>
    <n v="0"/>
    <x v="2"/>
  </r>
  <r>
    <n v="60"/>
    <s v="male"/>
    <n v="28.6"/>
    <n v="0"/>
    <s v="no"/>
    <s v="northeast"/>
    <n v="3863.1244188612586"/>
    <n v="3679.1661132012005"/>
    <n v="0"/>
    <x v="3"/>
  </r>
  <r>
    <n v="58"/>
    <s v="male"/>
    <n v="49.1"/>
    <n v="0"/>
    <s v="no"/>
    <s v="southeast"/>
    <n v="4631.2842510199162"/>
    <n v="4410.7469057332546"/>
    <n v="0"/>
    <x v="3"/>
  </r>
  <r>
    <n v="29"/>
    <s v="female"/>
    <n v="22.1"/>
    <n v="1"/>
    <s v="yes"/>
    <s v="southeast"/>
    <n v="1568.6876054440893"/>
    <n v="1845.5148299342236"/>
    <n v="1"/>
    <x v="0"/>
  </r>
  <r>
    <n v="49"/>
    <s v="female"/>
    <n v="27.2"/>
    <n v="0"/>
    <s v="no"/>
    <s v="southeast"/>
    <n v="5204.7794364033334"/>
    <n v="4956.9327965746052"/>
    <n v="0"/>
    <x v="3"/>
  </r>
  <r>
    <n v="37"/>
    <s v="female"/>
    <n v="23.4"/>
    <n v="2"/>
    <s v="no"/>
    <s v="midwest"/>
    <n v="2895.0414667981422"/>
    <n v="3405.9311374095805"/>
    <n v="0"/>
    <x v="1"/>
  </r>
  <r>
    <n v="44"/>
    <s v="male"/>
    <n v="37.1"/>
    <n v="2"/>
    <s v="no"/>
    <s v="south"/>
    <n v="1561.2965288556022"/>
    <n v="2081.728705140803"/>
    <n v="0"/>
    <x v="2"/>
  </r>
  <r>
    <n v="18"/>
    <s v="male"/>
    <n v="22.6"/>
    <n v="0"/>
    <s v="no"/>
    <s v="northeast"/>
    <n v="1580.2486739536644"/>
    <n v="1859.1160870043118"/>
    <n v="0"/>
    <x v="1"/>
  </r>
  <r>
    <n v="20"/>
    <s v="female"/>
    <n v="25.7"/>
    <n v="0"/>
    <s v="no"/>
    <s v="midwest"/>
    <n v="2042.4378524175274"/>
    <n v="2402.8680616676802"/>
    <n v="0"/>
    <x v="1"/>
  </r>
  <r>
    <n v="44"/>
    <s v="male"/>
    <n v="31.4"/>
    <n v="1"/>
    <s v="yes"/>
    <s v="northeast"/>
    <n v="4791.3637556242538"/>
    <n v="4563.2035767850048"/>
    <n v="1"/>
    <x v="0"/>
  </r>
  <r>
    <n v="47"/>
    <s v="female"/>
    <n v="33.9"/>
    <n v="3"/>
    <s v="no"/>
    <s v="midwest"/>
    <n v="1950.1737489336697"/>
    <n v="2600.2316652448931"/>
    <n v="0"/>
    <x v="2"/>
  </r>
  <r>
    <n v="26"/>
    <s v="female"/>
    <n v="23"/>
    <n v="0"/>
    <s v="no"/>
    <s v="northeast"/>
    <n v="1920.7795768585809"/>
    <n v="2259.7406786571546"/>
    <n v="0"/>
    <x v="1"/>
  </r>
  <r>
    <n v="19"/>
    <s v="female"/>
    <n v="26"/>
    <n v="0"/>
    <s v="yes"/>
    <s v="south"/>
    <n v="1645.2179587103167"/>
    <n v="1935.5505396591968"/>
    <n v="1"/>
    <x v="0"/>
  </r>
  <r>
    <n v="52"/>
    <s v="female"/>
    <n v="37.4"/>
    <n v="0"/>
    <s v="no"/>
    <s v="south"/>
    <n v="5679.1385772799295"/>
    <n v="5408.7034069332676"/>
    <n v="0"/>
    <x v="3"/>
  </r>
  <r>
    <n v="32"/>
    <s v="female"/>
    <n v="17.8"/>
    <n v="2"/>
    <s v="yes"/>
    <s v="midwest"/>
    <n v="2264.1915777157442"/>
    <n v="2663.7547973126411"/>
    <n v="1"/>
    <x v="0"/>
  </r>
  <r>
    <n v="38"/>
    <s v="male"/>
    <n v="34.700000000000003"/>
    <n v="2"/>
    <s v="no"/>
    <s v="south"/>
    <n v="1977.8061891272491"/>
    <n v="2637.074918836332"/>
    <n v="0"/>
    <x v="2"/>
  </r>
  <r>
    <n v="59"/>
    <s v="female"/>
    <n v="26.5"/>
    <n v="0"/>
    <s v="no"/>
    <s v="northeast"/>
    <n v="4719.7129221018167"/>
    <n v="4494.9646877160176"/>
    <n v="0"/>
    <x v="3"/>
  </r>
  <r>
    <n v="61"/>
    <s v="female"/>
    <n v="22"/>
    <n v="0"/>
    <s v="no"/>
    <s v="northeast"/>
    <n v="3987.3824295814588"/>
    <n v="3797.5070757918675"/>
    <n v="0"/>
    <x v="3"/>
  </r>
  <r>
    <n v="53"/>
    <s v="female"/>
    <n v="35.9"/>
    <n v="2"/>
    <s v="no"/>
    <s v="south"/>
    <n v="3558.6247785475998"/>
    <n v="4744.8330380634661"/>
    <n v="0"/>
    <x v="2"/>
  </r>
  <r>
    <n v="19"/>
    <s v="male"/>
    <n v="20.100000000000001"/>
    <n v="0"/>
    <s v="no"/>
    <s v="midwest"/>
    <n v="1858.7342740920224"/>
    <n v="2186.7462048141451"/>
    <n v="0"/>
    <x v="1"/>
  </r>
  <r>
    <n v="20"/>
    <s v="female"/>
    <n v="21.7"/>
    <n v="0"/>
    <s v="no"/>
    <s v="northeast"/>
    <n v="1833.3208697567895"/>
    <n v="2156.8480820668119"/>
    <n v="0"/>
    <x v="1"/>
  </r>
  <r>
    <n v="22"/>
    <s v="female"/>
    <n v="23.5"/>
    <n v="0"/>
    <s v="no"/>
    <s v="southeast"/>
    <n v="1456.024836230511"/>
    <n v="1712.9703955653076"/>
    <n v="0"/>
    <x v="1"/>
  </r>
  <r>
    <n v="19"/>
    <s v="male"/>
    <n v="22.3"/>
    <n v="0"/>
    <s v="no"/>
    <s v="south"/>
    <n v="2228.1163471564914"/>
    <n v="2621.3133495958737"/>
    <n v="0"/>
    <x v="1"/>
  </r>
  <r>
    <n v="22"/>
    <s v="male"/>
    <n v="21"/>
    <n v="0"/>
    <s v="no"/>
    <s v="midwest"/>
    <n v="2395.8762666556704"/>
    <n v="2818.677960771377"/>
    <n v="0"/>
    <x v="1"/>
  </r>
  <r>
    <n v="54"/>
    <s v="female"/>
    <n v="31.9"/>
    <n v="3"/>
    <s v="no"/>
    <s v="southeast"/>
    <n v="2233.9484186959216"/>
    <n v="2978.597891594562"/>
    <n v="0"/>
    <x v="2"/>
  </r>
  <r>
    <n v="22"/>
    <s v="female"/>
    <n v="21"/>
    <n v="0"/>
    <s v="no"/>
    <s v="south"/>
    <n v="1586.1094581231841"/>
    <n v="1866.011127203747"/>
    <n v="0"/>
    <x v="1"/>
  </r>
  <r>
    <n v="34"/>
    <s v="male"/>
    <n v="22.4"/>
    <n v="2"/>
    <s v="no"/>
    <s v="northeast"/>
    <n v="1837.2503410340764"/>
    <n v="2161.4709894518555"/>
    <n v="0"/>
    <x v="1"/>
  </r>
  <r>
    <n v="26"/>
    <s v="male"/>
    <n v="20.399999999999999"/>
    <n v="1"/>
    <s v="no"/>
    <s v="northeast"/>
    <n v="1945.6550897030884"/>
    <n v="2289.005987885987"/>
    <n v="0"/>
    <x v="1"/>
  </r>
  <r>
    <n v="34"/>
    <s v="male"/>
    <n v="25.3"/>
    <n v="2"/>
    <s v="yes"/>
    <s v="southeast"/>
    <n v="1629.2412772864204"/>
    <n v="2172.3217030485607"/>
    <n v="1"/>
    <x v="0"/>
  </r>
  <r>
    <n v="29"/>
    <s v="male"/>
    <n v="29.7"/>
    <n v="2"/>
    <s v="no"/>
    <s v="midwest"/>
    <n v="2891.3111819045457"/>
    <n v="3855.0815758727276"/>
    <n v="0"/>
    <x v="2"/>
  </r>
  <r>
    <n v="30"/>
    <s v="male"/>
    <n v="28.7"/>
    <n v="3"/>
    <s v="yes"/>
    <s v="midwest"/>
    <n v="2590.2733457826853"/>
    <n v="3453.6977943769134"/>
    <n v="1"/>
    <x v="0"/>
  </r>
  <r>
    <n v="29"/>
    <s v="female"/>
    <n v="38.799999999999997"/>
    <n v="3"/>
    <s v="no"/>
    <s v="southeast"/>
    <n v="2261.7282365297101"/>
    <n v="3015.6376487062803"/>
    <n v="0"/>
    <x v="2"/>
  </r>
  <r>
    <n v="46"/>
    <s v="male"/>
    <n v="30.5"/>
    <n v="3"/>
    <s v="yes"/>
    <s v="midwest"/>
    <n v="1910.5681905759989"/>
    <n v="2547.4242541013318"/>
    <n v="1"/>
    <x v="0"/>
  </r>
  <r>
    <n v="51"/>
    <s v="female"/>
    <n v="37.700000000000003"/>
    <n v="1"/>
    <s v="no"/>
    <s v="southeast"/>
    <n v="4938.578238606071"/>
    <n v="4703.4078462914968"/>
    <n v="0"/>
    <x v="3"/>
  </r>
  <r>
    <n v="53"/>
    <s v="female"/>
    <n v="37.4"/>
    <n v="1"/>
    <s v="no"/>
    <s v="midwest"/>
    <n v="5538.5560314170389"/>
    <n v="5274.8152680162293"/>
    <n v="0"/>
    <x v="3"/>
  </r>
  <r>
    <n v="19"/>
    <s v="male"/>
    <n v="22.5"/>
    <n v="1"/>
    <s v="no"/>
    <s v="south"/>
    <n v="2236.7287893571156"/>
    <n v="2631.4456345377835"/>
    <n v="0"/>
    <x v="1"/>
  </r>
  <r>
    <n v="35"/>
    <s v="male"/>
    <n v="21"/>
    <n v="1"/>
    <s v="no"/>
    <s v="midwest"/>
    <n v="2450.5663956051567"/>
    <n v="2883.0192889472437"/>
    <n v="0"/>
    <x v="1"/>
  </r>
  <r>
    <n v="48"/>
    <s v="male"/>
    <n v="29.7"/>
    <n v="0"/>
    <s v="no"/>
    <s v="southeast"/>
    <n v="4003.8747809567549"/>
    <n v="3813.2140771016734"/>
    <n v="0"/>
    <x v="3"/>
  </r>
  <r>
    <n v="32"/>
    <s v="female"/>
    <n v="37.1"/>
    <n v="3"/>
    <s v="no"/>
    <s v="northeast"/>
    <n v="2364.3117742857507"/>
    <n v="3152.4156990476677"/>
    <n v="0"/>
    <x v="2"/>
  </r>
  <r>
    <n v="42"/>
    <s v="female"/>
    <n v="23.4"/>
    <n v="0"/>
    <s v="yes"/>
    <s v="northeast"/>
    <n v="1851.1209445254651"/>
    <n v="2177.7893465005482"/>
    <n v="1"/>
    <x v="0"/>
  </r>
  <r>
    <n v="40"/>
    <s v="female"/>
    <n v="20.3"/>
    <n v="1"/>
    <s v="no"/>
    <s v="northeast"/>
    <n v="1559.9016772221548"/>
    <n v="1835.1784437907713"/>
    <n v="0"/>
    <x v="1"/>
  </r>
  <r>
    <n v="44"/>
    <s v="male"/>
    <n v="39.5"/>
    <n v="0"/>
    <s v="no"/>
    <s v="midwest"/>
    <n v="5230.8398758897047"/>
    <n v="4981.7522627521012"/>
    <n v="0"/>
    <x v="3"/>
  </r>
  <r>
    <n v="48"/>
    <s v="male"/>
    <n v="24.4"/>
    <n v="0"/>
    <s v="yes"/>
    <s v="southeast"/>
    <n v="4124.8583309055221"/>
    <n v="3928.4365056243082"/>
    <n v="1"/>
    <x v="0"/>
  </r>
  <r>
    <n v="18"/>
    <s v="male"/>
    <n v="25.3"/>
    <n v="0"/>
    <s v="yes"/>
    <s v="northeast"/>
    <n v="1694.5891241033398"/>
    <n v="1993.6342636509889"/>
    <n v="1"/>
    <x v="0"/>
  </r>
  <r>
    <n v="30"/>
    <s v="male"/>
    <n v="23.1"/>
    <n v="0"/>
    <s v="yes"/>
    <s v="southeast"/>
    <n v="1418.3013068628275"/>
    <n v="1668.5897727797976"/>
    <n v="1"/>
    <x v="0"/>
  </r>
  <r>
    <n v="50"/>
    <s v="female"/>
    <n v="27.8"/>
    <n v="3"/>
    <s v="no"/>
    <s v="southeast"/>
    <n v="3233.2197513930842"/>
    <n v="4310.9596685241122"/>
    <n v="0"/>
    <x v="2"/>
  </r>
  <r>
    <n v="42"/>
    <s v="female"/>
    <n v="26.6"/>
    <n v="0"/>
    <s v="yes"/>
    <s v="midwest"/>
    <n v="5511.826731371003"/>
    <n v="5249.3587917819086"/>
    <n v="1"/>
    <x v="0"/>
  </r>
  <r>
    <n v="18"/>
    <s v="female"/>
    <n v="21.6"/>
    <n v="0"/>
    <s v="yes"/>
    <s v="southeast"/>
    <n v="1317.6795185881097"/>
    <n v="1550.2111983389532"/>
    <n v="1"/>
    <x v="0"/>
  </r>
  <r>
    <n v="54"/>
    <s v="male"/>
    <n v="39.6"/>
    <n v="1"/>
    <s v="no"/>
    <s v="south"/>
    <n v="4050.4650160622559"/>
    <n v="3857.585729583102"/>
    <n v="0"/>
    <x v="3"/>
  </r>
  <r>
    <n v="32"/>
    <s v="female"/>
    <n v="29.8"/>
    <n v="2"/>
    <s v="no"/>
    <s v="south"/>
    <n v="1829.0543833115646"/>
    <n v="2438.7391777487528"/>
    <n v="0"/>
    <x v="2"/>
  </r>
  <r>
    <n v="37"/>
    <s v="male"/>
    <n v="23.2"/>
    <n v="0"/>
    <s v="no"/>
    <s v="midwest"/>
    <n v="1848.8836691441438"/>
    <n v="2175.1572578166406"/>
    <n v="0"/>
    <x v="1"/>
  </r>
  <r>
    <n v="47"/>
    <s v="male"/>
    <n v="28.2"/>
    <n v="4"/>
    <s v="no"/>
    <s v="northeast"/>
    <n v="1626.342168451547"/>
    <n v="2168.4562246020628"/>
    <n v="0"/>
    <x v="2"/>
  </r>
  <r>
    <n v="20"/>
    <s v="female"/>
    <n v="37"/>
    <n v="5"/>
    <s v="no"/>
    <s v="south"/>
    <n v="2277.4968096351595"/>
    <n v="3036.6624128468793"/>
    <n v="0"/>
    <x v="2"/>
  </r>
  <r>
    <n v="32"/>
    <s v="female"/>
    <n v="33.200000000000003"/>
    <n v="3"/>
    <s v="no"/>
    <s v="midwest"/>
    <n v="1687.8582101088291"/>
    <n v="2250.4776134784388"/>
    <n v="0"/>
    <x v="2"/>
  </r>
  <r>
    <n v="19"/>
    <s v="female"/>
    <n v="24.1"/>
    <n v="1"/>
    <s v="no"/>
    <s v="midwest"/>
    <n v="1763.5697596097079"/>
    <n v="2074.78795248201"/>
    <n v="0"/>
    <x v="1"/>
  </r>
  <r>
    <n v="27"/>
    <s v="male"/>
    <n v="18.899999999999999"/>
    <n v="3"/>
    <s v="no"/>
    <s v="northeast"/>
    <n v="1700.7868573643609"/>
    <n v="2000.9257145463077"/>
    <n v="0"/>
    <x v="1"/>
  </r>
  <r>
    <n v="63"/>
    <s v="male"/>
    <n v="41.5"/>
    <n v="0"/>
    <s v="no"/>
    <s v="southeast"/>
    <n v="5597.9751823582556"/>
    <n v="5331.4049355792922"/>
    <n v="0"/>
    <x v="3"/>
  </r>
  <r>
    <n v="49"/>
    <s v="male"/>
    <n v="30.3"/>
    <n v="0"/>
    <s v="no"/>
    <s v="south"/>
    <n v="4933.5168092938457"/>
    <n v="4698.5874374227114"/>
    <n v="0"/>
    <x v="3"/>
  </r>
  <r>
    <n v="18"/>
    <s v="male"/>
    <n v="25"/>
    <n v="0"/>
    <s v="no"/>
    <s v="northeast"/>
    <n v="1957.8025427339503"/>
    <n v="2303.2971090987658"/>
    <n v="0"/>
    <x v="1"/>
  </r>
  <r>
    <n v="35"/>
    <s v="female"/>
    <n v="22.4"/>
    <n v="1"/>
    <s v="no"/>
    <s v="south"/>
    <n v="2301.0034618048944"/>
    <n v="2707.0628962410528"/>
    <n v="0"/>
    <x v="1"/>
  </r>
  <r>
    <n v="24"/>
    <s v="female"/>
    <n v="20.3"/>
    <n v="0"/>
    <s v="no"/>
    <s v="midwest"/>
    <n v="1616.802052057833"/>
    <n v="1902.1200612445102"/>
    <n v="0"/>
    <x v="1"/>
  </r>
  <r>
    <n v="63"/>
    <s v="female"/>
    <n v="37.700000000000003"/>
    <n v="0"/>
    <s v="yes"/>
    <s v="south"/>
    <n v="6084.078021496347"/>
    <n v="5794.3600204727127"/>
    <n v="1"/>
    <x v="0"/>
  </r>
  <r>
    <n v="38"/>
    <s v="male"/>
    <n v="27.8"/>
    <n v="2"/>
    <s v="no"/>
    <s v="midwest"/>
    <n v="1025.5731162499164"/>
    <n v="1367.4308216665552"/>
    <n v="0"/>
    <x v="2"/>
  </r>
  <r>
    <n v="54"/>
    <s v="male"/>
    <n v="29.2"/>
    <n v="1"/>
    <s v="no"/>
    <s v="south"/>
    <n v="4058.7901462347809"/>
    <n v="3865.5144249855075"/>
    <n v="0"/>
    <x v="3"/>
  </r>
  <r>
    <n v="46"/>
    <s v="female"/>
    <n v="28.9"/>
    <n v="2"/>
    <s v="no"/>
    <s v="south"/>
    <n v="1882.2778795865493"/>
    <n v="2509.7038394487322"/>
    <n v="0"/>
    <x v="2"/>
  </r>
  <r>
    <n v="41"/>
    <s v="female"/>
    <n v="33.200000000000003"/>
    <n v="3"/>
    <s v="no"/>
    <s v="northeast"/>
    <n v="1520.6435618697235"/>
    <n v="2027.5247491596313"/>
    <n v="0"/>
    <x v="2"/>
  </r>
  <r>
    <n v="58"/>
    <s v="male"/>
    <n v="28.6"/>
    <n v="0"/>
    <s v="no"/>
    <s v="midwest"/>
    <n v="4532.5464411925796"/>
    <n v="4316.7108963738865"/>
    <n v="0"/>
    <x v="3"/>
  </r>
  <r>
    <n v="18"/>
    <s v="female"/>
    <n v="22.6"/>
    <n v="0"/>
    <s v="no"/>
    <s v="southeast"/>
    <n v="1750.8711520464799"/>
    <n v="2059.8484141723297"/>
    <n v="0"/>
    <x v="1"/>
  </r>
  <r>
    <n v="22"/>
    <s v="male"/>
    <n v="20"/>
    <n v="3"/>
    <s v="no"/>
    <s v="northeast"/>
    <n v="1879.8791937771161"/>
    <n v="2211.6225809142552"/>
    <n v="0"/>
    <x v="1"/>
  </r>
  <r>
    <n v="44"/>
    <s v="female"/>
    <n v="26.4"/>
    <n v="0"/>
    <s v="no"/>
    <s v="midwest"/>
    <n v="4476.3831103566699"/>
    <n v="4263.2220098634971"/>
    <n v="0"/>
    <x v="3"/>
  </r>
  <r>
    <n v="44"/>
    <s v="male"/>
    <n v="30.7"/>
    <n v="2"/>
    <s v="no"/>
    <s v="southeast"/>
    <n v="2280.9833671234942"/>
    <n v="3041.3111561646588"/>
    <n v="0"/>
    <x v="2"/>
  </r>
  <r>
    <n v="36"/>
    <s v="male"/>
    <n v="41.9"/>
    <n v="3"/>
    <s v="yes"/>
    <s v="northeast"/>
    <n v="2312.4757375941704"/>
    <n v="3083.3009834588938"/>
    <n v="1"/>
    <x v="0"/>
  </r>
  <r>
    <n v="26"/>
    <s v="female"/>
    <n v="29.9"/>
    <n v="2"/>
    <s v="no"/>
    <s v="southeast"/>
    <n v="881.68074720814354"/>
    <n v="1175.5743296108581"/>
    <n v="0"/>
    <x v="2"/>
  </r>
  <r>
    <n v="30"/>
    <s v="female"/>
    <n v="30.9"/>
    <n v="3"/>
    <s v="no"/>
    <s v="south"/>
    <n v="3064.5401476940028"/>
    <n v="4086.0535302586704"/>
    <n v="0"/>
    <x v="2"/>
  </r>
  <r>
    <n v="41"/>
    <s v="female"/>
    <n v="32.200000000000003"/>
    <n v="1"/>
    <s v="no"/>
    <s v="south"/>
    <n v="5032.6208874507311"/>
    <n v="4792.9722737626016"/>
    <n v="0"/>
    <x v="3"/>
  </r>
  <r>
    <n v="29"/>
    <s v="female"/>
    <n v="32.1"/>
    <n v="2"/>
    <s v="no"/>
    <s v="midwest"/>
    <n v="1266.1030498786652"/>
    <n v="1688.1373998382203"/>
    <n v="0"/>
    <x v="2"/>
  </r>
  <r>
    <n v="61"/>
    <s v="male"/>
    <n v="31.6"/>
    <n v="0"/>
    <s v="no"/>
    <s v="southeast"/>
    <n v="5650.2782969314203"/>
    <n v="5381.2174256489734"/>
    <n v="0"/>
    <x v="3"/>
  </r>
  <r>
    <n v="36"/>
    <s v="female"/>
    <n v="20.9"/>
    <n v="0"/>
    <s v="no"/>
    <s v="south"/>
    <n v="1871.593715814392"/>
    <n v="2201.8749597816382"/>
    <n v="0"/>
    <x v="1"/>
  </r>
  <r>
    <n v="25"/>
    <s v="male"/>
    <n v="24.1"/>
    <n v="0"/>
    <s v="no"/>
    <s v="southeast"/>
    <n v="2159.5878910743363"/>
    <n v="2540.6916365580437"/>
    <n v="0"/>
    <x v="1"/>
  </r>
  <r>
    <n v="56"/>
    <s v="female"/>
    <n v="26.6"/>
    <n v="1"/>
    <s v="no"/>
    <s v="midwest"/>
    <n v="4491.1182396027843"/>
    <n v="4277.2554662883676"/>
    <n v="0"/>
    <x v="3"/>
  </r>
  <r>
    <n v="18"/>
    <s v="male"/>
    <n v="22.9"/>
    <n v="0"/>
    <s v="no"/>
    <s v="southeast"/>
    <n v="1701.1841159027517"/>
    <n v="2001.3930775326498"/>
    <n v="0"/>
    <x v="1"/>
  </r>
  <r>
    <n v="19"/>
    <s v="male"/>
    <n v="24"/>
    <n v="0"/>
    <s v="no"/>
    <s v="midwest"/>
    <n v="2075.6090322175382"/>
    <n v="2441.8929790794573"/>
    <n v="0"/>
    <x v="1"/>
  </r>
  <r>
    <n v="39"/>
    <s v="female"/>
    <n v="32.799999999999997"/>
    <n v="0"/>
    <s v="no"/>
    <s v="south"/>
    <n v="4359.8215796193836"/>
    <n v="4152.2110282089388"/>
    <n v="0"/>
    <x v="3"/>
  </r>
  <r>
    <n v="45"/>
    <s v="female"/>
    <n v="28.6"/>
    <n v="2"/>
    <s v="no"/>
    <s v="southeast"/>
    <n v="1692.8985486601821"/>
    <n v="2257.1980648802428"/>
    <n v="0"/>
    <x v="2"/>
  </r>
  <r>
    <n v="51"/>
    <s v="female"/>
    <n v="18.100000000000001"/>
    <n v="0"/>
    <s v="no"/>
    <s v="midwest"/>
    <n v="2237.2492180679405"/>
    <n v="2632.0579036093427"/>
    <n v="0"/>
    <x v="1"/>
  </r>
  <r>
    <n v="64"/>
    <s v="female"/>
    <n v="39.299999999999997"/>
    <n v="0"/>
    <s v="no"/>
    <s v="northeast"/>
    <n v="4130.1982629749527"/>
    <n v="3933.522155214242"/>
    <n v="0"/>
    <x v="3"/>
  </r>
  <r>
    <n v="19"/>
    <s v="female"/>
    <n v="23.1"/>
    <n v="0"/>
    <s v="no"/>
    <s v="midwest"/>
    <n v="2045.0786561708117"/>
    <n v="2405.9748896127203"/>
    <n v="0"/>
    <x v="1"/>
  </r>
  <r>
    <n v="48"/>
    <s v="female"/>
    <n v="32.200000000000003"/>
    <n v="1"/>
    <s v="no"/>
    <s v="southeast"/>
    <n v="5402.9525447644046"/>
    <n v="5145.6690902518158"/>
    <n v="0"/>
    <x v="3"/>
  </r>
  <r>
    <n v="60"/>
    <s v="female"/>
    <n v="24"/>
    <n v="0"/>
    <s v="no"/>
    <s v="midwest"/>
    <n v="3897.7315321782989"/>
    <n v="3712.1252687412384"/>
    <n v="0"/>
    <x v="3"/>
  </r>
  <r>
    <n v="27"/>
    <s v="female"/>
    <n v="23.2"/>
    <n v="0"/>
    <s v="yes"/>
    <s v="southeast"/>
    <n v="1746.3861754104666"/>
    <n v="2054.5719710711378"/>
    <n v="1"/>
    <x v="0"/>
  </r>
  <r>
    <n v="46"/>
    <s v="male"/>
    <n v="22.3"/>
    <n v="0"/>
    <s v="no"/>
    <s v="south"/>
    <n v="1510.3061279524916"/>
    <n v="1776.830738767638"/>
    <n v="0"/>
    <x v="1"/>
  </r>
  <r>
    <n v="28"/>
    <s v="female"/>
    <n v="21"/>
    <n v="1"/>
    <s v="no"/>
    <s v="northeast"/>
    <n v="2343.3566315236467"/>
    <n v="2756.8901547337027"/>
    <n v="0"/>
    <x v="1"/>
  </r>
  <r>
    <n v="59"/>
    <s v="male"/>
    <n v="26.4"/>
    <n v="0"/>
    <s v="no"/>
    <s v="southeast"/>
    <n v="6051.3719088374319"/>
    <n v="5763.2113417499359"/>
    <n v="0"/>
    <x v="3"/>
  </r>
  <r>
    <n v="35"/>
    <s v="male"/>
    <n v="27.7"/>
    <n v="2"/>
    <s v="yes"/>
    <s v="northeast"/>
    <n v="848.18601641632051"/>
    <n v="1130.914688555094"/>
    <n v="1"/>
    <x v="0"/>
  </r>
  <r>
    <n v="63"/>
    <s v="female"/>
    <n v="31.8"/>
    <n v="0"/>
    <s v="no"/>
    <s v="south"/>
    <n v="5624.9067544344052"/>
    <n v="5357.0540518422913"/>
    <n v="0"/>
    <x v="3"/>
  </r>
  <r>
    <n v="40"/>
    <s v="male"/>
    <n v="41.2"/>
    <n v="1"/>
    <s v="no"/>
    <s v="northeast"/>
    <n v="4258.6245869923941"/>
    <n v="4055.8329399927579"/>
    <n v="0"/>
    <x v="3"/>
  </r>
  <r>
    <n v="20"/>
    <s v="male"/>
    <n v="22.9"/>
    <n v="1"/>
    <s v="no"/>
    <s v="south"/>
    <n v="1726.3275422841214"/>
    <n v="2030.9735791577905"/>
    <n v="0"/>
    <x v="1"/>
  </r>
  <r>
    <n v="40"/>
    <s v="male"/>
    <n v="30.9"/>
    <n v="4"/>
    <s v="no"/>
    <s v="midwest"/>
    <n v="2164.1328442501817"/>
    <n v="2885.510459000242"/>
    <n v="0"/>
    <x v="2"/>
  </r>
  <r>
    <n v="24"/>
    <s v="male"/>
    <n v="24.5"/>
    <n v="2"/>
    <s v="no"/>
    <s v="midwest"/>
    <n v="2863.7255677819567"/>
    <n v="3369.088903272891"/>
    <n v="0"/>
    <x v="1"/>
  </r>
  <r>
    <n v="34"/>
    <s v="female"/>
    <n v="21.2"/>
    <n v="1"/>
    <s v="no"/>
    <s v="southeast"/>
    <n v="2058.4208878984177"/>
    <n v="2421.6716328216689"/>
    <n v="0"/>
    <x v="1"/>
  </r>
  <r>
    <n v="45"/>
    <s v="female"/>
    <n v="30.9"/>
    <n v="2"/>
    <s v="no"/>
    <s v="south"/>
    <n v="1688.7906650789728"/>
    <n v="2251.7208867719637"/>
    <n v="0"/>
    <x v="2"/>
  </r>
  <r>
    <n v="41"/>
    <s v="female"/>
    <n v="37.1"/>
    <n v="2"/>
    <s v="no"/>
    <s v="south"/>
    <n v="1515.0812868256578"/>
    <n v="2020.1083824342104"/>
    <n v="0"/>
    <x v="2"/>
  </r>
  <r>
    <n v="53"/>
    <s v="female"/>
    <n v="26.6"/>
    <n v="0"/>
    <s v="no"/>
    <s v="midwest"/>
    <n v="4621.910954154102"/>
    <n v="4401.8199563372409"/>
    <n v="0"/>
    <x v="3"/>
  </r>
  <r>
    <n v="27"/>
    <s v="male"/>
    <n v="22.5"/>
    <n v="0"/>
    <s v="no"/>
    <s v="southeast"/>
    <n v="1871.0752806256"/>
    <n v="2201.2650360301186"/>
    <n v="0"/>
    <x v="1"/>
  </r>
  <r>
    <n v="26"/>
    <s v="female"/>
    <n v="23"/>
    <n v="1"/>
    <s v="no"/>
    <s v="southeast"/>
    <n v="2487.4977097495671"/>
    <n v="2926.4678938230213"/>
    <n v="0"/>
    <x v="1"/>
  </r>
  <r>
    <n v="24"/>
    <s v="female"/>
    <n v="25"/>
    <n v="0"/>
    <s v="no"/>
    <s v="southeast"/>
    <n v="1668.1985603501566"/>
    <n v="1962.58654158842"/>
    <n v="0"/>
    <x v="1"/>
  </r>
  <r>
    <n v="34"/>
    <s v="female"/>
    <n v="25.8"/>
    <n v="1"/>
    <s v="no"/>
    <s v="south"/>
    <n v="1633.3749622372356"/>
    <n v="1921.6176026320427"/>
    <n v="0"/>
    <x v="1"/>
  </r>
  <r>
    <n v="53"/>
    <s v="female"/>
    <n v="33.299999999999997"/>
    <n v="0"/>
    <s v="no"/>
    <s v="northeast"/>
    <n v="3740.2731651152167"/>
    <n v="3562.1649191573506"/>
    <n v="0"/>
    <x v="3"/>
  </r>
  <r>
    <n v="32"/>
    <s v="male"/>
    <n v="30.8"/>
    <n v="3"/>
    <s v="no"/>
    <s v="south"/>
    <n v="2674.407145905061"/>
    <n v="3565.8761945400811"/>
    <n v="0"/>
    <x v="2"/>
  </r>
  <r>
    <n v="19"/>
    <s v="male"/>
    <n v="24"/>
    <n v="0"/>
    <s v="yes"/>
    <s v="south"/>
    <n v="2219.2073066477078"/>
    <n v="2610.8321254678926"/>
    <n v="1"/>
    <x v="0"/>
  </r>
  <r>
    <n v="42"/>
    <s v="male"/>
    <n v="24.6"/>
    <n v="0"/>
    <s v="yes"/>
    <s v="southeast"/>
    <n v="1855.9439104159846"/>
    <n v="2183.4634240188066"/>
    <n v="1"/>
    <x v="0"/>
  </r>
  <r>
    <n v="55"/>
    <s v="male"/>
    <n v="33.9"/>
    <n v="3"/>
    <s v="no"/>
    <s v="southeast"/>
    <n v="1680.3570135453585"/>
    <n v="2240.4760180604781"/>
    <n v="0"/>
    <x v="2"/>
  </r>
  <r>
    <n v="28"/>
    <s v="male"/>
    <n v="22.6"/>
    <n v="0"/>
    <s v="no"/>
    <s v="southeast"/>
    <n v="1310.4139232379407"/>
    <n v="1541.6634391034604"/>
    <n v="0"/>
    <x v="1"/>
  </r>
  <r>
    <n v="58"/>
    <s v="female"/>
    <n v="41.9"/>
    <n v="0"/>
    <s v="no"/>
    <s v="southeast"/>
    <n v="4103.6410442475262"/>
    <n v="3908.2295659500264"/>
    <n v="0"/>
    <x v="3"/>
  </r>
  <r>
    <n v="41"/>
    <s v="female"/>
    <n v="31.6"/>
    <n v="1"/>
    <s v="no"/>
    <s v="northeast"/>
    <n v="4486.0052569578365"/>
    <n v="4272.3859590074644"/>
    <n v="0"/>
    <x v="3"/>
  </r>
  <r>
    <n v="47"/>
    <s v="male"/>
    <n v="25.5"/>
    <n v="2"/>
    <s v="no"/>
    <s v="northeast"/>
    <n v="3055.832565856248"/>
    <n v="4074.4434211416637"/>
    <n v="0"/>
    <x v="2"/>
  </r>
  <r>
    <n v="42"/>
    <s v="female"/>
    <n v="36.200000000000003"/>
    <n v="1"/>
    <s v="no"/>
    <s v="midwest"/>
    <n v="4421.9852066417152"/>
    <n v="4211.4144825159201"/>
    <n v="0"/>
    <x v="3"/>
  </r>
  <r>
    <n v="59"/>
    <s v="female"/>
    <n v="27.8"/>
    <n v="3"/>
    <s v="no"/>
    <s v="southeast"/>
    <n v="3611.7647452514766"/>
    <n v="4815.6863270019685"/>
    <n v="0"/>
    <x v="2"/>
  </r>
  <r>
    <n v="19"/>
    <s v="female"/>
    <n v="20.100000000000001"/>
    <n v="0"/>
    <s v="no"/>
    <s v="south"/>
    <n v="1610.7892486189119"/>
    <n v="1895.0461748457794"/>
    <n v="0"/>
    <x v="1"/>
  </r>
  <r>
    <n v="59"/>
    <s v="male"/>
    <n v="27.5"/>
    <n v="1"/>
    <s v="no"/>
    <s v="south"/>
    <n v="4323.8900063519059"/>
    <n v="4117.9904822399121"/>
    <n v="0"/>
    <x v="3"/>
  </r>
  <r>
    <n v="39"/>
    <s v="male"/>
    <n v="24.5"/>
    <n v="2"/>
    <s v="no"/>
    <s v="midwest"/>
    <n v="1435.6395704770975"/>
    <n v="1914.1860939694634"/>
    <n v="0"/>
    <x v="2"/>
  </r>
  <r>
    <n v="40"/>
    <s v="female"/>
    <n v="22.2"/>
    <n v="2"/>
    <s v="yes"/>
    <s v="southeast"/>
    <n v="1757.6045394790262"/>
    <n v="2067.770046445914"/>
    <n v="1"/>
    <x v="0"/>
  </r>
  <r>
    <n v="18"/>
    <s v="female"/>
    <n v="23.8"/>
    <n v="0"/>
    <s v="no"/>
    <s v="southeast"/>
    <n v="1726.3650583258659"/>
    <n v="2031.0177156774901"/>
    <n v="0"/>
    <x v="1"/>
  </r>
  <r>
    <n v="31"/>
    <s v="male"/>
    <n v="38.4"/>
    <n v="2"/>
    <s v="no"/>
    <s v="southeast"/>
    <n v="1511.5799677102475"/>
    <n v="2015.4399569469967"/>
    <n v="0"/>
    <x v="2"/>
  </r>
  <r>
    <n v="19"/>
    <s v="male"/>
    <n v="24.5"/>
    <n v="0"/>
    <s v="yes"/>
    <s v="midwest"/>
    <n v="2293.922628434661"/>
    <n v="2698.7325040407782"/>
    <n v="1"/>
    <x v="0"/>
  </r>
  <r>
    <n v="44"/>
    <s v="male"/>
    <n v="38.1"/>
    <n v="1"/>
    <s v="no"/>
    <s v="southeast"/>
    <n v="5134.6551669969049"/>
    <n v="4890.1477780922924"/>
    <n v="0"/>
    <x v="3"/>
  </r>
  <r>
    <n v="23"/>
    <s v="female"/>
    <n v="36.700000000000003"/>
    <n v="2"/>
    <s v="yes"/>
    <s v="northeast"/>
    <n v="993.70311077674023"/>
    <n v="1324.9374810356537"/>
    <n v="1"/>
    <x v="0"/>
  </r>
  <r>
    <n v="33"/>
    <s v="female"/>
    <n v="23.5"/>
    <n v="1"/>
    <s v="no"/>
    <s v="northeast"/>
    <n v="2104.5684586962007"/>
    <n v="2475.962892583766"/>
    <n v="0"/>
    <x v="1"/>
  </r>
  <r>
    <n v="55"/>
    <s v="female"/>
    <n v="26.8"/>
    <n v="1"/>
    <s v="no"/>
    <s v="south"/>
    <n v="3822.5014396624001"/>
    <n v="3640.4775615832395"/>
    <n v="0"/>
    <x v="3"/>
  </r>
  <r>
    <n v="40"/>
    <s v="male"/>
    <n v="35.299999999999997"/>
    <n v="3"/>
    <s v="no"/>
    <s v="south"/>
    <n v="2871.9106915635125"/>
    <n v="3829.2142554180168"/>
    <n v="0"/>
    <x v="2"/>
  </r>
  <r>
    <n v="63"/>
    <s v="female"/>
    <n v="27.7"/>
    <n v="0"/>
    <s v="yes"/>
    <s v="northeast"/>
    <n v="5702.3174588026241"/>
    <n v="5430.7785321929759"/>
    <n v="1"/>
    <x v="0"/>
  </r>
  <r>
    <n v="54"/>
    <s v="male"/>
    <n v="30"/>
    <n v="0"/>
    <s v="no"/>
    <s v="midwest"/>
    <n v="4780.1823583978103"/>
    <n v="4552.5546270455352"/>
    <n v="0"/>
    <x v="3"/>
  </r>
  <r>
    <n v="60"/>
    <s v="female"/>
    <n v="38.1"/>
    <n v="0"/>
    <s v="no"/>
    <s v="southeast"/>
    <n v="4611.3545717565994"/>
    <n v="4391.76625881581"/>
    <n v="0"/>
    <x v="3"/>
  </r>
  <r>
    <n v="24"/>
    <s v="male"/>
    <n v="25.7"/>
    <n v="0"/>
    <s v="no"/>
    <s v="southeast"/>
    <n v="1962.5784826432321"/>
    <n v="2308.9158619332152"/>
    <n v="0"/>
    <x v="1"/>
  </r>
  <r>
    <n v="19"/>
    <s v="male"/>
    <n v="23.6"/>
    <n v="1"/>
    <s v="no"/>
    <s v="south"/>
    <n v="2000.4099827288355"/>
    <n v="2353.4235090927482"/>
    <n v="0"/>
    <x v="1"/>
  </r>
  <r>
    <n v="29"/>
    <s v="male"/>
    <n v="21.9"/>
    <n v="1"/>
    <s v="no"/>
    <s v="northeast"/>
    <n v="1920.5331582527567"/>
    <n v="2259.4507744150087"/>
    <n v="0"/>
    <x v="1"/>
  </r>
  <r>
    <n v="18"/>
    <s v="male"/>
    <n v="24.6"/>
    <n v="2"/>
    <s v="yes"/>
    <s v="northeast"/>
    <n v="1630.3923343612914"/>
    <n v="1918.1086286603434"/>
    <n v="1"/>
    <x v="0"/>
  </r>
  <r>
    <n v="63"/>
    <s v="female"/>
    <n v="32.200000000000003"/>
    <n v="2"/>
    <s v="yes"/>
    <s v="south"/>
    <n v="4235.3579532476415"/>
    <n v="4033.6742411882315"/>
    <n v="1"/>
    <x v="0"/>
  </r>
  <r>
    <n v="54"/>
    <s v="male"/>
    <n v="34.200000000000003"/>
    <n v="2"/>
    <s v="yes"/>
    <s v="southeast"/>
    <n v="2027.2472149566938"/>
    <n v="2702.9962866089249"/>
    <n v="1"/>
    <x v="0"/>
  </r>
  <r>
    <n v="27"/>
    <s v="male"/>
    <n v="30.3"/>
    <n v="3"/>
    <s v="no"/>
    <s v="south"/>
    <n v="1393.3229298499409"/>
    <n v="1857.763906466588"/>
    <n v="0"/>
    <x v="2"/>
  </r>
  <r>
    <n v="50"/>
    <s v="male"/>
    <n v="31.8"/>
    <n v="0"/>
    <s v="yes"/>
    <s v="northeast"/>
    <n v="4704.4102630349707"/>
    <n v="4480.390726699974"/>
    <n v="1"/>
    <x v="0"/>
  </r>
  <r>
    <n v="55"/>
    <s v="female"/>
    <n v="25.4"/>
    <n v="3"/>
    <s v="no"/>
    <s v="northeast"/>
    <n v="2963.7545342791341"/>
    <n v="3951.6727123721789"/>
    <n v="0"/>
    <x v="2"/>
  </r>
  <r>
    <n v="56"/>
    <s v="male"/>
    <n v="33.6"/>
    <n v="0"/>
    <s v="yes"/>
    <s v="midwest"/>
    <n v="4925.2183144071541"/>
    <n v="4690.6841089591962"/>
    <n v="1"/>
    <x v="0"/>
  </r>
  <r>
    <n v="38"/>
    <s v="female"/>
    <n v="40.200000000000003"/>
    <n v="0"/>
    <s v="no"/>
    <s v="southeast"/>
    <n v="4437.4292913248055"/>
    <n v="4226.1231345950546"/>
    <n v="0"/>
    <x v="3"/>
  </r>
  <r>
    <n v="51"/>
    <s v="male"/>
    <n v="24.4"/>
    <n v="4"/>
    <s v="no"/>
    <s v="midwest"/>
    <n v="2888.8867893812385"/>
    <n v="3851.849052508318"/>
    <n v="0"/>
    <x v="2"/>
  </r>
  <r>
    <n v="19"/>
    <s v="male"/>
    <n v="23.4"/>
    <n v="0"/>
    <s v="yes"/>
    <s v="midwest"/>
    <n v="1596.3130294625093"/>
    <n v="1878.0153287794235"/>
    <n v="1"/>
    <x v="0"/>
  </r>
  <r>
    <n v="58"/>
    <s v="female"/>
    <n v="25.2"/>
    <n v="0"/>
    <s v="no"/>
    <s v="south"/>
    <n v="5384.5278724630443"/>
    <n v="5128.1217832981383"/>
    <n v="0"/>
    <x v="3"/>
  </r>
  <r>
    <n v="20"/>
    <s v="female"/>
    <n v="23.5"/>
    <n v="1"/>
    <s v="yes"/>
    <s v="southeast"/>
    <n v="1672.5348281054803"/>
    <n v="1967.6880330652716"/>
    <n v="1"/>
    <x v="0"/>
  </r>
  <r>
    <n v="52"/>
    <s v="male"/>
    <n v="24.3"/>
    <n v="3"/>
    <s v="yes"/>
    <s v="northeast"/>
    <n v="1597.2327923961661"/>
    <n v="2129.643723194888"/>
    <n v="1"/>
    <x v="0"/>
  </r>
  <r>
    <n v="19"/>
    <s v="male"/>
    <n v="20.8"/>
    <n v="0"/>
    <s v="yes"/>
    <s v="midwest"/>
    <n v="1989.6723872002519"/>
    <n v="2340.791043765003"/>
    <n v="1"/>
    <x v="0"/>
  </r>
  <r>
    <n v="53"/>
    <s v="female"/>
    <n v="38.1"/>
    <n v="3"/>
    <s v="no"/>
    <s v="southeast"/>
    <n v="3509.1646687873053"/>
    <n v="4678.8862250497405"/>
    <n v="0"/>
    <x v="2"/>
  </r>
  <r>
    <n v="46"/>
    <s v="male"/>
    <n v="42.4"/>
    <n v="3"/>
    <s v="yes"/>
    <s v="southeast"/>
    <n v="2304.5210619811392"/>
    <n v="3072.6947493081857"/>
    <n v="1"/>
    <x v="0"/>
  </r>
  <r>
    <n v="40"/>
    <s v="male"/>
    <n v="25.8"/>
    <n v="1"/>
    <s v="yes"/>
    <s v="southeast"/>
    <n v="2086.7508242685512"/>
    <n v="2455.0009697277083"/>
    <n v="1"/>
    <x v="0"/>
  </r>
  <r>
    <n v="59"/>
    <s v="female"/>
    <n v="32.4"/>
    <n v="3"/>
    <s v="no"/>
    <s v="northeast"/>
    <n v="3301.7597851266487"/>
    <n v="4402.3463801688649"/>
    <n v="0"/>
    <x v="2"/>
  </r>
  <r>
    <n v="45"/>
    <s v="male"/>
    <n v="30.2"/>
    <n v="1"/>
    <s v="no"/>
    <s v="south"/>
    <n v="4385.7999846143657"/>
    <n v="4176.952366299397"/>
    <n v="0"/>
    <x v="3"/>
  </r>
  <r>
    <n v="49"/>
    <s v="male"/>
    <n v="25.8"/>
    <n v="1"/>
    <s v="no"/>
    <s v="northeast"/>
    <n v="5301.2430280992203"/>
    <n v="5048.8028839040217"/>
    <n v="0"/>
    <x v="3"/>
  </r>
  <r>
    <n v="18"/>
    <s v="male"/>
    <n v="23.6"/>
    <n v="1"/>
    <s v="no"/>
    <s v="southeast"/>
    <n v="2265.5020841342966"/>
    <n v="2665.2965695697612"/>
    <n v="0"/>
    <x v="1"/>
  </r>
  <r>
    <n v="50"/>
    <s v="male"/>
    <n v="34.200000000000003"/>
    <n v="2"/>
    <s v="yes"/>
    <s v="south"/>
    <n v="2217.5984802531066"/>
    <n v="2956.7979736708085"/>
    <n v="1"/>
    <x v="0"/>
  </r>
  <r>
    <n v="41"/>
    <s v="male"/>
    <n v="37.1"/>
    <n v="2"/>
    <s v="no"/>
    <s v="midwest"/>
    <n v="2942.9063544309497"/>
    <n v="3923.8751392412664"/>
    <n v="0"/>
    <x v="2"/>
  </r>
  <r>
    <n v="50"/>
    <s v="male"/>
    <n v="27.5"/>
    <n v="1"/>
    <s v="no"/>
    <s v="northeast"/>
    <n v="3810.8908370019217"/>
    <n v="3629.4198447637364"/>
    <n v="0"/>
    <x v="3"/>
  </r>
  <r>
    <n v="25"/>
    <s v="male"/>
    <n v="24.6"/>
    <n v="0"/>
    <s v="no"/>
    <s v="midwest"/>
    <n v="2027.3372360645233"/>
    <n v="2385.1026306641456"/>
    <n v="0"/>
    <x v="1"/>
  </r>
  <r>
    <n v="47"/>
    <s v="female"/>
    <n v="26.6"/>
    <n v="2"/>
    <s v="no"/>
    <s v="northeast"/>
    <n v="1371.1892131619093"/>
    <n v="1828.2522842158789"/>
    <n v="0"/>
    <x v="2"/>
  </r>
  <r>
    <n v="19"/>
    <s v="male"/>
    <n v="23.2"/>
    <n v="2"/>
    <s v="no"/>
    <s v="midwest"/>
    <n v="1686.202836775135"/>
    <n v="1983.7680432648654"/>
    <n v="0"/>
    <x v="1"/>
  </r>
  <r>
    <n v="22"/>
    <s v="female"/>
    <n v="22.6"/>
    <n v="0"/>
    <s v="no"/>
    <s v="south"/>
    <n v="1945.1792283344764"/>
    <n v="2288.4461509817379"/>
    <n v="0"/>
    <x v="1"/>
  </r>
  <r>
    <n v="59"/>
    <s v="male"/>
    <n v="31.8"/>
    <n v="2"/>
    <s v="no"/>
    <s v="southeast"/>
    <n v="2657.0872801050332"/>
    <n v="3542.7830401400442"/>
    <n v="0"/>
    <x v="2"/>
  </r>
  <r>
    <n v="51"/>
    <s v="female"/>
    <n v="21.6"/>
    <n v="1"/>
    <s v="no"/>
    <s v="southeast"/>
    <n v="3783.877145875138"/>
    <n v="3603.692519881085"/>
    <n v="0"/>
    <x v="3"/>
  </r>
  <r>
    <n v="40"/>
    <s v="female"/>
    <n v="23.1"/>
    <n v="1"/>
    <s v="yes"/>
    <s v="northeast"/>
    <n v="2607.6074390258159"/>
    <n v="3067.7734576774315"/>
    <n v="1"/>
    <x v="0"/>
  </r>
  <r>
    <n v="54"/>
    <s v="male"/>
    <n v="40.6"/>
    <n v="3"/>
    <s v="yes"/>
    <s v="northeast"/>
    <n v="3007.3943157178537"/>
    <n v="4009.859087623805"/>
    <n v="1"/>
    <x v="0"/>
  </r>
  <r>
    <n v="30"/>
    <s v="male"/>
    <n v="25"/>
    <n v="1"/>
    <s v="no"/>
    <s v="northeast"/>
    <n v="2302.2221007951284"/>
    <n v="2708.4965891707398"/>
    <n v="0"/>
    <x v="1"/>
  </r>
  <r>
    <n v="55"/>
    <s v="female"/>
    <n v="32.4"/>
    <n v="1"/>
    <s v="no"/>
    <s v="northeast"/>
    <n v="4382.4910833418035"/>
    <n v="4173.8010317541011"/>
    <n v="0"/>
    <x v="3"/>
  </r>
  <r>
    <n v="52"/>
    <s v="female"/>
    <n v="31.2"/>
    <n v="0"/>
    <s v="no"/>
    <s v="south"/>
    <n v="3673.0570975703913"/>
    <n v="3498.1496167337077"/>
    <n v="0"/>
    <x v="3"/>
  </r>
  <r>
    <n v="46"/>
    <s v="male"/>
    <n v="26.6"/>
    <n v="1"/>
    <s v="no"/>
    <s v="southeast"/>
    <n v="5652.2488150001054"/>
    <n v="5383.0941095239123"/>
    <n v="0"/>
    <x v="3"/>
  </r>
  <r>
    <n v="46"/>
    <s v="female"/>
    <n v="48.1"/>
    <n v="2"/>
    <s v="no"/>
    <s v="northeast"/>
    <n v="1593.4845530367152"/>
    <n v="2124.6460707156202"/>
    <n v="0"/>
    <x v="2"/>
  </r>
  <r>
    <n v="63"/>
    <s v="female"/>
    <n v="26.2"/>
    <n v="0"/>
    <s v="no"/>
    <s v="midwest"/>
    <n v="5142.5292281064494"/>
    <n v="4897.6468839109057"/>
    <n v="0"/>
    <x v="3"/>
  </r>
  <r>
    <n v="59"/>
    <s v="female"/>
    <n v="36.799999999999997"/>
    <n v="1"/>
    <s v="yes"/>
    <s v="northeast"/>
    <n v="6158.8639826358176"/>
    <n v="5865.5847453674469"/>
    <n v="1"/>
    <x v="0"/>
  </r>
  <r>
    <n v="52"/>
    <s v="male"/>
    <n v="26.4"/>
    <n v="3"/>
    <s v="no"/>
    <s v="southeast"/>
    <n v="1450.2762412980765"/>
    <n v="1933.7016550641019"/>
    <n v="0"/>
    <x v="2"/>
  </r>
  <r>
    <n v="28"/>
    <s v="female"/>
    <n v="26"/>
    <n v="0"/>
    <s v="no"/>
    <s v="south"/>
    <n v="1753.9269466765281"/>
    <n v="2063.443466678269"/>
    <n v="0"/>
    <x v="1"/>
  </r>
  <r>
    <n v="29"/>
    <s v="male"/>
    <n v="20.399999999999999"/>
    <n v="1"/>
    <s v="no"/>
    <s v="northeast"/>
    <n v="1928.9706916389505"/>
    <n v="2269.377284281119"/>
    <n v="0"/>
    <x v="1"/>
  </r>
  <r>
    <n v="25"/>
    <s v="male"/>
    <n v="45.5"/>
    <n v="2"/>
    <s v="yes"/>
    <s v="southeast"/>
    <n v="1770.7073592617362"/>
    <n v="2360.9431456823149"/>
    <n v="1"/>
    <x v="0"/>
  </r>
  <r>
    <n v="22"/>
    <s v="female"/>
    <n v="24.2"/>
    <n v="0"/>
    <s v="no"/>
    <s v="southeast"/>
    <n v="1658.9813515706737"/>
    <n v="1951.7427665537346"/>
    <n v="0"/>
    <x v="1"/>
  </r>
  <r>
    <n v="25"/>
    <s v="male"/>
    <n v="26.8"/>
    <n v="3"/>
    <s v="no"/>
    <s v="south"/>
    <n v="1744.8087172591167"/>
    <n v="2326.4116230121558"/>
    <n v="0"/>
    <x v="2"/>
  </r>
  <r>
    <n v="18"/>
    <s v="male"/>
    <n v="22"/>
    <n v="0"/>
    <s v="no"/>
    <s v="northeast"/>
    <n v="2305.0483959076892"/>
    <n v="2711.8216422443406"/>
    <n v="0"/>
    <x v="1"/>
  </r>
  <r>
    <n v="19"/>
    <s v="male"/>
    <n v="23.9"/>
    <n v="0"/>
    <s v="yes"/>
    <s v="south"/>
    <n v="1391.4651585861143"/>
    <n v="1637.0178336307235"/>
    <n v="1"/>
    <x v="0"/>
  </r>
  <r>
    <n v="47"/>
    <s v="male"/>
    <n v="25.4"/>
    <n v="1"/>
    <s v="yes"/>
    <s v="southeast"/>
    <n v="3832.9713382593973"/>
    <n v="3650.4488935803802"/>
    <n v="1"/>
    <x v="0"/>
  </r>
  <r>
    <n v="31"/>
    <s v="male"/>
    <n v="34.4"/>
    <n v="3"/>
    <s v="yes"/>
    <s v="midwest"/>
    <n v="2569.804759799154"/>
    <n v="3426.4063463988718"/>
    <n v="1"/>
    <x v="0"/>
  </r>
  <r>
    <n v="48"/>
    <s v="female"/>
    <n v="28.9"/>
    <n v="1"/>
    <s v="no"/>
    <s v="midwest"/>
    <n v="3983.9121736074467"/>
    <n v="3794.2020701023312"/>
    <n v="0"/>
    <x v="3"/>
  </r>
  <r>
    <n v="36"/>
    <s v="male"/>
    <n v="27.6"/>
    <n v="3"/>
    <s v="no"/>
    <s v="northeast"/>
    <n v="2654.737831142651"/>
    <n v="3539.6504415235345"/>
    <n v="0"/>
    <x v="2"/>
  </r>
  <r>
    <n v="53"/>
    <s v="female"/>
    <n v="22.6"/>
    <n v="3"/>
    <s v="yes"/>
    <s v="northeast"/>
    <n v="2078.6864696987104"/>
    <n v="2771.5819595982807"/>
    <n v="1"/>
    <x v="0"/>
  </r>
  <r>
    <n v="56"/>
    <s v="female"/>
    <n v="37.5"/>
    <n v="2"/>
    <s v="no"/>
    <s v="southeast"/>
    <n v="3355.5647434491566"/>
    <n v="4474.0863245988758"/>
    <n v="0"/>
    <x v="2"/>
  </r>
  <r>
    <n v="28"/>
    <s v="female"/>
    <n v="33"/>
    <n v="2"/>
    <s v="no"/>
    <s v="southeast"/>
    <n v="1506.7993639215247"/>
    <n v="2009.0658185620327"/>
    <n v="0"/>
    <x v="2"/>
  </r>
  <r>
    <n v="57"/>
    <s v="female"/>
    <n v="38"/>
    <n v="2"/>
    <s v="no"/>
    <s v="south"/>
    <n v="2100.0131979236976"/>
    <n v="2800.0175972315965"/>
    <n v="0"/>
    <x v="2"/>
  </r>
  <r>
    <n v="29"/>
    <s v="male"/>
    <n v="33.299999999999997"/>
    <n v="2"/>
    <s v="no"/>
    <s v="midwest"/>
    <n v="934.89152055677368"/>
    <n v="1246.5220274090316"/>
    <n v="0"/>
    <x v="2"/>
  </r>
  <r>
    <n v="28"/>
    <s v="female"/>
    <n v="27.5"/>
    <n v="2"/>
    <s v="no"/>
    <s v="south"/>
    <n v="911.78955195883918"/>
    <n v="1215.7194026117857"/>
    <n v="0"/>
    <x v="2"/>
  </r>
  <r>
    <n v="30"/>
    <s v="female"/>
    <n v="23.7"/>
    <n v="1"/>
    <s v="no"/>
    <s v="southeast"/>
    <n v="2233.0640705458291"/>
    <n v="2627.1342006421523"/>
    <n v="0"/>
    <x v="1"/>
  </r>
  <r>
    <n v="58"/>
    <s v="male"/>
    <n v="34.9"/>
    <n v="0"/>
    <s v="no"/>
    <s v="northeast"/>
    <n v="5761.1470850051837"/>
    <n v="5486.8067476239858"/>
    <n v="0"/>
    <x v="3"/>
  </r>
  <r>
    <n v="41"/>
    <s v="female"/>
    <n v="33.1"/>
    <n v="2"/>
    <s v="no"/>
    <s v="midwest"/>
    <n v="1063.6324468045807"/>
    <n v="1418.1765957394409"/>
    <n v="0"/>
    <x v="2"/>
  </r>
  <r>
    <n v="50"/>
    <s v="male"/>
    <n v="26.6"/>
    <n v="0"/>
    <s v="no"/>
    <s v="south"/>
    <n v="5383.0201763076857"/>
    <n v="5126.6858821977976"/>
    <n v="0"/>
    <x v="3"/>
  </r>
  <r>
    <n v="19"/>
    <s v="female"/>
    <n v="25.8"/>
    <n v="0"/>
    <s v="no"/>
    <s v="south"/>
    <n v="1947.0957960640524"/>
    <n v="2290.7009365459448"/>
    <n v="0"/>
    <x v="1"/>
  </r>
  <r>
    <n v="43"/>
    <s v="male"/>
    <n v="36"/>
    <n v="3"/>
    <s v="yes"/>
    <s v="southeast"/>
    <n v="1864.8981250271115"/>
    <n v="2486.530833369482"/>
    <n v="1"/>
    <x v="0"/>
  </r>
  <r>
    <n v="49"/>
    <s v="male"/>
    <n v="35.9"/>
    <n v="0"/>
    <s v="no"/>
    <s v="southeast"/>
    <n v="4903.9652578153282"/>
    <n v="4670.4431026812672"/>
    <n v="0"/>
    <x v="3"/>
  </r>
  <r>
    <n v="27"/>
    <s v="female"/>
    <n v="22.6"/>
    <n v="0"/>
    <s v="yes"/>
    <s v="south"/>
    <n v="1634.8294107119359"/>
    <n v="1923.3287184846311"/>
    <n v="1"/>
    <x v="0"/>
  </r>
  <r>
    <n v="52"/>
    <s v="male"/>
    <n v="33.299999999999997"/>
    <n v="0"/>
    <s v="no"/>
    <s v="northeast"/>
    <n v="4631.7328771214989"/>
    <n v="4411.1741686871428"/>
    <n v="0"/>
    <x v="3"/>
  </r>
  <r>
    <n v="50"/>
    <s v="male"/>
    <n v="32.200000000000003"/>
    <n v="0"/>
    <s v="no"/>
    <s v="midwest"/>
    <n v="3544.7330235312011"/>
    <n v="3375.9362128868597"/>
    <n v="0"/>
    <x v="3"/>
  </r>
  <r>
    <n v="54"/>
    <s v="male"/>
    <n v="32.799999999999997"/>
    <n v="0"/>
    <s v="no"/>
    <s v="northeast"/>
    <n v="5239.770542932687"/>
    <n v="4990.2576599358936"/>
    <n v="0"/>
    <x v="3"/>
  </r>
  <r>
    <n v="44"/>
    <s v="female"/>
    <n v="27.6"/>
    <n v="0"/>
    <s v="no"/>
    <s v="midwest"/>
    <n v="3439.2817373938465"/>
    <n v="3275.5064165655695"/>
    <n v="0"/>
    <x v="3"/>
  </r>
  <r>
    <n v="32"/>
    <s v="male"/>
    <n v="21.3"/>
    <n v="1"/>
    <s v="no"/>
    <s v="northeast"/>
    <n v="2454.5517886730013"/>
    <n v="2887.7079866741201"/>
    <n v="0"/>
    <x v="1"/>
  </r>
  <r>
    <n v="34"/>
    <s v="male"/>
    <n v="24.1"/>
    <n v="1"/>
    <s v="no"/>
    <s v="midwest"/>
    <n v="1806.4084718076938"/>
    <n v="2125.1864374208167"/>
    <n v="0"/>
    <x v="1"/>
  </r>
  <r>
    <n v="26"/>
    <s v="female"/>
    <n v="29.6"/>
    <n v="4"/>
    <s v="no"/>
    <s v="northeast"/>
    <n v="2735.1354239078628"/>
    <n v="3646.8472318771505"/>
    <n v="0"/>
    <x v="2"/>
  </r>
  <r>
    <n v="34"/>
    <s v="male"/>
    <n v="20.2"/>
    <n v="0"/>
    <s v="yes"/>
    <s v="south"/>
    <n v="2228.0257955596253"/>
    <n v="2621.2068183054421"/>
    <n v="1"/>
    <x v="0"/>
  </r>
  <r>
    <n v="57"/>
    <s v="male"/>
    <n v="40.9"/>
    <n v="0"/>
    <s v="no"/>
    <s v="northeast"/>
    <n v="3969.6168202343874"/>
    <n v="3780.5874478422752"/>
    <n v="0"/>
    <x v="3"/>
  </r>
  <r>
    <n v="29"/>
    <s v="male"/>
    <n v="20.9"/>
    <n v="0"/>
    <s v="no"/>
    <s v="south"/>
    <n v="1702.4106251894023"/>
    <n v="2002.8360296345918"/>
    <n v="0"/>
    <x v="1"/>
  </r>
  <r>
    <n v="40"/>
    <s v="male"/>
    <n v="34.1"/>
    <n v="1"/>
    <s v="no"/>
    <s v="northeast"/>
    <n v="6084.2643200382154"/>
    <n v="5794.5374476554443"/>
    <n v="0"/>
    <x v="3"/>
  </r>
  <r>
    <n v="27"/>
    <s v="female"/>
    <n v="24.4"/>
    <n v="1"/>
    <s v="no"/>
    <s v="southeast"/>
    <n v="1582.9760482396059"/>
    <n v="1862.3247626348311"/>
    <n v="0"/>
    <x v="1"/>
  </r>
  <r>
    <n v="45"/>
    <s v="male"/>
    <n v="36.5"/>
    <n v="2"/>
    <s v="yes"/>
    <s v="midwest"/>
    <n v="1655.1114553608859"/>
    <n v="2206.8152738145145"/>
    <n v="1"/>
    <x v="0"/>
  </r>
  <r>
    <n v="64"/>
    <s v="female"/>
    <n v="33.799999999999997"/>
    <n v="1"/>
    <s v="yes"/>
    <s v="south"/>
    <n v="4816.6698073842554"/>
    <n v="4587.3045784611968"/>
    <n v="1"/>
    <x v="0"/>
  </r>
  <r>
    <n v="52"/>
    <s v="male"/>
    <n v="36.700000000000003"/>
    <n v="0"/>
    <s v="no"/>
    <s v="south"/>
    <n v="4557.8104544117596"/>
    <n v="4340.771861344534"/>
    <n v="0"/>
    <x v="3"/>
  </r>
  <r>
    <n v="61"/>
    <s v="female"/>
    <n v="36.4"/>
    <n v="1"/>
    <s v="yes"/>
    <s v="northeast"/>
    <n v="6121.4939348674634"/>
    <n v="5829.9942236832994"/>
    <n v="1"/>
    <x v="0"/>
  </r>
  <r>
    <n v="52"/>
    <s v="male"/>
    <n v="27.4"/>
    <n v="0"/>
    <s v="yes"/>
    <s v="midwest"/>
    <n v="3965.9835139391753"/>
    <n v="3777.1271561325498"/>
    <n v="1"/>
    <x v="0"/>
  </r>
  <r>
    <n v="61"/>
    <s v="female"/>
    <n v="31.2"/>
    <n v="0"/>
    <s v="no"/>
    <s v="midwest"/>
    <n v="4110.9772906002127"/>
    <n v="3915.2164672382996"/>
    <n v="0"/>
    <x v="3"/>
  </r>
  <r>
    <n v="56"/>
    <s v="female"/>
    <n v="28.8"/>
    <n v="0"/>
    <s v="no"/>
    <s v="northeast"/>
    <n v="4436.7161335561341"/>
    <n v="4225.4439367201294"/>
    <n v="0"/>
    <x v="3"/>
  </r>
  <r>
    <n v="43"/>
    <s v="female"/>
    <n v="35.700000000000003"/>
    <n v="2"/>
    <s v="no"/>
    <s v="northeast"/>
    <n v="2421.6065376265033"/>
    <n v="3228.8087168353377"/>
    <n v="0"/>
    <x v="2"/>
  </r>
  <r>
    <n v="64"/>
    <s v="male"/>
    <n v="34.5"/>
    <n v="0"/>
    <s v="no"/>
    <s v="south"/>
    <n v="4806.7425981395136"/>
    <n v="4577.8500934662052"/>
    <n v="0"/>
    <x v="3"/>
  </r>
  <r>
    <n v="60"/>
    <s v="male"/>
    <n v="25.7"/>
    <n v="0"/>
    <s v="no"/>
    <s v="southeast"/>
    <n v="4175.0622467921958"/>
    <n v="3976.2497588497113"/>
    <n v="0"/>
    <x v="3"/>
  </r>
  <r>
    <n v="62"/>
    <s v="male"/>
    <n v="27.6"/>
    <n v="1"/>
    <s v="no"/>
    <s v="midwest"/>
    <n v="5833.5875343574462"/>
    <n v="5555.7976517689985"/>
    <n v="0"/>
    <x v="3"/>
  </r>
  <r>
    <n v="50"/>
    <s v="male"/>
    <n v="32.299999999999997"/>
    <n v="1"/>
    <s v="yes"/>
    <s v="northeast"/>
    <n v="5028.4385995386237"/>
    <n v="4788.9891424177385"/>
    <n v="1"/>
    <x v="0"/>
  </r>
  <r>
    <n v="46"/>
    <s v="female"/>
    <n v="27.7"/>
    <n v="1"/>
    <s v="no"/>
    <s v="southeast"/>
    <n v="5284.5996895834824"/>
    <n v="5032.9520853176036"/>
    <n v="0"/>
    <x v="3"/>
  </r>
  <r>
    <n v="24"/>
    <s v="female"/>
    <n v="21.6"/>
    <n v="0"/>
    <s v="no"/>
    <s v="south"/>
    <n v="1585.4248330824541"/>
    <n v="1865.2056859793583"/>
    <n v="0"/>
    <x v="1"/>
  </r>
  <r>
    <n v="62"/>
    <s v="male"/>
    <n v="30"/>
    <n v="0"/>
    <s v="no"/>
    <s v="midwest"/>
    <n v="4736.708704175021"/>
    <n v="4511.1511468333547"/>
    <n v="0"/>
    <x v="3"/>
  </r>
  <r>
    <n v="60"/>
    <s v="female"/>
    <n v="27.6"/>
    <n v="0"/>
    <s v="no"/>
    <s v="northeast"/>
    <n v="5374.9263658691343"/>
    <n v="5118.9774913039391"/>
    <n v="0"/>
    <x v="3"/>
  </r>
  <r>
    <n v="63"/>
    <s v="male"/>
    <n v="36.799999999999997"/>
    <n v="0"/>
    <s v="no"/>
    <s v="northeast"/>
    <n v="6069.2398611846338"/>
    <n v="5780.2284392234633"/>
    <n v="0"/>
    <x v="3"/>
  </r>
  <r>
    <n v="49"/>
    <s v="female"/>
    <n v="41.5"/>
    <n v="4"/>
    <s v="no"/>
    <s v="southeast"/>
    <n v="2392.8694742757548"/>
    <n v="3190.4926323676732"/>
    <n v="0"/>
    <x v="2"/>
  </r>
  <r>
    <n v="34"/>
    <s v="female"/>
    <n v="29.3"/>
    <n v="3"/>
    <s v="no"/>
    <s v="southeast"/>
    <n v="2685.5649216758088"/>
    <n v="3580.7532289010783"/>
    <n v="0"/>
    <x v="2"/>
  </r>
  <r>
    <n v="33"/>
    <s v="male"/>
    <n v="35.799999999999997"/>
    <n v="2"/>
    <s v="no"/>
    <s v="southeast"/>
    <n v="2870.4417360917423"/>
    <n v="3827.2556481223228"/>
    <n v="0"/>
    <x v="2"/>
  </r>
  <r>
    <n v="46"/>
    <s v="male"/>
    <n v="33.299999999999997"/>
    <n v="1"/>
    <s v="no"/>
    <s v="northeast"/>
    <n v="4856.628167136224"/>
    <n v="4625.3601591773577"/>
    <n v="0"/>
    <x v="3"/>
  </r>
  <r>
    <n v="36"/>
    <s v="female"/>
    <n v="25"/>
    <n v="1"/>
    <s v="no"/>
    <s v="southeast"/>
    <n v="1873.9971741884426"/>
    <n v="2204.7025578687571"/>
    <n v="0"/>
    <x v="1"/>
  </r>
  <r>
    <n v="19"/>
    <s v="male"/>
    <n v="23.3"/>
    <n v="0"/>
    <s v="no"/>
    <s v="midwest"/>
    <n v="1956.7925862714455"/>
    <n v="2302.1089250252307"/>
    <n v="0"/>
    <x v="1"/>
  </r>
  <r>
    <n v="57"/>
    <s v="female"/>
    <n v="23.2"/>
    <n v="0"/>
    <s v="no"/>
    <s v="midwest"/>
    <n v="5303.5992991522189"/>
    <n v="5051.046951573544"/>
    <n v="0"/>
    <x v="3"/>
  </r>
  <r>
    <n v="50"/>
    <s v="female"/>
    <n v="25.6"/>
    <n v="0"/>
    <s v="no"/>
    <s v="south"/>
    <n v="3568.2978087956562"/>
    <n v="3398.378865519674"/>
    <n v="0"/>
    <x v="3"/>
  </r>
  <r>
    <n v="30"/>
    <s v="female"/>
    <n v="24.1"/>
    <n v="0"/>
    <s v="no"/>
    <s v="south"/>
    <n v="2181.9269359587988"/>
    <n v="2566.9728658338818"/>
    <n v="0"/>
    <x v="1"/>
  </r>
  <r>
    <n v="33"/>
    <s v="male"/>
    <n v="22.2"/>
    <n v="0"/>
    <s v="no"/>
    <s v="northeast"/>
    <n v="1497.6254945273133"/>
    <n v="1761.9123465027224"/>
    <n v="0"/>
    <x v="1"/>
  </r>
  <r>
    <n v="18"/>
    <s v="female"/>
    <n v="22.1"/>
    <n v="0"/>
    <s v="no"/>
    <s v="southeast"/>
    <n v="1438.8161800771272"/>
    <n v="1692.7249177377976"/>
    <n v="0"/>
    <x v="1"/>
  </r>
  <r>
    <n v="46"/>
    <s v="male"/>
    <n v="27.6"/>
    <n v="0"/>
    <s v="no"/>
    <s v="south"/>
    <n v="5344.114373934065"/>
    <n v="5089.6327370800627"/>
    <n v="0"/>
    <x v="3"/>
  </r>
  <r>
    <n v="46"/>
    <s v="male"/>
    <n v="43.9"/>
    <n v="3"/>
    <s v="no"/>
    <s v="southeast"/>
    <n v="3994.1405081246894"/>
    <n v="5325.5206774995859"/>
    <n v="0"/>
    <x v="2"/>
  </r>
  <r>
    <n v="47"/>
    <s v="male"/>
    <n v="29.8"/>
    <n v="3"/>
    <s v="no"/>
    <s v="midwest"/>
    <n v="1664.0352210982333"/>
    <n v="2218.7136281309777"/>
    <n v="0"/>
    <x v="2"/>
  </r>
  <r>
    <n v="23"/>
    <s v="male"/>
    <n v="20.9"/>
    <n v="0"/>
    <s v="no"/>
    <s v="southeast"/>
    <n v="1602.0850093973506"/>
    <n v="1884.8058934086487"/>
    <n v="0"/>
    <x v="1"/>
  </r>
  <r>
    <n v="18"/>
    <s v="female"/>
    <n v="20.7"/>
    <n v="0"/>
    <s v="no"/>
    <s v="southeast"/>
    <n v="2141.3761466341984"/>
    <n v="2519.2660548637637"/>
    <n v="0"/>
    <x v="1"/>
  </r>
  <r>
    <n v="48"/>
    <s v="female"/>
    <n v="32.299999999999997"/>
    <n v="2"/>
    <s v="no"/>
    <s v="northeast"/>
    <n v="3479.3754828973197"/>
    <n v="4639.1673105297596"/>
    <n v="0"/>
    <x v="2"/>
  </r>
  <r>
    <n v="35"/>
    <s v="male"/>
    <n v="24.5"/>
    <n v="1"/>
    <s v="no"/>
    <s v="south"/>
    <n v="1459.0170033116638"/>
    <n v="1716.4905921313698"/>
    <n v="0"/>
    <x v="1"/>
  </r>
  <r>
    <n v="19"/>
    <s v="female"/>
    <n v="21.1"/>
    <n v="0"/>
    <s v="yes"/>
    <s v="south"/>
    <n v="1292.9607998365773"/>
    <n v="1521.1303527489154"/>
    <n v="1"/>
    <x v="0"/>
  </r>
  <r>
    <n v="21"/>
    <s v="female"/>
    <n v="20.6"/>
    <n v="1"/>
    <s v="no"/>
    <s v="south"/>
    <n v="1772.0854454876787"/>
    <n v="2084.8064064560936"/>
    <n v="0"/>
    <x v="1"/>
  </r>
  <r>
    <n v="21"/>
    <s v="female"/>
    <n v="23.9"/>
    <n v="2"/>
    <s v="no"/>
    <s v="southeast"/>
    <n v="2304.5110551664225"/>
    <n v="2711.18947666638"/>
    <n v="0"/>
    <x v="1"/>
  </r>
  <r>
    <n v="49"/>
    <s v="female"/>
    <n v="30.8"/>
    <n v="1"/>
    <s v="no"/>
    <s v="northeast"/>
    <n v="3548.2667147336547"/>
    <n v="3379.3016330796727"/>
    <n v="0"/>
    <x v="3"/>
  </r>
  <r>
    <n v="56"/>
    <s v="female"/>
    <n v="32.299999999999997"/>
    <n v="3"/>
    <s v="no"/>
    <s v="northeast"/>
    <n v="2642.3513869890735"/>
    <n v="3523.1351826520981"/>
    <n v="0"/>
    <x v="2"/>
  </r>
  <r>
    <n v="42"/>
    <s v="female"/>
    <n v="25"/>
    <n v="2"/>
    <s v="no"/>
    <s v="midwest"/>
    <n v="1187.2144467011988"/>
    <n v="1582.9525956015984"/>
    <n v="0"/>
    <x v="2"/>
  </r>
  <r>
    <n v="44"/>
    <s v="male"/>
    <n v="32"/>
    <n v="2"/>
    <s v="no"/>
    <s v="midwest"/>
    <n v="3094.187043623534"/>
    <n v="4125.582724831379"/>
    <n v="0"/>
    <x v="2"/>
  </r>
  <r>
    <n v="18"/>
    <s v="male"/>
    <n v="30.4"/>
    <n v="3"/>
    <s v="no"/>
    <s v="northeast"/>
    <n v="1120.7376663650534"/>
    <n v="1494.316888486738"/>
    <n v="0"/>
    <x v="2"/>
  </r>
  <r>
    <n v="61"/>
    <s v="female"/>
    <n v="21.1"/>
    <n v="0"/>
    <s v="no"/>
    <s v="midwest"/>
    <n v="5410.4153544019309"/>
    <n v="5152.7765280018402"/>
    <n v="0"/>
    <x v="3"/>
  </r>
  <r>
    <n v="57"/>
    <s v="female"/>
    <n v="22.2"/>
    <n v="0"/>
    <s v="no"/>
    <s v="northeast"/>
    <n v="4157.6577753663278"/>
    <n v="3959.674071777456"/>
    <n v="0"/>
    <x v="3"/>
  </r>
  <r>
    <n v="42"/>
    <s v="female"/>
    <n v="33.200000000000003"/>
    <n v="1"/>
    <s v="no"/>
    <s v="northeast"/>
    <n v="4434.1386308980072"/>
    <n v="4222.9891722838183"/>
    <n v="0"/>
    <x v="3"/>
  </r>
  <r>
    <n v="26"/>
    <s v="male"/>
    <n v="32.9"/>
    <n v="2"/>
    <s v="yes"/>
    <s v="south"/>
    <n v="1125.9341894561933"/>
    <n v="1501.2455859415911"/>
    <n v="1"/>
    <x v="0"/>
  </r>
  <r>
    <n v="20"/>
    <s v="male"/>
    <n v="20"/>
    <n v="0"/>
    <s v="no"/>
    <s v="southeast"/>
    <n v="2514.3527065377975"/>
    <n v="2958.062007691527"/>
    <n v="0"/>
    <x v="1"/>
  </r>
  <r>
    <n v="23"/>
    <s v="female"/>
    <n v="20"/>
    <n v="0"/>
    <s v="yes"/>
    <s v="midwest"/>
    <n v="1224.2951220548905"/>
    <n v="1440.3472024175189"/>
    <n v="1"/>
    <x v="0"/>
  </r>
  <r>
    <n v="39"/>
    <s v="female"/>
    <n v="24.9"/>
    <n v="3"/>
    <s v="yes"/>
    <s v="northeast"/>
    <n v="2375.0891803396353"/>
    <n v="3166.7855737861801"/>
    <n v="1"/>
    <x v="0"/>
  </r>
  <r>
    <n v="24"/>
    <s v="male"/>
    <n v="24.9"/>
    <n v="0"/>
    <s v="yes"/>
    <s v="southeast"/>
    <n v="1435.108708851662"/>
    <n v="1688.363186884309"/>
    <n v="1"/>
    <x v="0"/>
  </r>
  <r>
    <n v="64"/>
    <s v="female"/>
    <n v="30.1"/>
    <n v="3"/>
    <s v="no"/>
    <s v="midwest"/>
    <n v="1750.3879791439488"/>
    <n v="2333.8506388585984"/>
    <n v="0"/>
    <x v="2"/>
  </r>
  <r>
    <n v="62"/>
    <s v="male"/>
    <n v="31.5"/>
    <n v="1"/>
    <s v="no"/>
    <s v="southeast"/>
    <n v="5387.8157765957394"/>
    <n v="5131.2531205673722"/>
    <n v="0"/>
    <x v="3"/>
  </r>
  <r>
    <n v="27"/>
    <s v="female"/>
    <n v="20.8"/>
    <n v="2"/>
    <s v="yes"/>
    <s v="northeast"/>
    <n v="1659.7445133759807"/>
    <n v="1952.6406039717428"/>
    <n v="1"/>
    <x v="0"/>
  </r>
  <r>
    <n v="55"/>
    <s v="male"/>
    <n v="30.7"/>
    <n v="0"/>
    <s v="yes"/>
    <s v="northeast"/>
    <n v="5214.2195787716737"/>
    <n v="4965.9234083539759"/>
    <n v="1"/>
    <x v="0"/>
  </r>
  <r>
    <n v="55"/>
    <s v="male"/>
    <n v="33"/>
    <n v="0"/>
    <s v="no"/>
    <s v="southeast"/>
    <n v="4647.0573060409106"/>
    <n v="4425.7688628961059"/>
    <n v="0"/>
    <x v="3"/>
  </r>
  <r>
    <n v="35"/>
    <s v="female"/>
    <n v="43.3"/>
    <n v="2"/>
    <s v="no"/>
    <s v="southeast"/>
    <n v="2092.0394610359599"/>
    <n v="2789.3859480479468"/>
    <n v="0"/>
    <x v="2"/>
  </r>
  <r>
    <n v="44"/>
    <s v="male"/>
    <n v="22.1"/>
    <n v="2"/>
    <s v="no"/>
    <s v="northeast"/>
    <n v="1271.3794457243998"/>
    <n v="1695.1725942991998"/>
    <n v="0"/>
    <x v="2"/>
  </r>
  <r>
    <n v="19"/>
    <s v="male"/>
    <n v="25.2"/>
    <n v="0"/>
    <s v="no"/>
    <s v="south"/>
    <n v="2064.4062268171765"/>
    <n v="2428.7132080202086"/>
    <n v="0"/>
    <x v="1"/>
  </r>
  <r>
    <n v="58"/>
    <s v="female"/>
    <n v="39.1"/>
    <n v="0"/>
    <s v="no"/>
    <s v="southeast"/>
    <n v="4106.0185466226712"/>
    <n v="3910.4938539263553"/>
    <n v="0"/>
    <x v="3"/>
  </r>
  <r>
    <n v="50"/>
    <s v="male"/>
    <n v="25.4"/>
    <n v="2"/>
    <s v="no"/>
    <s v="midwest"/>
    <n v="1225.245790182086"/>
    <n v="1633.6610535761147"/>
    <n v="0"/>
    <x v="2"/>
  </r>
  <r>
    <n v="26"/>
    <s v="female"/>
    <n v="24.9"/>
    <n v="0"/>
    <s v="no"/>
    <s v="midwest"/>
    <n v="2173.5468168405287"/>
    <n v="2557.1139021653285"/>
    <n v="0"/>
    <x v="1"/>
  </r>
  <r>
    <n v="24"/>
    <s v="female"/>
    <n v="30.2"/>
    <n v="3"/>
    <s v="no"/>
    <s v="midwest"/>
    <n v="1632.0257973790153"/>
    <n v="2176.0343965053539"/>
    <n v="0"/>
    <x v="2"/>
  </r>
  <r>
    <n v="48"/>
    <s v="male"/>
    <n v="35.6"/>
    <n v="4"/>
    <s v="no"/>
    <s v="northeast"/>
    <n v="2923.1321389800532"/>
    <n v="3897.5095186400713"/>
    <n v="0"/>
    <x v="2"/>
  </r>
  <r>
    <n v="19"/>
    <s v="female"/>
    <n v="22.9"/>
    <n v="0"/>
    <s v="no"/>
    <s v="midwest"/>
    <n v="1931.4318082335519"/>
    <n v="2272.2727155688854"/>
    <n v="0"/>
    <x v="1"/>
  </r>
  <r>
    <n v="48"/>
    <s v="male"/>
    <n v="31.4"/>
    <n v="1"/>
    <s v="no"/>
    <s v="northeast"/>
    <n v="4165.1193324079286"/>
    <n v="3966.7803165789805"/>
    <n v="0"/>
    <x v="3"/>
  </r>
  <r>
    <n v="49"/>
    <s v="male"/>
    <n v="31.4"/>
    <n v="1"/>
    <s v="no"/>
    <s v="northeast"/>
    <n v="5433.4241024062194"/>
    <n v="5174.6896213392574"/>
    <n v="0"/>
    <x v="3"/>
  </r>
  <r>
    <n v="46"/>
    <s v="female"/>
    <n v="32.299999999999997"/>
    <n v="2"/>
    <s v="no"/>
    <s v="northeast"/>
    <n v="2732.8305926311391"/>
    <n v="3643.7741235081853"/>
    <n v="0"/>
    <x v="2"/>
  </r>
  <r>
    <n v="46"/>
    <s v="male"/>
    <n v="19.899999999999999"/>
    <n v="0"/>
    <s v="no"/>
    <s v="midwest"/>
    <n v="1688.0599667761039"/>
    <n v="1985.9529020895347"/>
    <n v="0"/>
    <x v="1"/>
  </r>
  <r>
    <n v="43"/>
    <s v="female"/>
    <n v="34.4"/>
    <n v="3"/>
    <s v="no"/>
    <s v="south"/>
    <n v="2190.8594670230036"/>
    <n v="2921.1459560306716"/>
    <n v="0"/>
    <x v="2"/>
  </r>
  <r>
    <n v="21"/>
    <s v="male"/>
    <n v="24.6"/>
    <n v="0"/>
    <s v="no"/>
    <s v="southeast"/>
    <n v="1756.0311731030729"/>
    <n v="2065.9190271800867"/>
    <n v="0"/>
    <x v="1"/>
  </r>
  <r>
    <n v="64"/>
    <s v="male"/>
    <n v="25.6"/>
    <n v="2"/>
    <s v="no"/>
    <s v="south"/>
    <n v="4563.3946450304938"/>
    <n v="4346.0901381242811"/>
    <n v="0"/>
    <x v="3"/>
  </r>
  <r>
    <n v="18"/>
    <s v="female"/>
    <n v="22.6"/>
    <n v="0"/>
    <s v="no"/>
    <s v="southeast"/>
    <n v="2124.8522396331309"/>
    <n v="2499.8261642742727"/>
    <n v="0"/>
    <x v="1"/>
  </r>
  <r>
    <n v="51"/>
    <s v="female"/>
    <n v="20.6"/>
    <n v="0"/>
    <s v="no"/>
    <s v="south"/>
    <n v="4024.127429429604"/>
    <n v="3832.5023137424814"/>
    <n v="0"/>
    <x v="3"/>
  </r>
  <r>
    <n v="47"/>
    <s v="male"/>
    <n v="47.5"/>
    <n v="1"/>
    <s v="no"/>
    <s v="southeast"/>
    <n v="5385.2477345832658"/>
    <n v="5128.8073662697789"/>
    <n v="0"/>
    <x v="3"/>
  </r>
  <r>
    <n v="64"/>
    <s v="female"/>
    <n v="33"/>
    <n v="0"/>
    <s v="no"/>
    <s v="midwest"/>
    <n v="3954.2862550721566"/>
    <n v="3765.9869095925314"/>
    <n v="0"/>
    <x v="3"/>
  </r>
  <r>
    <n v="49"/>
    <s v="male"/>
    <n v="32.299999999999997"/>
    <n v="3"/>
    <s v="no"/>
    <s v="midwest"/>
    <n v="2670.576624968312"/>
    <n v="3560.768833291083"/>
    <n v="0"/>
    <x v="2"/>
  </r>
  <r>
    <n v="31"/>
    <s v="male"/>
    <n v="23.2"/>
    <n v="0"/>
    <s v="no"/>
    <s v="south"/>
    <n v="2186.7645183868972"/>
    <n v="2572.6641392787033"/>
    <n v="0"/>
    <x v="1"/>
  </r>
  <r>
    <n v="52"/>
    <s v="female"/>
    <n v="38.4"/>
    <n v="2"/>
    <s v="no"/>
    <s v="northeast"/>
    <n v="3223.6932258618758"/>
    <n v="4298.2576344825011"/>
    <n v="0"/>
    <x v="2"/>
  </r>
  <r>
    <n v="33"/>
    <s v="female"/>
    <n v="20.100000000000001"/>
    <n v="0"/>
    <s v="no"/>
    <s v="southeast"/>
    <n v="2102.3471501684903"/>
    <n v="2473.3495884335189"/>
    <n v="0"/>
    <x v="1"/>
  </r>
  <r>
    <n v="47"/>
    <s v="female"/>
    <n v="23.6"/>
    <n v="1"/>
    <s v="no"/>
    <s v="south"/>
    <n v="3592.8872993691275"/>
    <n v="3421.7974279705991"/>
    <n v="0"/>
    <x v="3"/>
  </r>
  <r>
    <n v="38"/>
    <s v="male"/>
    <n v="21.1"/>
    <n v="3"/>
    <s v="no"/>
    <s v="southeast"/>
    <n v="1370.8843400107753"/>
    <n v="1827.8457866810338"/>
    <n v="0"/>
    <x v="2"/>
  </r>
  <r>
    <n v="32"/>
    <s v="male"/>
    <n v="22.8"/>
    <n v="1"/>
    <s v="no"/>
    <s v="southeast"/>
    <n v="2269.9185338380189"/>
    <n v="2670.4923927506111"/>
    <n v="0"/>
    <x v="1"/>
  </r>
  <r>
    <n v="19"/>
    <s v="male"/>
    <n v="26"/>
    <n v="0"/>
    <s v="no"/>
    <s v="midwest"/>
    <n v="1982.573999919143"/>
    <n v="2332.4399999048751"/>
    <n v="0"/>
    <x v="1"/>
  </r>
  <r>
    <n v="44"/>
    <s v="female"/>
    <n v="20.2"/>
    <n v="1"/>
    <s v="yes"/>
    <s v="northeast"/>
    <n v="1817.5181249071952"/>
    <n v="2138.2566175378774"/>
    <n v="1"/>
    <x v="0"/>
  </r>
  <r>
    <n v="26"/>
    <s v="female"/>
    <n v="24.1"/>
    <n v="2"/>
    <s v="yes"/>
    <s v="northeast"/>
    <n v="1730.2239555657902"/>
    <n v="2035.5575947832833"/>
    <n v="1"/>
    <x v="0"/>
  </r>
  <r>
    <n v="25"/>
    <s v="male"/>
    <n v="23.9"/>
    <n v="5"/>
    <s v="no"/>
    <s v="south"/>
    <n v="1218.548187127536"/>
    <n v="1624.7309161700482"/>
    <n v="0"/>
    <x v="2"/>
  </r>
  <r>
    <n v="19"/>
    <s v="female"/>
    <n v="25.8"/>
    <n v="0"/>
    <s v="no"/>
    <s v="midwest"/>
    <n v="1673.4401464700777"/>
    <n v="1968.7531134942101"/>
    <n v="0"/>
    <x v="1"/>
  </r>
  <r>
    <n v="43"/>
    <s v="female"/>
    <n v="35.6"/>
    <n v="1"/>
    <s v="no"/>
    <s v="southeast"/>
    <n v="5542.7739958919901"/>
    <n v="5278.8323770399911"/>
    <n v="0"/>
    <x v="3"/>
  </r>
  <r>
    <n v="52"/>
    <s v="male"/>
    <n v="34.1"/>
    <n v="0"/>
    <s v="no"/>
    <s v="southeast"/>
    <n v="3593.1300248331404"/>
    <n v="3422.0285950791831"/>
    <n v="0"/>
    <x v="3"/>
  </r>
  <r>
    <n v="36"/>
    <s v="female"/>
    <n v="22.6"/>
    <n v="2"/>
    <s v="yes"/>
    <s v="south"/>
    <n v="1842.4317951974253"/>
    <n v="2167.5668178793244"/>
    <n v="1"/>
    <x v="0"/>
  </r>
  <r>
    <n v="64"/>
    <s v="male"/>
    <n v="39.200000000000003"/>
    <n v="1"/>
    <s v="no"/>
    <s v="southeast"/>
    <n v="4417.3122575003372"/>
    <n v="4206.9640547622275"/>
    <n v="0"/>
    <x v="3"/>
  </r>
  <r>
    <n v="63"/>
    <s v="female"/>
    <n v="27"/>
    <n v="0"/>
    <s v="yes"/>
    <s v="midwest"/>
    <n v="5921.0960464030668"/>
    <n v="5639.1390918124453"/>
    <n v="1"/>
    <x v="0"/>
  </r>
  <r>
    <n v="64"/>
    <s v="male"/>
    <n v="33.9"/>
    <n v="0"/>
    <s v="yes"/>
    <s v="southeast"/>
    <n v="5062.1557469302816"/>
    <n v="4821.1007113621745"/>
    <n v="1"/>
    <x v="0"/>
  </r>
  <r>
    <n v="61"/>
    <s v="male"/>
    <n v="35.9"/>
    <n v="0"/>
    <s v="yes"/>
    <s v="southeast"/>
    <n v="4075.9971371384036"/>
    <n v="3881.9020353699093"/>
    <n v="1"/>
    <x v="0"/>
  </r>
  <r>
    <n v="40"/>
    <s v="male"/>
    <n v="32.799999999999997"/>
    <n v="1"/>
    <s v="yes"/>
    <s v="northeast"/>
    <n v="4568.0662557963678"/>
    <n v="4350.5392912346369"/>
    <n v="1"/>
    <x v="0"/>
  </r>
  <r>
    <n v="25"/>
    <s v="male"/>
    <n v="20.9"/>
    <n v="0"/>
    <s v="no"/>
    <s v="northeast"/>
    <n v="1587.6954382059353"/>
    <n v="1867.8769861246303"/>
    <n v="0"/>
    <x v="1"/>
  </r>
  <r>
    <n v="48"/>
    <s v="male"/>
    <n v="30.2"/>
    <n v="2"/>
    <s v="no"/>
    <s v="south"/>
    <n v="2217.9052540174548"/>
    <n v="2957.2070053566063"/>
    <n v="0"/>
    <x v="2"/>
  </r>
  <r>
    <n v="45"/>
    <s v="male"/>
    <n v="24.3"/>
    <n v="5"/>
    <s v="no"/>
    <s v="southeast"/>
    <n v="2160.1698908473381"/>
    <n v="2880.2265211297845"/>
    <n v="0"/>
    <x v="2"/>
  </r>
  <r>
    <n v="38"/>
    <s v="female"/>
    <n v="20.100000000000001"/>
    <n v="1"/>
    <s v="no"/>
    <s v="northeast"/>
    <n v="1668.436406111452"/>
    <n v="1962.8663601311209"/>
    <n v="0"/>
    <x v="1"/>
  </r>
  <r>
    <n v="18"/>
    <s v="female"/>
    <n v="24.1"/>
    <n v="0"/>
    <s v="no"/>
    <s v="northeast"/>
    <n v="1465.3085881766431"/>
    <n v="1723.8924566784044"/>
    <n v="0"/>
    <x v="1"/>
  </r>
  <r>
    <n v="21"/>
    <s v="female"/>
    <n v="25.4"/>
    <n v="1"/>
    <s v="no"/>
    <s v="northeast"/>
    <n v="1860.5366024384562"/>
    <n v="2188.8665911040671"/>
    <n v="0"/>
    <x v="1"/>
  </r>
  <r>
    <n v="27"/>
    <s v="female"/>
    <n v="30.4"/>
    <n v="3"/>
    <s v="no"/>
    <s v="midwest"/>
    <n v="1009.1604027598606"/>
    <n v="1345.5472036798142"/>
    <n v="0"/>
    <x v="2"/>
  </r>
  <r>
    <n v="19"/>
    <s v="male"/>
    <n v="21.7"/>
    <n v="0"/>
    <s v="no"/>
    <s v="south"/>
    <n v="1795.431477213828"/>
    <n v="2112.2723261339156"/>
    <n v="0"/>
    <x v="1"/>
  </r>
  <r>
    <n v="29"/>
    <s v="female"/>
    <n v="20.3"/>
    <n v="2"/>
    <s v="no"/>
    <s v="midwest"/>
    <n v="2269.1830525735381"/>
    <n v="2669.6271206747515"/>
    <n v="0"/>
    <x v="1"/>
  </r>
  <r>
    <n v="42"/>
    <s v="male"/>
    <n v="26.9"/>
    <n v="0"/>
    <s v="no"/>
    <s v="south"/>
    <n v="4852.0825171156803"/>
    <n v="4621.0309686816008"/>
    <n v="0"/>
    <x v="3"/>
  </r>
  <r>
    <n v="60"/>
    <s v="female"/>
    <n v="30.5"/>
    <n v="0"/>
    <s v="no"/>
    <s v="south"/>
    <n v="3941.7512124976938"/>
    <n v="3754.0487738073293"/>
    <n v="0"/>
    <x v="3"/>
  </r>
  <r>
    <n v="31"/>
    <s v="male"/>
    <n v="22.9"/>
    <n v="1"/>
    <s v="no"/>
    <s v="midwest"/>
    <n v="2441.7780987484298"/>
    <n v="2872.6801161746239"/>
    <n v="0"/>
    <x v="1"/>
  </r>
  <r>
    <n v="60"/>
    <s v="male"/>
    <n v="33.1"/>
    <n v="3"/>
    <s v="no"/>
    <s v="southeast"/>
    <n v="3398.4514985235146"/>
    <n v="4531.2686646980192"/>
    <n v="0"/>
    <x v="2"/>
  </r>
  <r>
    <n v="22"/>
    <s v="male"/>
    <n v="26"/>
    <n v="0"/>
    <s v="no"/>
    <s v="northeast"/>
    <n v="1789.958040589129"/>
    <n v="2105.8329889283877"/>
    <n v="0"/>
    <x v="1"/>
  </r>
  <r>
    <n v="35"/>
    <s v="male"/>
    <n v="28.9"/>
    <n v="3"/>
    <s v="no"/>
    <s v="south"/>
    <n v="1523.8448843125593"/>
    <n v="2031.7931790834123"/>
    <n v="0"/>
    <x v="2"/>
  </r>
  <r>
    <n v="52"/>
    <s v="female"/>
    <n v="46.8"/>
    <n v="5"/>
    <s v="no"/>
    <s v="southeast"/>
    <n v="2886.8253349137613"/>
    <n v="3849.1004465516817"/>
    <n v="0"/>
    <x v="2"/>
  </r>
  <r>
    <n v="26"/>
    <s v="male"/>
    <n v="21.1"/>
    <n v="0"/>
    <s v="no"/>
    <s v="northeast"/>
    <n v="1754.9122021748183"/>
    <n v="2064.6025907939047"/>
    <n v="0"/>
    <x v="1"/>
  </r>
  <r>
    <n v="31"/>
    <s v="female"/>
    <n v="20.399999999999999"/>
    <n v="1"/>
    <s v="no"/>
    <s v="midwest"/>
    <n v="1535.6342572623234"/>
    <n v="1806.6285379556753"/>
    <n v="0"/>
    <x v="1"/>
  </r>
  <r>
    <n v="33"/>
    <s v="female"/>
    <n v="24.7"/>
    <n v="0"/>
    <s v="yes"/>
    <s v="south"/>
    <n v="1690.4231032516018"/>
    <n v="1988.7330626489443"/>
    <n v="1"/>
    <x v="0"/>
  </r>
  <r>
    <n v="18"/>
    <s v="male"/>
    <n v="22.4"/>
    <n v="0"/>
    <s v="no"/>
    <s v="southeast"/>
    <n v="1442.7156450682696"/>
    <n v="1697.3125236097299"/>
    <n v="0"/>
    <x v="1"/>
  </r>
  <r>
    <n v="59"/>
    <s v="female"/>
    <n v="36.5"/>
    <n v="1"/>
    <s v="no"/>
    <s v="southeast"/>
    <n v="3877.3950155041944"/>
    <n v="3692.7571576230434"/>
    <n v="0"/>
    <x v="3"/>
  </r>
  <r>
    <n v="56"/>
    <s v="male"/>
    <n v="26.7"/>
    <n v="1"/>
    <s v="yes"/>
    <s v="midwest"/>
    <n v="3963.8005874790551"/>
    <n v="3775.0481785514821"/>
    <n v="1"/>
    <x v="0"/>
  </r>
  <r>
    <n v="45"/>
    <s v="female"/>
    <n v="33.1"/>
    <n v="0"/>
    <s v="no"/>
    <s v="south"/>
    <n v="4574.0344474822377"/>
    <n v="4356.223283316418"/>
    <n v="0"/>
    <x v="3"/>
  </r>
  <r>
    <n v="60"/>
    <s v="male"/>
    <n v="29.6"/>
    <n v="0"/>
    <s v="no"/>
    <s v="northeast"/>
    <n v="4255.9479364159997"/>
    <n v="4053.2837489676203"/>
    <n v="0"/>
    <x v="3"/>
  </r>
  <r>
    <n v="56"/>
    <s v="female"/>
    <n v="25.7"/>
    <n v="0"/>
    <s v="no"/>
    <s v="midwest"/>
    <n v="5298.5224086816197"/>
    <n v="5046.2118177920202"/>
    <n v="0"/>
    <x v="3"/>
  </r>
  <r>
    <n v="40"/>
    <s v="female"/>
    <n v="29.6"/>
    <n v="0"/>
    <s v="no"/>
    <s v="south"/>
    <n v="5402.7852101054577"/>
    <n v="5145.5097239099614"/>
    <n v="0"/>
    <x v="3"/>
  </r>
  <r>
    <n v="35"/>
    <s v="male"/>
    <n v="25"/>
    <n v="1"/>
    <s v="no"/>
    <s v="south"/>
    <n v="2186.9046033858317"/>
    <n v="2572.828945159803"/>
    <n v="0"/>
    <x v="1"/>
  </r>
  <r>
    <n v="39"/>
    <s v="male"/>
    <n v="29.6"/>
    <n v="4"/>
    <s v="no"/>
    <s v="south"/>
    <n v="1926.6083899615169"/>
    <n v="2568.8111866153558"/>
    <n v="0"/>
    <x v="2"/>
  </r>
  <r>
    <n v="30"/>
    <s v="male"/>
    <n v="23"/>
    <n v="1"/>
    <s v="no"/>
    <s v="midwest"/>
    <n v="1524.0178995639365"/>
    <n v="1792.9622347811023"/>
    <n v="0"/>
    <x v="1"/>
  </r>
  <r>
    <n v="24"/>
    <s v="male"/>
    <n v="23.5"/>
    <n v="0"/>
    <s v="no"/>
    <s v="south"/>
    <n v="1889.8109819986585"/>
    <n v="2223.3070376454812"/>
    <n v="0"/>
    <x v="1"/>
  </r>
  <r>
    <n v="20"/>
    <s v="male"/>
    <n v="22.6"/>
    <n v="0"/>
    <s v="no"/>
    <s v="midwest"/>
    <n v="1765.5794603832287"/>
    <n v="2077.1523063332111"/>
    <n v="0"/>
    <x v="1"/>
  </r>
  <r>
    <n v="32"/>
    <s v="male"/>
    <n v="46.5"/>
    <n v="2"/>
    <s v="no"/>
    <s v="southeast"/>
    <n v="1752.4352396811139"/>
    <n v="2336.5803195748185"/>
    <n v="0"/>
    <x v="2"/>
  </r>
  <r>
    <n v="59"/>
    <s v="male"/>
    <n v="37.4"/>
    <n v="0"/>
    <s v="no"/>
    <s v="south"/>
    <n v="4018.5920807458524"/>
    <n v="3827.2305530912895"/>
    <n v="0"/>
    <x v="3"/>
  </r>
  <r>
    <n v="55"/>
    <s v="female"/>
    <n v="30.1"/>
    <n v="2"/>
    <s v="no"/>
    <s v="southeast"/>
    <n v="2871.2824623332185"/>
    <n v="3828.3766164442914"/>
    <n v="0"/>
    <x v="2"/>
  </r>
  <r>
    <n v="57"/>
    <s v="female"/>
    <n v="30.5"/>
    <n v="0"/>
    <s v="no"/>
    <s v="midwest"/>
    <n v="4357.9627592084234"/>
    <n v="4150.4407230556426"/>
    <n v="0"/>
    <x v="3"/>
  </r>
  <r>
    <n v="56"/>
    <s v="male"/>
    <n v="39.6"/>
    <n v="0"/>
    <s v="no"/>
    <s v="south"/>
    <n v="5068.6496103435265"/>
    <n v="4827.2853431843123"/>
    <n v="0"/>
    <x v="3"/>
  </r>
  <r>
    <n v="40"/>
    <s v="female"/>
    <n v="33"/>
    <n v="3"/>
    <s v="no"/>
    <s v="southeast"/>
    <n v="1768.4929635925453"/>
    <n v="2357.9906181233937"/>
    <n v="0"/>
    <x v="2"/>
  </r>
  <r>
    <n v="49"/>
    <s v="female"/>
    <n v="36.6"/>
    <n v="3"/>
    <s v="no"/>
    <s v="southeast"/>
    <n v="3315.3466718309451"/>
    <n v="4420.4622291079268"/>
    <n v="0"/>
    <x v="2"/>
  </r>
  <r>
    <n v="42"/>
    <s v="male"/>
    <n v="30"/>
    <n v="0"/>
    <s v="yes"/>
    <s v="south"/>
    <n v="4509.9314926939433"/>
    <n v="4295.1728501847092"/>
    <n v="1"/>
    <x v="0"/>
  </r>
  <r>
    <n v="62"/>
    <s v="female"/>
    <n v="38.1"/>
    <n v="2"/>
    <s v="no"/>
    <s v="northeast"/>
    <n v="4722.4738184481021"/>
    <n v="4497.5941128077184"/>
    <n v="0"/>
    <x v="3"/>
  </r>
  <r>
    <n v="56"/>
    <s v="male"/>
    <n v="25.9"/>
    <n v="0"/>
    <s v="no"/>
    <s v="northeast"/>
    <n v="5229.0241817561209"/>
    <n v="4980.0230302439259"/>
    <n v="0"/>
    <x v="3"/>
  </r>
  <r>
    <n v="19"/>
    <s v="male"/>
    <n v="22.7"/>
    <n v="0"/>
    <s v="no"/>
    <s v="midwest"/>
    <n v="1317.6976404067618"/>
    <n v="1550.2325181256031"/>
    <n v="0"/>
    <x v="1"/>
  </r>
  <r>
    <n v="30"/>
    <s v="female"/>
    <n v="20.5"/>
    <n v="1"/>
    <s v="yes"/>
    <s v="southeast"/>
    <n v="1888.7688909101921"/>
    <n v="2222.0810481296385"/>
    <n v="1"/>
    <x v="0"/>
  </r>
  <r>
    <n v="60"/>
    <s v="female"/>
    <n v="28.7"/>
    <n v="1"/>
    <s v="no"/>
    <s v="south"/>
    <n v="4330.5001969029327"/>
    <n v="4124.285901812319"/>
    <n v="0"/>
    <x v="3"/>
  </r>
  <r>
    <n v="56"/>
    <s v="female"/>
    <n v="33.799999999999997"/>
    <n v="2"/>
    <s v="no"/>
    <s v="midwest"/>
    <n v="2730.5749782803341"/>
    <n v="3640.7666377071123"/>
    <n v="0"/>
    <x v="2"/>
  </r>
  <r>
    <n v="28"/>
    <s v="female"/>
    <n v="22.6"/>
    <n v="1"/>
    <s v="no"/>
    <s v="northeast"/>
    <n v="2046.3675055586077"/>
    <n v="2407.4911830101278"/>
    <n v="0"/>
    <x v="1"/>
  </r>
  <r>
    <n v="18"/>
    <s v="female"/>
    <n v="22.7"/>
    <n v="1"/>
    <s v="no"/>
    <s v="southeast"/>
    <n v="1620.0607057762252"/>
    <n v="1905.9537715014424"/>
    <n v="0"/>
    <x v="1"/>
  </r>
  <r>
    <n v="27"/>
    <s v="male"/>
    <n v="23"/>
    <n v="0"/>
    <s v="no"/>
    <s v="southeast"/>
    <n v="1995.5831081196404"/>
    <n v="2347.7448330819307"/>
    <n v="0"/>
    <x v="1"/>
  </r>
  <r>
    <n v="18"/>
    <s v="female"/>
    <n v="21.6"/>
    <n v="0"/>
    <s v="no"/>
    <s v="northeast"/>
    <n v="1677.0949862319594"/>
    <n v="1973.0529249787764"/>
    <n v="0"/>
    <x v="1"/>
  </r>
  <r>
    <n v="19"/>
    <s v="female"/>
    <n v="21.8"/>
    <n v="0"/>
    <s v="no"/>
    <s v="south"/>
    <n v="1723.7044105316518"/>
    <n v="2027.8875418019441"/>
    <n v="0"/>
    <x v="1"/>
  </r>
  <r>
    <n v="47"/>
    <s v="female"/>
    <n v="33.299999999999997"/>
    <n v="0"/>
    <s v="no"/>
    <s v="northeast"/>
    <n v="5747.7600741677916"/>
    <n v="5474.0572134931363"/>
    <n v="0"/>
    <x v="3"/>
  </r>
  <r>
    <n v="54"/>
    <s v="male"/>
    <n v="25.1"/>
    <n v="3"/>
    <s v="yes"/>
    <s v="south"/>
    <n v="2640.8233842609052"/>
    <n v="3521.0978456812068"/>
    <n v="1"/>
    <x v="0"/>
  </r>
  <r>
    <n v="61"/>
    <s v="male"/>
    <n v="28.3"/>
    <n v="1"/>
    <s v="yes"/>
    <s v="midwest"/>
    <n v="4342.002675708467"/>
    <n v="4135.2406435318744"/>
    <n v="1"/>
    <x v="0"/>
  </r>
  <r>
    <n v="24"/>
    <s v="male"/>
    <n v="20.9"/>
    <n v="0"/>
    <s v="yes"/>
    <s v="northeast"/>
    <n v="1343.2221568282862"/>
    <n v="1580.2613609744549"/>
    <n v="1"/>
    <x v="0"/>
  </r>
  <r>
    <n v="25"/>
    <s v="male"/>
    <n v="22.7"/>
    <n v="0"/>
    <s v="no"/>
    <s v="midwest"/>
    <n v="2634.8842118422685"/>
    <n v="3099.8637786379636"/>
    <n v="0"/>
    <x v="1"/>
  </r>
  <r>
    <n v="21"/>
    <s v="male"/>
    <n v="22.4"/>
    <n v="0"/>
    <s v="no"/>
    <s v="southeast"/>
    <n v="1442.3069651788564"/>
    <n v="1696.8317237398321"/>
    <n v="0"/>
    <x v="1"/>
  </r>
  <r>
    <n v="23"/>
    <s v="male"/>
    <n v="23.9"/>
    <n v="0"/>
    <s v="no"/>
    <s v="southeast"/>
    <n v="1886.1531950425892"/>
    <n v="2219.003758873635"/>
    <n v="0"/>
    <x v="1"/>
  </r>
  <r>
    <n v="63"/>
    <s v="male"/>
    <n v="41.3"/>
    <n v="3"/>
    <s v="no"/>
    <s v="midwest"/>
    <n v="2932.1508109545084"/>
    <n v="3909.5344146060111"/>
    <n v="0"/>
    <x v="2"/>
  </r>
  <r>
    <n v="49"/>
    <s v="male"/>
    <n v="37.5"/>
    <n v="2"/>
    <s v="no"/>
    <s v="southeast"/>
    <n v="2393.9274972844137"/>
    <n v="3191.9033297125516"/>
    <n v="0"/>
    <x v="2"/>
  </r>
  <r>
    <n v="18"/>
    <s v="female"/>
    <n v="24.8"/>
    <n v="0"/>
    <s v="no"/>
    <s v="southeast"/>
    <n v="1738.4816856374305"/>
    <n v="2045.2725713381544"/>
    <n v="0"/>
    <x v="1"/>
  </r>
  <r>
    <n v="51"/>
    <s v="female"/>
    <n v="39.5"/>
    <n v="1"/>
    <s v="no"/>
    <s v="south"/>
    <n v="5590.577142910417"/>
    <n v="5324.3591837242075"/>
    <n v="0"/>
    <x v="3"/>
  </r>
  <r>
    <n v="48"/>
    <s v="male"/>
    <n v="34.299999999999997"/>
    <n v="3"/>
    <s v="no"/>
    <s v="south"/>
    <n v="1622.1467095457037"/>
    <n v="2162.8622793942718"/>
    <n v="0"/>
    <x v="2"/>
  </r>
  <r>
    <n v="31"/>
    <s v="female"/>
    <n v="22.2"/>
    <n v="0"/>
    <s v="no"/>
    <s v="northeast"/>
    <n v="1383.3499096920489"/>
    <n v="1627.4704819906465"/>
    <n v="0"/>
    <x v="1"/>
  </r>
  <r>
    <n v="54"/>
    <s v="female"/>
    <n v="21.5"/>
    <n v="3"/>
    <s v="no"/>
    <s v="midwest"/>
    <n v="1388.8965006997869"/>
    <n v="1851.8620009330493"/>
    <n v="0"/>
    <x v="2"/>
  </r>
  <r>
    <n v="19"/>
    <s v="male"/>
    <n v="24"/>
    <n v="0"/>
    <s v="no"/>
    <s v="south"/>
    <n v="1796.1185114739883"/>
    <n v="2113.0806017341047"/>
    <n v="0"/>
    <x v="1"/>
  </r>
  <r>
    <n v="44"/>
    <s v="female"/>
    <n v="38.1"/>
    <n v="0"/>
    <s v="yes"/>
    <s v="southeast"/>
    <n v="4002.1368845254865"/>
    <n v="3811.5589376433218"/>
    <n v="1"/>
    <x v="0"/>
  </r>
  <r>
    <n v="53"/>
    <s v="male"/>
    <n v="31.2"/>
    <n v="1"/>
    <s v="no"/>
    <s v="midwest"/>
    <n v="4097.521764009537"/>
    <n v="3902.4016800090844"/>
    <n v="0"/>
    <x v="3"/>
  </r>
  <r>
    <n v="19"/>
    <s v="female"/>
    <n v="23.1"/>
    <n v="0"/>
    <s v="no"/>
    <s v="south"/>
    <n v="1584.1220626450724"/>
    <n v="1863.6730148765566"/>
    <n v="0"/>
    <x v="1"/>
  </r>
  <r>
    <n v="61"/>
    <s v="female"/>
    <n v="25.1"/>
    <n v="0"/>
    <s v="no"/>
    <s v="southeast"/>
    <n v="4387.6699702227552"/>
    <n v="4178.7333049740537"/>
    <n v="0"/>
    <x v="3"/>
  </r>
  <r>
    <n v="18"/>
    <s v="female"/>
    <n v="23.9"/>
    <n v="0"/>
    <s v="no"/>
    <s v="northeast"/>
    <n v="1989.9991666581186"/>
    <n v="2341.1754901860222"/>
    <n v="0"/>
    <x v="1"/>
  </r>
  <r>
    <n v="61"/>
    <s v="male"/>
    <n v="43.4"/>
    <n v="0"/>
    <s v="no"/>
    <s v="south"/>
    <n v="5310.1371469238056"/>
    <n v="5057.2734732607696"/>
    <n v="0"/>
    <x v="3"/>
  </r>
  <r>
    <n v="21"/>
    <s v="male"/>
    <n v="25.7"/>
    <n v="4"/>
    <s v="yes"/>
    <s v="south"/>
    <n v="1745.1709513499152"/>
    <n v="2326.8946017998869"/>
    <n v="1"/>
    <x v="0"/>
  </r>
  <r>
    <n v="20"/>
    <s v="male"/>
    <n v="22.3"/>
    <n v="0"/>
    <s v="no"/>
    <s v="northeast"/>
    <n v="1888.2559479512292"/>
    <n v="2221.4775858249768"/>
    <n v="0"/>
    <x v="1"/>
  </r>
  <r>
    <n v="31"/>
    <s v="female"/>
    <n v="23.6"/>
    <n v="2"/>
    <s v="no"/>
    <s v="south"/>
    <n v="1786.0312721691275"/>
    <n v="2101.2132613754447"/>
    <n v="0"/>
    <x v="1"/>
  </r>
  <r>
    <n v="45"/>
    <s v="male"/>
    <n v="28.7"/>
    <n v="2"/>
    <s v="no"/>
    <s v="south"/>
    <n v="2245.0808398913714"/>
    <n v="2993.4411198551616"/>
    <n v="0"/>
    <x v="2"/>
  </r>
  <r>
    <n v="44"/>
    <s v="female"/>
    <n v="24"/>
    <n v="2"/>
    <s v="no"/>
    <s v="southeast"/>
    <n v="1227.2931857917197"/>
    <n v="1636.3909143889596"/>
    <n v="0"/>
    <x v="2"/>
  </r>
  <r>
    <n v="62"/>
    <s v="female"/>
    <n v="39.200000000000003"/>
    <n v="0"/>
    <s v="no"/>
    <s v="south"/>
    <n v="6168.2013606418204"/>
    <n v="5874.4774863255443"/>
    <n v="0"/>
    <x v="3"/>
  </r>
  <r>
    <n v="29"/>
    <s v="male"/>
    <n v="20.100000000000001"/>
    <n v="0"/>
    <s v="yes"/>
    <s v="south"/>
    <n v="1337.9578212217898"/>
    <n v="1574.0680249668119"/>
    <n v="1"/>
    <x v="0"/>
  </r>
  <r>
    <n v="43"/>
    <s v="male"/>
    <n v="26"/>
    <n v="0"/>
    <s v="no"/>
    <s v="northeast"/>
    <n v="3756.7167781780759"/>
    <n v="3577.8255030267405"/>
    <n v="0"/>
    <x v="3"/>
  </r>
  <r>
    <n v="51"/>
    <s v="male"/>
    <n v="23.2"/>
    <n v="1"/>
    <s v="yes"/>
    <s v="southeast"/>
    <n v="5631.8176221398426"/>
    <n v="5363.6358306093753"/>
    <n v="1"/>
    <x v="0"/>
  </r>
  <r>
    <n v="19"/>
    <s v="male"/>
    <n v="22.6"/>
    <n v="0"/>
    <s v="yes"/>
    <s v="southeast"/>
    <n v="1936.4079371319831"/>
    <n v="2278.1269848611569"/>
    <n v="1"/>
    <x v="0"/>
  </r>
  <r>
    <n v="38"/>
    <s v="female"/>
    <n v="21.6"/>
    <n v="1"/>
    <s v="no"/>
    <s v="southeast"/>
    <n v="1768.4746985156994"/>
    <n v="2080.5584688419999"/>
    <n v="0"/>
    <x v="1"/>
  </r>
  <r>
    <n v="37"/>
    <s v="male"/>
    <n v="30.9"/>
    <n v="3"/>
    <s v="no"/>
    <s v="midwest"/>
    <n v="2682.6525386248545"/>
    <n v="3576.8700514998059"/>
    <n v="0"/>
    <x v="2"/>
  </r>
  <r>
    <n v="22"/>
    <s v="male"/>
    <n v="20.2"/>
    <n v="1"/>
    <s v="no"/>
    <s v="midwest"/>
    <n v="1536.0162378935877"/>
    <n v="1807.0779269336335"/>
    <n v="0"/>
    <x v="1"/>
  </r>
  <r>
    <n v="21"/>
    <s v="male"/>
    <n v="22.5"/>
    <n v="2"/>
    <s v="no"/>
    <s v="midwest"/>
    <n v="2329.1636619968713"/>
    <n v="2740.1925435257313"/>
    <n v="0"/>
    <x v="1"/>
  </r>
  <r>
    <n v="24"/>
    <s v="female"/>
    <n v="20.2"/>
    <n v="0"/>
    <s v="no"/>
    <s v="northeast"/>
    <n v="1943.7571164739311"/>
    <n v="2286.7730782046256"/>
    <n v="0"/>
    <x v="1"/>
  </r>
  <r>
    <n v="57"/>
    <s v="female"/>
    <n v="28.7"/>
    <n v="0"/>
    <s v="no"/>
    <s v="south"/>
    <n v="5025.5580692983685"/>
    <n v="4786.2457802841618"/>
    <n v="0"/>
    <x v="3"/>
  </r>
  <r>
    <n v="56"/>
    <s v="male"/>
    <n v="32.1"/>
    <n v="1"/>
    <s v="no"/>
    <s v="northeast"/>
    <n v="6063.4353786418051"/>
    <n v="5774.7003606112448"/>
    <n v="0"/>
    <x v="3"/>
  </r>
  <r>
    <n v="27"/>
    <s v="male"/>
    <n v="21.2"/>
    <n v="0"/>
    <s v="no"/>
    <s v="southeast"/>
    <n v="1432.9797377299371"/>
    <n v="1685.8585149763976"/>
    <n v="0"/>
    <x v="1"/>
  </r>
  <r>
    <n v="51"/>
    <s v="male"/>
    <n v="22.4"/>
    <n v="0"/>
    <s v="no"/>
    <s v="northeast"/>
    <n v="5088.8506533933705"/>
    <n v="4846.5244318032119"/>
    <n v="0"/>
    <x v="3"/>
  </r>
  <r>
    <n v="19"/>
    <s v="male"/>
    <n v="21.8"/>
    <n v="0"/>
    <s v="no"/>
    <s v="south"/>
    <n v="1479.2219071066434"/>
    <n v="1740.2610671842872"/>
    <n v="0"/>
    <x v="1"/>
  </r>
  <r>
    <n v="39"/>
    <s v="male"/>
    <n v="21.6"/>
    <n v="1"/>
    <s v="yes"/>
    <s v="south"/>
    <n v="1397.6273745838403"/>
    <n v="1644.267499510401"/>
    <n v="1"/>
    <x v="0"/>
  </r>
  <r>
    <n v="58"/>
    <s v="male"/>
    <n v="35.700000000000003"/>
    <n v="0"/>
    <s v="no"/>
    <s v="south"/>
    <n v="5622.3306521329914"/>
    <n v="5354.600621079042"/>
    <n v="0"/>
    <x v="3"/>
  </r>
  <r>
    <n v="20"/>
    <s v="male"/>
    <n v="25.3"/>
    <n v="1"/>
    <s v="no"/>
    <s v="southeast"/>
    <n v="2408.398053476044"/>
    <n v="2833.4094746776991"/>
    <n v="0"/>
    <x v="1"/>
  </r>
  <r>
    <n v="45"/>
    <s v="male"/>
    <n v="30.5"/>
    <n v="2"/>
    <s v="no"/>
    <s v="midwest"/>
    <n v="1803.0635348309684"/>
    <n v="2404.0847131079577"/>
    <n v="0"/>
    <x v="2"/>
  </r>
  <r>
    <n v="35"/>
    <s v="female"/>
    <n v="23.1"/>
    <n v="1"/>
    <s v="no"/>
    <s v="south"/>
    <n v="2487.1312699541559"/>
    <n v="2926.0367881813609"/>
    <n v="0"/>
    <x v="1"/>
  </r>
  <r>
    <n v="31"/>
    <s v="male"/>
    <n v="24.5"/>
    <n v="0"/>
    <s v="no"/>
    <s v="northeast"/>
    <n v="1489.0638569890186"/>
    <n v="1751.8398317517874"/>
    <n v="0"/>
    <x v="1"/>
  </r>
  <r>
    <n v="50"/>
    <s v="female"/>
    <n v="27.4"/>
    <n v="0"/>
    <s v="no"/>
    <s v="northeast"/>
    <n v="5469.0676480045749"/>
    <n v="5208.6358552424535"/>
    <n v="0"/>
    <x v="3"/>
  </r>
  <r>
    <n v="32"/>
    <s v="female"/>
    <n v="24.1"/>
    <n v="0"/>
    <s v="no"/>
    <s v="southeast"/>
    <n v="1531.6509901579836"/>
    <n v="1801.9423413623344"/>
    <n v="0"/>
    <x v="1"/>
  </r>
  <r>
    <n v="51"/>
    <s v="female"/>
    <n v="33.9"/>
    <n v="0"/>
    <s v="no"/>
    <s v="northeast"/>
    <n v="4887.1819086940086"/>
    <n v="4654.4589606609625"/>
    <n v="0"/>
    <x v="3"/>
  </r>
  <r>
    <n v="38"/>
    <s v="female"/>
    <n v="37.700000000000003"/>
    <n v="0"/>
    <s v="no"/>
    <s v="southeast"/>
    <n v="4403.5336112441209"/>
    <n v="4193.8415345182129"/>
    <n v="0"/>
    <x v="3"/>
  </r>
  <r>
    <n v="42"/>
    <s v="male"/>
    <n v="26.1"/>
    <n v="1"/>
    <s v="yes"/>
    <s v="southeast"/>
    <n v="1924.9017004795855"/>
    <n v="2264.5902358583367"/>
    <n v="1"/>
    <x v="0"/>
  </r>
  <r>
    <n v="18"/>
    <s v="female"/>
    <n v="21.5"/>
    <n v="0"/>
    <s v="no"/>
    <s v="southeast"/>
    <n v="1917.2382416386206"/>
    <n v="2255.5744019277895"/>
    <n v="0"/>
    <x v="1"/>
  </r>
  <r>
    <n v="19"/>
    <s v="female"/>
    <n v="24.9"/>
    <n v="2"/>
    <s v="no"/>
    <s v="midwest"/>
    <n v="2368.0662929867731"/>
    <n v="2785.9603446903216"/>
    <n v="0"/>
    <x v="1"/>
  </r>
  <r>
    <n v="51"/>
    <s v="female"/>
    <n v="25.8"/>
    <n v="1"/>
    <s v="no"/>
    <s v="south"/>
    <n v="4631.6930105639885"/>
    <n v="4411.1362005371338"/>
    <n v="0"/>
    <x v="3"/>
  </r>
  <r>
    <n v="46"/>
    <s v="male"/>
    <n v="39.4"/>
    <n v="1"/>
    <s v="no"/>
    <s v="northeast"/>
    <n v="4879.3707775311568"/>
    <n v="4647.0197881249123"/>
    <n v="0"/>
    <x v="3"/>
  </r>
  <r>
    <n v="18"/>
    <s v="male"/>
    <n v="21.2"/>
    <n v="0"/>
    <s v="no"/>
    <s v="northeast"/>
    <n v="1313.0553822931756"/>
    <n v="1544.7710379919718"/>
    <n v="0"/>
    <x v="1"/>
  </r>
  <r>
    <n v="57"/>
    <s v="male"/>
    <n v="42.1"/>
    <n v="1"/>
    <s v="yes"/>
    <s v="southeast"/>
    <n v="4731.6593000401826"/>
    <n v="4506.3421905144605"/>
    <n v="1"/>
    <x v="0"/>
  </r>
  <r>
    <n v="62"/>
    <s v="female"/>
    <n v="31.7"/>
    <n v="0"/>
    <s v="no"/>
    <s v="northeast"/>
    <n v="5260.3042843775938"/>
    <n v="5009.8136041691378"/>
    <n v="0"/>
    <x v="3"/>
  </r>
  <r>
    <n v="59"/>
    <s v="male"/>
    <n v="29.7"/>
    <n v="2"/>
    <s v="no"/>
    <s v="southeast"/>
    <n v="1298.8075552014959"/>
    <n v="1731.7434069353278"/>
    <n v="0"/>
    <x v="2"/>
  </r>
  <r>
    <n v="37"/>
    <s v="male"/>
    <n v="36.200000000000003"/>
    <n v="0"/>
    <s v="no"/>
    <s v="southeast"/>
    <n v="4944.9609849017552"/>
    <n v="4709.4866522873881"/>
    <n v="0"/>
    <x v="3"/>
  </r>
  <r>
    <n v="64"/>
    <s v="male"/>
    <n v="40.5"/>
    <n v="0"/>
    <s v="no"/>
    <s v="southeast"/>
    <n v="4068.1550629180911"/>
    <n v="3874.4333932553263"/>
    <n v="0"/>
    <x v="3"/>
  </r>
  <r>
    <n v="38"/>
    <s v="male"/>
    <n v="24.3"/>
    <n v="1"/>
    <s v="no"/>
    <s v="northeast"/>
    <n v="2012.3569720725907"/>
    <n v="2367.4787906736369"/>
    <n v="0"/>
    <x v="1"/>
  </r>
  <r>
    <n v="33"/>
    <s v="female"/>
    <n v="38.9"/>
    <n v="3"/>
    <s v="no"/>
    <s v="south"/>
    <n v="1462.912558334323"/>
    <n v="1950.5500777790974"/>
    <n v="0"/>
    <x v="2"/>
  </r>
  <r>
    <n v="46"/>
    <s v="female"/>
    <n v="30.2"/>
    <n v="2"/>
    <s v="no"/>
    <s v="south"/>
    <n v="2959.1838072092605"/>
    <n v="3945.5784096123475"/>
    <n v="0"/>
    <x v="2"/>
  </r>
  <r>
    <n v="46"/>
    <s v="female"/>
    <n v="28.1"/>
    <n v="1"/>
    <s v="no"/>
    <s v="southeast"/>
    <n v="5125.1052021576506"/>
    <n v="4881.0525734834773"/>
    <n v="0"/>
    <x v="3"/>
  </r>
  <r>
    <n v="53"/>
    <s v="male"/>
    <n v="31.4"/>
    <n v="0"/>
    <s v="no"/>
    <s v="southeast"/>
    <n v="5835.8353615855067"/>
    <n v="5557.9384396052455"/>
    <n v="0"/>
    <x v="3"/>
  </r>
  <r>
    <n v="34"/>
    <s v="female"/>
    <n v="38"/>
    <n v="3"/>
    <s v="no"/>
    <s v="south"/>
    <n v="2098.2119331128706"/>
    <n v="2797.6159108171605"/>
    <n v="0"/>
    <x v="2"/>
  </r>
  <r>
    <n v="20"/>
    <s v="female"/>
    <n v="20.100000000000001"/>
    <n v="2"/>
    <s v="no"/>
    <s v="southeast"/>
    <n v="1974.2904877846277"/>
    <n v="2322.6946915113272"/>
    <n v="0"/>
    <x v="1"/>
  </r>
  <r>
    <n v="63"/>
    <s v="female"/>
    <n v="36.299999999999997"/>
    <n v="0"/>
    <s v="no"/>
    <s v="southeast"/>
    <n v="5073.3037248618493"/>
    <n v="4831.7178332017629"/>
    <n v="0"/>
    <x v="3"/>
  </r>
  <r>
    <n v="54"/>
    <s v="female"/>
    <n v="47.4"/>
    <n v="0"/>
    <s v="yes"/>
    <s v="southeast"/>
    <n v="4105.0233810427062"/>
    <n v="3909.5460771835315"/>
    <n v="1"/>
    <x v="0"/>
  </r>
  <r>
    <n v="54"/>
    <s v="male"/>
    <n v="30.2"/>
    <n v="0"/>
    <s v="no"/>
    <s v="midwest"/>
    <n v="5707.5287729528636"/>
    <n v="5435.7416885265384"/>
    <n v="0"/>
    <x v="3"/>
  </r>
  <r>
    <n v="49"/>
    <s v="male"/>
    <n v="25.8"/>
    <n v="2"/>
    <s v="yes"/>
    <s v="midwest"/>
    <n v="1608.7560391981515"/>
    <n v="2145.008052264202"/>
    <n v="1"/>
    <x v="0"/>
  </r>
  <r>
    <n v="28"/>
    <s v="male"/>
    <n v="21.7"/>
    <n v="0"/>
    <s v="no"/>
    <s v="northeast"/>
    <n v="1923.6280597381574"/>
    <n v="2263.0918349860685"/>
    <n v="0"/>
    <x v="1"/>
  </r>
  <r>
    <n v="54"/>
    <s v="female"/>
    <n v="46.7"/>
    <n v="2"/>
    <s v="no"/>
    <s v="south"/>
    <n v="1823.2315869750892"/>
    <n v="2430.9754493001187"/>
    <n v="0"/>
    <x v="2"/>
  </r>
  <r>
    <n v="25"/>
    <s v="female"/>
    <n v="24.1"/>
    <n v="0"/>
    <s v="no"/>
    <s v="northeast"/>
    <n v="1639.0517662020854"/>
    <n v="1928.2961955318658"/>
    <n v="0"/>
    <x v="1"/>
  </r>
  <r>
    <n v="43"/>
    <s v="female"/>
    <n v="46.2"/>
    <n v="0"/>
    <s v="yes"/>
    <s v="southeast"/>
    <n v="5598.7674051799913"/>
    <n v="5332.1594335047548"/>
    <n v="1"/>
    <x v="0"/>
  </r>
  <r>
    <n v="63"/>
    <s v="male"/>
    <n v="30.8"/>
    <n v="0"/>
    <s v="no"/>
    <s v="south"/>
    <n v="5443.3660314796916"/>
    <n v="5184.1581252187552"/>
    <n v="0"/>
    <x v="3"/>
  </r>
  <r>
    <n v="32"/>
    <s v="female"/>
    <n v="24"/>
    <n v="0"/>
    <s v="no"/>
    <s v="southeast"/>
    <n v="1609.4625500703328"/>
    <n v="1893.4853530239216"/>
    <n v="0"/>
    <x v="1"/>
  </r>
  <r>
    <n v="62"/>
    <s v="male"/>
    <n v="21.4"/>
    <n v="0"/>
    <s v="no"/>
    <s v="south"/>
    <n v="5055.4769764123503"/>
    <n v="4814.7399775355734"/>
    <n v="0"/>
    <x v="3"/>
  </r>
  <r>
    <n v="52"/>
    <s v="female"/>
    <n v="31.7"/>
    <n v="2"/>
    <s v="no"/>
    <s v="midwest"/>
    <n v="1777.7011694368007"/>
    <n v="2370.2682259157341"/>
    <n v="0"/>
    <x v="2"/>
  </r>
  <r>
    <n v="25"/>
    <s v="female"/>
    <n v="23.7"/>
    <n v="0"/>
    <s v="no"/>
    <s v="northeast"/>
    <n v="1935.2027128063837"/>
    <n v="2276.7090738898642"/>
    <n v="0"/>
    <x v="1"/>
  </r>
  <r>
    <n v="28"/>
    <s v="male"/>
    <n v="23.8"/>
    <n v="2"/>
    <s v="no"/>
    <s v="south"/>
    <n v="2081.0114346383666"/>
    <n v="2448.2487466333732"/>
    <n v="0"/>
    <x v="1"/>
  </r>
  <r>
    <n v="46"/>
    <s v="male"/>
    <n v="33.4"/>
    <n v="1"/>
    <s v="no"/>
    <s v="northeast"/>
    <n v="4182.938333456158"/>
    <n v="3983.750793767771"/>
    <n v="0"/>
    <x v="3"/>
  </r>
  <r>
    <n v="34"/>
    <s v="male"/>
    <n v="20.5"/>
    <n v="0"/>
    <s v="no"/>
    <s v="southeast"/>
    <n v="1884.824043671578"/>
    <n v="2217.4400513783276"/>
    <n v="0"/>
    <x v="1"/>
  </r>
  <r>
    <n v="35"/>
    <s v="female"/>
    <n v="34.1"/>
    <n v="3"/>
    <s v="yes"/>
    <s v="midwest"/>
    <n v="1978.5161380342347"/>
    <n v="2638.0215173789798"/>
    <n v="1"/>
    <x v="0"/>
  </r>
  <r>
    <n v="19"/>
    <s v="male"/>
    <n v="22.9"/>
    <n v="0"/>
    <s v="no"/>
    <s v="midwest"/>
    <n v="1653.1807737838576"/>
    <n v="1944.9185573927743"/>
    <n v="0"/>
    <x v="1"/>
  </r>
  <r>
    <n v="46"/>
    <s v="female"/>
    <n v="20"/>
    <n v="2"/>
    <s v="no"/>
    <s v="midwest"/>
    <n v="2115.6016308451535"/>
    <n v="2488.9430951119461"/>
    <n v="0"/>
    <x v="1"/>
  </r>
  <r>
    <n v="54"/>
    <s v="female"/>
    <n v="32.700000000000003"/>
    <n v="0"/>
    <s v="no"/>
    <s v="northeast"/>
    <n v="3716.1636483710668"/>
    <n v="3539.2034746391128"/>
    <n v="0"/>
    <x v="3"/>
  </r>
  <r>
    <n v="27"/>
    <s v="male"/>
    <n v="21.2"/>
    <n v="0"/>
    <s v="no"/>
    <s v="south"/>
    <n v="2460.3349772898255"/>
    <n v="2894.5117379880303"/>
    <n v="0"/>
    <x v="1"/>
  </r>
  <r>
    <n v="50"/>
    <s v="male"/>
    <n v="44.8"/>
    <n v="1"/>
    <s v="no"/>
    <s v="southeast"/>
    <n v="5480.5071970922691"/>
    <n v="5219.5306638973998"/>
    <n v="0"/>
    <x v="3"/>
  </r>
  <r>
    <n v="18"/>
    <s v="female"/>
    <n v="22.5"/>
    <n v="2"/>
    <s v="no"/>
    <s v="southeast"/>
    <n v="1998.331836822505"/>
    <n v="2350.9786315558886"/>
    <n v="0"/>
    <x v="1"/>
  </r>
  <r>
    <n v="19"/>
    <s v="female"/>
    <n v="22.1"/>
    <n v="0"/>
    <s v="no"/>
    <s v="midwest"/>
    <n v="1811.4664754230878"/>
    <n v="2131.1370299095161"/>
    <n v="0"/>
    <x v="1"/>
  </r>
  <r>
    <n v="38"/>
    <s v="female"/>
    <n v="40.6"/>
    <n v="1"/>
    <s v="no"/>
    <s v="midwest"/>
    <n v="5343.1060860769576"/>
    <n v="5088.6724629304372"/>
    <n v="0"/>
    <x v="3"/>
  </r>
  <r>
    <n v="41"/>
    <s v="male"/>
    <n v="30.6"/>
    <n v="2"/>
    <s v="no"/>
    <s v="midwest"/>
    <n v="1213.4208954993014"/>
    <n v="1617.8945273324018"/>
    <n v="0"/>
    <x v="2"/>
  </r>
  <r>
    <n v="49"/>
    <s v="female"/>
    <n v="31.9"/>
    <n v="5"/>
    <s v="no"/>
    <s v="south"/>
    <n v="2749.1183002808143"/>
    <n v="3665.4910670410859"/>
    <n v="0"/>
    <x v="2"/>
  </r>
  <r>
    <n v="48"/>
    <s v="male"/>
    <n v="40.6"/>
    <n v="2"/>
    <s v="yes"/>
    <s v="midwest"/>
    <n v="2593.5177436091317"/>
    <n v="3458.0236581455092"/>
    <n v="1"/>
    <x v="0"/>
  </r>
  <r>
    <n v="31"/>
    <s v="female"/>
    <n v="23.1"/>
    <n v="0"/>
    <s v="no"/>
    <s v="south"/>
    <n v="1984.9053451460311"/>
    <n v="2335.1827589953318"/>
    <n v="0"/>
    <x v="1"/>
  </r>
  <r>
    <n v="18"/>
    <s v="female"/>
    <n v="22.4"/>
    <n v="1"/>
    <s v="no"/>
    <s v="southeast"/>
    <n v="2392.0949160267037"/>
    <n v="2814.2293129725931"/>
    <n v="0"/>
    <x v="1"/>
  </r>
  <r>
    <n v="30"/>
    <s v="female"/>
    <n v="43.1"/>
    <n v="2"/>
    <s v="no"/>
    <s v="southeast"/>
    <n v="3004.674973472801"/>
    <n v="4006.2332979637349"/>
    <n v="0"/>
    <x v="2"/>
  </r>
  <r>
    <n v="62"/>
    <s v="female"/>
    <n v="36.9"/>
    <n v="1"/>
    <s v="no"/>
    <s v="northeast"/>
    <n v="6220.86640899539"/>
    <n v="5924.6346752337067"/>
    <n v="0"/>
    <x v="3"/>
  </r>
  <r>
    <n v="57"/>
    <s v="female"/>
    <n v="34.299999999999997"/>
    <n v="2"/>
    <s v="no"/>
    <s v="northeast"/>
    <n v="1805.5186453498293"/>
    <n v="2407.3581937997724"/>
    <n v="0"/>
    <x v="2"/>
  </r>
  <r>
    <n v="58"/>
    <s v="female"/>
    <n v="27.2"/>
    <n v="0"/>
    <s v="no"/>
    <s v="midwest"/>
    <n v="4400.8256123175779"/>
    <n v="4191.2624879215045"/>
    <n v="0"/>
    <x v="3"/>
  </r>
  <r>
    <n v="22"/>
    <s v="male"/>
    <n v="20.6"/>
    <n v="0"/>
    <s v="no"/>
    <s v="southeast"/>
    <n v="1768.7903005542937"/>
    <n v="2080.9297653579933"/>
    <n v="0"/>
    <x v="1"/>
  </r>
  <r>
    <n v="31"/>
    <s v="female"/>
    <n v="24.3"/>
    <n v="1"/>
    <s v="yes"/>
    <s v="northeast"/>
    <n v="1384.0812768289024"/>
    <n v="1628.3309139163566"/>
    <n v="1"/>
    <x v="0"/>
  </r>
  <r>
    <n v="52"/>
    <s v="male"/>
    <n v="30.2"/>
    <n v="1"/>
    <s v="no"/>
    <s v="south"/>
    <n v="5293.9159791797429"/>
    <n v="5041.8247420759471"/>
    <n v="0"/>
    <x v="3"/>
  </r>
  <r>
    <n v="25"/>
    <s v="female"/>
    <n v="23.4"/>
    <n v="0"/>
    <s v="no"/>
    <s v="northeast"/>
    <n v="2370.6727129681703"/>
    <n v="2789.0267211390246"/>
    <n v="0"/>
    <x v="1"/>
  </r>
  <r>
    <n v="59"/>
    <s v="male"/>
    <n v="25.5"/>
    <n v="1"/>
    <s v="no"/>
    <s v="northeast"/>
    <n v="4910.3464001060838"/>
    <n v="4676.5203810534149"/>
    <n v="0"/>
    <x v="3"/>
  </r>
  <r>
    <n v="19"/>
    <s v="male"/>
    <n v="23.8"/>
    <n v="0"/>
    <s v="no"/>
    <s v="midwest"/>
    <n v="1834.7355568127025"/>
    <n v="2158.5124197796508"/>
    <n v="0"/>
    <x v="1"/>
  </r>
  <r>
    <n v="39"/>
    <s v="male"/>
    <n v="45.4"/>
    <n v="2"/>
    <s v="no"/>
    <s v="southeast"/>
    <n v="1897.0441296953029"/>
    <n v="2529.3921729270705"/>
    <n v="0"/>
    <x v="2"/>
  </r>
  <r>
    <n v="32"/>
    <s v="female"/>
    <n v="23.9"/>
    <n v="1"/>
    <s v="no"/>
    <s v="southeast"/>
    <n v="2099.8662246822582"/>
    <n v="2470.4308525673632"/>
    <n v="0"/>
    <x v="1"/>
  </r>
  <r>
    <n v="19"/>
    <s v="male"/>
    <n v="25.7"/>
    <n v="0"/>
    <s v="no"/>
    <s v="south"/>
    <n v="1681.5847379542856"/>
    <n v="1978.3349858285724"/>
    <n v="0"/>
    <x v="1"/>
  </r>
  <r>
    <n v="33"/>
    <s v="female"/>
    <n v="22"/>
    <n v="1"/>
    <s v="no"/>
    <s v="southeast"/>
    <n v="1685.2574309685183"/>
    <n v="1982.6558011394341"/>
    <n v="0"/>
    <x v="1"/>
  </r>
  <r>
    <n v="21"/>
    <s v="male"/>
    <n v="20.2"/>
    <n v="3"/>
    <s v="no"/>
    <s v="northeast"/>
    <n v="2063.7641495595362"/>
    <n v="2427.9578230112197"/>
    <n v="0"/>
    <x v="1"/>
  </r>
  <r>
    <n v="34"/>
    <s v="female"/>
    <n v="22"/>
    <n v="1"/>
    <s v="yes"/>
    <s v="midwest"/>
    <n v="1791.4747216057369"/>
    <n v="2107.6173195361616"/>
    <n v="1"/>
    <x v="0"/>
  </r>
  <r>
    <n v="61"/>
    <s v="female"/>
    <n v="35.9"/>
    <n v="0"/>
    <s v="no"/>
    <s v="northeast"/>
    <n v="5940.2416485247122"/>
    <n v="5657.3729985949658"/>
    <n v="0"/>
    <x v="3"/>
  </r>
  <r>
    <n v="38"/>
    <s v="female"/>
    <n v="24.4"/>
    <n v="1"/>
    <s v="no"/>
    <s v="southeast"/>
    <n v="2233.555700474868"/>
    <n v="2627.7125887939628"/>
    <n v="0"/>
    <x v="1"/>
  </r>
  <r>
    <n v="58"/>
    <s v="female"/>
    <n v="29"/>
    <n v="0"/>
    <s v="no"/>
    <s v="south"/>
    <n v="4735.2220676847974"/>
    <n v="4509.7353025569519"/>
    <n v="0"/>
    <x v="3"/>
  </r>
  <r>
    <n v="47"/>
    <s v="male"/>
    <n v="19.600000000000001"/>
    <n v="1"/>
    <s v="no"/>
    <s v="midwest"/>
    <n v="3116.9242060213965"/>
    <n v="3666.9696541428193"/>
    <n v="0"/>
    <x v="1"/>
  </r>
  <r>
    <n v="20"/>
    <s v="male"/>
    <n v="25.8"/>
    <n v="2"/>
    <s v="no"/>
    <s v="southeast"/>
    <n v="1477.8294788013925"/>
    <n v="1738.6229162369327"/>
    <n v="0"/>
    <x v="1"/>
  </r>
  <r>
    <n v="21"/>
    <s v="female"/>
    <n v="22.1"/>
    <n v="1"/>
    <s v="yes"/>
    <s v="northeast"/>
    <n v="1383.2050614901254"/>
    <n v="1627.3000723413249"/>
    <n v="1"/>
    <x v="0"/>
  </r>
  <r>
    <n v="41"/>
    <s v="male"/>
    <n v="40.299999999999997"/>
    <n v="0"/>
    <s v="no"/>
    <s v="southeast"/>
    <n v="5049.7598353601752"/>
    <n v="4809.2950812954059"/>
    <n v="0"/>
    <x v="3"/>
  </r>
  <r>
    <n v="46"/>
    <s v="female"/>
    <n v="33.700000000000003"/>
    <n v="1"/>
    <s v="no"/>
    <s v="northeast"/>
    <n v="5725.4478643275679"/>
    <n v="5452.8074898357809"/>
    <n v="0"/>
    <x v="3"/>
  </r>
  <r>
    <n v="42"/>
    <s v="female"/>
    <n v="29.5"/>
    <n v="2"/>
    <s v="no"/>
    <s v="southeast"/>
    <n v="2764.0353056310023"/>
    <n v="3685.3804075080029"/>
    <n v="0"/>
    <x v="2"/>
  </r>
  <r>
    <n v="34"/>
    <s v="female"/>
    <n v="25.5"/>
    <n v="1"/>
    <s v="no"/>
    <s v="northeast"/>
    <n v="2358.6086293950611"/>
    <n v="2774.8336816412498"/>
    <n v="0"/>
    <x v="1"/>
  </r>
  <r>
    <n v="43"/>
    <s v="male"/>
    <n v="32.6"/>
    <n v="2"/>
    <s v="no"/>
    <s v="south"/>
    <n v="1348.1358485529938"/>
    <n v="1797.5144647373252"/>
    <n v="0"/>
    <x v="2"/>
  </r>
  <r>
    <n v="52"/>
    <s v="female"/>
    <n v="37.5"/>
    <n v="2"/>
    <s v="no"/>
    <s v="midwest"/>
    <n v="2000.7932749540109"/>
    <n v="2667.7243666053478"/>
    <n v="0"/>
    <x v="2"/>
  </r>
  <r>
    <n v="18"/>
    <s v="female"/>
    <n v="25"/>
    <n v="0"/>
    <s v="no"/>
    <s v="southeast"/>
    <n v="1305.4955750745098"/>
    <n v="1535.8771471464831"/>
    <n v="0"/>
    <x v="1"/>
  </r>
  <r>
    <n v="51"/>
    <s v="male"/>
    <n v="31.6"/>
    <n v="0"/>
    <s v="no"/>
    <s v="midwest"/>
    <n v="4425.0231355034166"/>
    <n v="4214.3077480984939"/>
    <n v="0"/>
    <x v="3"/>
  </r>
  <r>
    <n v="56"/>
    <s v="female"/>
    <n v="25.3"/>
    <n v="0"/>
    <s v="no"/>
    <s v="south"/>
    <n v="5275.407380657839"/>
    <n v="5024.1975053884198"/>
    <n v="0"/>
    <x v="3"/>
  </r>
  <r>
    <n v="64"/>
    <s v="female"/>
    <n v="39.1"/>
    <n v="3"/>
    <s v="no"/>
    <s v="southeast"/>
    <n v="3838.2899887584472"/>
    <n v="5117.7199850112629"/>
    <n v="0"/>
    <x v="2"/>
  </r>
  <r>
    <n v="19"/>
    <s v="female"/>
    <n v="21.9"/>
    <n v="0"/>
    <s v="yes"/>
    <s v="midwest"/>
    <n v="1665.8445764481464"/>
    <n v="1959.8171487625261"/>
    <n v="1"/>
    <x v="0"/>
  </r>
  <r>
    <n v="51"/>
    <s v="female"/>
    <n v="34.1"/>
    <n v="0"/>
    <s v="no"/>
    <s v="southeast"/>
    <n v="6116.9566426234087"/>
    <n v="5825.6729929746771"/>
    <n v="0"/>
    <x v="3"/>
  </r>
  <r>
    <n v="27"/>
    <s v="female"/>
    <n v="24.3"/>
    <n v="0"/>
    <s v="no"/>
    <s v="northeast"/>
    <n v="2218.2129265548365"/>
    <n v="2609.6622665351024"/>
    <n v="0"/>
    <x v="1"/>
  </r>
  <r>
    <n v="59"/>
    <s v="female"/>
    <n v="23.7"/>
    <n v="0"/>
    <s v="yes"/>
    <s v="midwest"/>
    <n v="4693.2136902764169"/>
    <n v="4469.7273240727791"/>
    <n v="1"/>
    <x v="0"/>
  </r>
  <r>
    <n v="28"/>
    <s v="male"/>
    <n v="27"/>
    <n v="2"/>
    <s v="no"/>
    <s v="northeast"/>
    <n v="1844.7524265510669"/>
    <n v="2459.6699020680894"/>
    <n v="0"/>
    <x v="2"/>
  </r>
  <r>
    <n v="30"/>
    <s v="male"/>
    <n v="37.799999999999997"/>
    <n v="2"/>
    <s v="yes"/>
    <s v="south"/>
    <n v="1102.8832814910741"/>
    <n v="1470.5110419880987"/>
    <n v="1"/>
    <x v="0"/>
  </r>
  <r>
    <n v="47"/>
    <s v="female"/>
    <n v="29.4"/>
    <n v="1"/>
    <s v="no"/>
    <s v="southeast"/>
    <n v="4926.3394939243235"/>
    <n v="4691.7518989755472"/>
    <n v="0"/>
    <x v="3"/>
  </r>
  <r>
    <n v="38"/>
    <s v="female"/>
    <n v="34.799999999999997"/>
    <n v="2"/>
    <s v="no"/>
    <s v="south"/>
    <n v="1874.3692452083774"/>
    <n v="2499.15899361117"/>
    <n v="0"/>
    <x v="2"/>
  </r>
  <r>
    <n v="18"/>
    <s v="female"/>
    <n v="21.3"/>
    <n v="0"/>
    <s v="no"/>
    <s v="northeast"/>
    <n v="2164.2012005940646"/>
    <n v="2546.1190595224298"/>
    <n v="0"/>
    <x v="1"/>
  </r>
  <r>
    <n v="34"/>
    <s v="female"/>
    <n v="19"/>
    <n v="3"/>
    <s v="no"/>
    <s v="northeast"/>
    <n v="1577.6532186706208"/>
    <n v="2103.5376248941611"/>
    <n v="0"/>
    <x v="2"/>
  </r>
  <r>
    <n v="20"/>
    <s v="female"/>
    <n v="25.7"/>
    <n v="0"/>
    <s v="no"/>
    <s v="southeast"/>
    <n v="2354.9971340573775"/>
    <n v="2770.5848635969155"/>
    <n v="0"/>
    <x v="1"/>
  </r>
  <r>
    <n v="47"/>
    <s v="female"/>
    <n v="36.6"/>
    <n v="1"/>
    <s v="yes"/>
    <s v="southeast"/>
    <n v="3499.0189233002525"/>
    <n v="3332.3989745716708"/>
    <n v="1"/>
    <x v="0"/>
  </r>
  <r>
    <n v="56"/>
    <s v="female"/>
    <n v="28.6"/>
    <n v="0"/>
    <s v="no"/>
    <s v="northeast"/>
    <n v="5548.9753155497419"/>
    <n v="5284.7383957616603"/>
    <n v="0"/>
    <x v="3"/>
  </r>
  <r>
    <n v="49"/>
    <s v="male"/>
    <n v="25.6"/>
    <n v="2"/>
    <s v="yes"/>
    <s v="south"/>
    <n v="2065.9364433993483"/>
    <n v="2754.5819245324642"/>
    <n v="1"/>
    <x v="0"/>
  </r>
  <r>
    <n v="19"/>
    <s v="female"/>
    <n v="20.8"/>
    <n v="0"/>
    <s v="yes"/>
    <s v="southeast"/>
    <n v="1562.6560235672694"/>
    <n v="1838.4188512556118"/>
    <n v="1"/>
    <x v="0"/>
  </r>
  <r>
    <n v="55"/>
    <s v="female"/>
    <n v="37.1"/>
    <n v="0"/>
    <s v="no"/>
    <s v="south"/>
    <n v="4856.0236924531964"/>
    <n v="4624.7844690030452"/>
    <n v="0"/>
    <x v="3"/>
  </r>
  <r>
    <n v="30"/>
    <s v="male"/>
    <n v="21"/>
    <n v="1"/>
    <s v="no"/>
    <s v="south"/>
    <n v="2038.9735054897963"/>
    <n v="2398.7923593997612"/>
    <n v="0"/>
    <x v="1"/>
  </r>
  <r>
    <n v="37"/>
    <s v="male"/>
    <n v="34.1"/>
    <n v="4"/>
    <s v="yes"/>
    <s v="south"/>
    <n v="3294.5250846796571"/>
    <n v="4392.7001129062091"/>
    <n v="1"/>
    <x v="0"/>
  </r>
  <r>
    <n v="49"/>
    <s v="female"/>
    <n v="21.3"/>
    <n v="1"/>
    <s v="no"/>
    <s v="south"/>
    <n v="2151.8406429623342"/>
    <n v="2531.5772270145112"/>
    <n v="0"/>
    <x v="1"/>
  </r>
  <r>
    <n v="18"/>
    <s v="male"/>
    <n v="22.5"/>
    <n v="0"/>
    <s v="yes"/>
    <s v="northeast"/>
    <n v="1341.5124779361101"/>
    <n v="1578.2499740424832"/>
    <n v="1"/>
    <x v="0"/>
  </r>
  <r>
    <n v="59"/>
    <s v="male"/>
    <n v="28.8"/>
    <n v="0"/>
    <s v="no"/>
    <s v="midwest"/>
    <n v="3665.049254457494"/>
    <n v="3490.5230994833291"/>
    <n v="0"/>
    <x v="3"/>
  </r>
  <r>
    <n v="29"/>
    <s v="female"/>
    <n v="20.8"/>
    <n v="0"/>
    <s v="no"/>
    <s v="midwest"/>
    <n v="1543.9984290536881"/>
    <n v="1816.4687400631633"/>
    <n v="0"/>
    <x v="1"/>
  </r>
  <r>
    <n v="36"/>
    <s v="male"/>
    <n v="28.9"/>
    <n v="3"/>
    <s v="no"/>
    <s v="northeast"/>
    <n v="2639.0889686902506"/>
    <n v="3518.7852915870008"/>
    <n v="0"/>
    <x v="2"/>
  </r>
  <r>
    <n v="33"/>
    <s v="male"/>
    <n v="24.2"/>
    <n v="1"/>
    <s v="no"/>
    <s v="southeast"/>
    <n v="2391.4792659348532"/>
    <n v="2813.505018746886"/>
    <n v="0"/>
    <x v="1"/>
  </r>
  <r>
    <n v="58"/>
    <s v="male"/>
    <n v="38"/>
    <n v="0"/>
    <s v="no"/>
    <s v="south"/>
    <n v="3817.7252095097551"/>
    <n v="3635.9287709616733"/>
    <n v="0"/>
    <x v="3"/>
  </r>
  <r>
    <n v="44"/>
    <s v="female"/>
    <n v="39"/>
    <n v="0"/>
    <s v="yes"/>
    <s v="midwest"/>
    <n v="4435.7217638136035"/>
    <n v="4224.4969179177187"/>
    <n v="1"/>
    <x v="0"/>
  </r>
  <r>
    <n v="53"/>
    <s v="male"/>
    <n v="36.1"/>
    <n v="1"/>
    <s v="no"/>
    <s v="south"/>
    <n v="5417.9451972951065"/>
    <n v="5159.9478069477218"/>
    <n v="0"/>
    <x v="3"/>
  </r>
  <r>
    <n v="24"/>
    <s v="male"/>
    <n v="20.399999999999999"/>
    <n v="0"/>
    <s v="no"/>
    <s v="south"/>
    <n v="2262.8795208706229"/>
    <n v="2662.2112010242627"/>
    <n v="0"/>
    <x v="1"/>
  </r>
  <r>
    <n v="29"/>
    <s v="female"/>
    <n v="20.399999999999999"/>
    <n v="0"/>
    <s v="no"/>
    <s v="southeast"/>
    <n v="2502.3545483004018"/>
    <n v="2943.9465274122385"/>
    <n v="0"/>
    <x v="1"/>
  </r>
  <r>
    <n v="40"/>
    <s v="male"/>
    <n v="22.7"/>
    <n v="2"/>
    <s v="no"/>
    <s v="northeast"/>
    <n v="2340.4815816127302"/>
    <n v="3120.6421088169736"/>
    <n v="0"/>
    <x v="2"/>
  </r>
  <r>
    <n v="51"/>
    <s v="male"/>
    <n v="39.700000000000003"/>
    <n v="1"/>
    <s v="no"/>
    <s v="south"/>
    <n v="4653.602528925293"/>
    <n v="4432.0024085002806"/>
    <n v="0"/>
    <x v="3"/>
  </r>
  <r>
    <n v="64"/>
    <s v="male"/>
    <n v="38.200000000000003"/>
    <n v="0"/>
    <s v="no"/>
    <s v="northeast"/>
    <n v="4526.177396157248"/>
    <n v="4310.6451391973806"/>
    <n v="0"/>
    <x v="3"/>
  </r>
  <r>
    <n v="19"/>
    <s v="female"/>
    <n v="24.5"/>
    <n v="1"/>
    <s v="no"/>
    <s v="midwest"/>
    <n v="1995.3193817865022"/>
    <n v="2347.4345668076508"/>
    <n v="0"/>
    <x v="1"/>
  </r>
  <r>
    <n v="35"/>
    <s v="female"/>
    <n v="38.1"/>
    <n v="2"/>
    <s v="no"/>
    <s v="northeast"/>
    <n v="1537.0756877884346"/>
    <n v="2049.4342503845796"/>
    <n v="0"/>
    <x v="2"/>
  </r>
  <r>
    <n v="39"/>
    <s v="male"/>
    <n v="21"/>
    <n v="0"/>
    <s v="yes"/>
    <s v="northeast"/>
    <n v="2158.5271865007826"/>
    <n v="2539.4437488244507"/>
    <n v="1"/>
    <x v="0"/>
  </r>
  <r>
    <n v="56"/>
    <s v="male"/>
    <n v="33.700000000000003"/>
    <n v="4"/>
    <s v="no"/>
    <s v="southeast"/>
    <n v="2456.1091586444518"/>
    <n v="3274.8122115259357"/>
    <n v="0"/>
    <x v="2"/>
  </r>
  <r>
    <n v="33"/>
    <s v="male"/>
    <n v="42.4"/>
    <n v="5"/>
    <s v="no"/>
    <s v="south"/>
    <n v="3226.8722842962188"/>
    <n v="4302.4963790616248"/>
    <n v="0"/>
    <x v="2"/>
  </r>
  <r>
    <n v="42"/>
    <s v="male"/>
    <n v="28.3"/>
    <n v="3"/>
    <s v="yes"/>
    <s v="midwest"/>
    <n v="2266.8127467072813"/>
    <n v="3022.4169956097085"/>
    <n v="1"/>
    <x v="0"/>
  </r>
  <r>
    <n v="61"/>
    <s v="male"/>
    <n v="33.9"/>
    <n v="0"/>
    <s v="no"/>
    <s v="northeast"/>
    <n v="4943.805121690646"/>
    <n v="4708.3858301815699"/>
    <n v="0"/>
    <x v="3"/>
  </r>
  <r>
    <n v="23"/>
    <s v="female"/>
    <n v="35"/>
    <n v="3"/>
    <s v="no"/>
    <s v="midwest"/>
    <n v="1396.9194641230911"/>
    <n v="1862.5592854974548"/>
    <n v="0"/>
    <x v="2"/>
  </r>
  <r>
    <n v="43"/>
    <s v="male"/>
    <n v="35.299999999999997"/>
    <n v="2"/>
    <s v="no"/>
    <s v="southeast"/>
    <n v="2751.3993007591334"/>
    <n v="3668.5324010121781"/>
    <n v="0"/>
    <x v="2"/>
  </r>
  <r>
    <n v="48"/>
    <s v="male"/>
    <n v="30.8"/>
    <n v="3"/>
    <s v="no"/>
    <s v="northeast"/>
    <n v="2491.646109276332"/>
    <n v="3322.1948123684429"/>
    <n v="0"/>
    <x v="2"/>
  </r>
  <r>
    <n v="39"/>
    <s v="male"/>
    <n v="24.4"/>
    <n v="1"/>
    <s v="no"/>
    <s v="midwest"/>
    <n v="1500.9600551444748"/>
    <n v="1765.8353589935007"/>
    <n v="0"/>
    <x v="1"/>
  </r>
  <r>
    <n v="40"/>
    <s v="female"/>
    <n v="23.4"/>
    <n v="3"/>
    <s v="no"/>
    <s v="northeast"/>
    <n v="1927.1926771981418"/>
    <n v="2569.5902362641891"/>
    <n v="0"/>
    <x v="2"/>
  </r>
  <r>
    <n v="18"/>
    <s v="male"/>
    <n v="22.7"/>
    <n v="0"/>
    <s v="no"/>
    <s v="northeast"/>
    <n v="1948.3062408612454"/>
    <n v="2292.1249892485248"/>
    <n v="0"/>
    <x v="1"/>
  </r>
  <r>
    <n v="58"/>
    <s v="female"/>
    <n v="33"/>
    <n v="0"/>
    <s v="no"/>
    <s v="northeast"/>
    <n v="3687.7849785616354"/>
    <n v="3512.1761700587022"/>
    <n v="0"/>
    <x v="3"/>
  </r>
  <r>
    <n v="49"/>
    <s v="female"/>
    <n v="42.7"/>
    <n v="2"/>
    <s v="no"/>
    <s v="southeast"/>
    <n v="3534.9513471137298"/>
    <n v="4713.268462818306"/>
    <n v="0"/>
    <x v="2"/>
  </r>
  <r>
    <n v="53"/>
    <s v="female"/>
    <n v="39.6"/>
    <n v="1"/>
    <s v="no"/>
    <s v="southeast"/>
    <n v="4483.1482350054139"/>
    <n v="4269.6649857194425"/>
    <n v="0"/>
    <x v="3"/>
  </r>
  <r>
    <n v="48"/>
    <s v="female"/>
    <n v="31.1"/>
    <n v="0"/>
    <s v="no"/>
    <s v="southeast"/>
    <n v="5019.2326633054263"/>
    <n v="4780.2215841004072"/>
    <n v="0"/>
    <x v="3"/>
  </r>
  <r>
    <n v="45"/>
    <s v="female"/>
    <n v="36.299999999999997"/>
    <n v="2"/>
    <s v="no"/>
    <s v="southeast"/>
    <n v="1434.0410477806849"/>
    <n v="1912.0547303742467"/>
    <n v="0"/>
    <x v="2"/>
  </r>
  <r>
    <n v="59"/>
    <s v="female"/>
    <n v="35.200000000000003"/>
    <n v="0"/>
    <s v="no"/>
    <s v="southeast"/>
    <n v="4061.3840591493527"/>
    <n v="3867.9848182374799"/>
    <n v="0"/>
    <x v="3"/>
  </r>
  <r>
    <n v="52"/>
    <s v="female"/>
    <n v="25.3"/>
    <n v="2"/>
    <s v="yes"/>
    <s v="southeast"/>
    <n v="2257.8293332627177"/>
    <n v="3010.4391110169568"/>
    <n v="1"/>
    <x v="0"/>
  </r>
  <r>
    <n v="26"/>
    <s v="female"/>
    <n v="21.6"/>
    <n v="1"/>
    <s v="no"/>
    <s v="south"/>
    <n v="2112.2281685852954"/>
    <n v="2484.9743159827012"/>
    <n v="0"/>
    <x v="1"/>
  </r>
  <r>
    <n v="27"/>
    <s v="male"/>
    <n v="33.200000000000003"/>
    <n v="2"/>
    <s v="no"/>
    <s v="midwest"/>
    <n v="2772.9202048182906"/>
    <n v="3697.2269397577206"/>
    <n v="0"/>
    <x v="2"/>
  </r>
  <r>
    <n v="48"/>
    <s v="female"/>
    <n v="35.9"/>
    <n v="1"/>
    <s v="no"/>
    <s v="northeast"/>
    <n v="4702.4598316809916"/>
    <n v="4478.5331730295175"/>
    <n v="0"/>
    <x v="3"/>
  </r>
  <r>
    <n v="57"/>
    <s v="female"/>
    <n v="28.8"/>
    <n v="4"/>
    <s v="no"/>
    <s v="northeast"/>
    <n v="1671.2900483543576"/>
    <n v="2228.3867311391436"/>
    <n v="0"/>
    <x v="2"/>
  </r>
  <r>
    <n v="37"/>
    <s v="male"/>
    <n v="46.5"/>
    <n v="3"/>
    <s v="no"/>
    <s v="southeast"/>
    <n v="3340.6868153749415"/>
    <n v="4454.2490871665887"/>
    <n v="0"/>
    <x v="2"/>
  </r>
  <r>
    <n v="57"/>
    <s v="female"/>
    <n v="24"/>
    <n v="1"/>
    <s v="no"/>
    <s v="southeast"/>
    <n v="4779.3148038992585"/>
    <n v="4551.7283846659611"/>
    <n v="0"/>
    <x v="3"/>
  </r>
  <r>
    <n v="32"/>
    <s v="female"/>
    <n v="21.2"/>
    <n v="1"/>
    <s v="no"/>
    <s v="northeast"/>
    <n v="2022.3545064918821"/>
    <n v="2379.2405958728032"/>
    <n v="0"/>
    <x v="1"/>
  </r>
  <r>
    <n v="18"/>
    <s v="male"/>
    <n v="20.5"/>
    <n v="0"/>
    <s v="no"/>
    <s v="southeast"/>
    <n v="1412.0581536922566"/>
    <n v="1661.2448866967734"/>
    <n v="0"/>
    <x v="1"/>
  </r>
  <r>
    <n v="64"/>
    <s v="female"/>
    <n v="23"/>
    <n v="0"/>
    <s v="yes"/>
    <s v="southeast"/>
    <n v="4651.6946411434465"/>
    <n v="4430.1853725175697"/>
    <n v="1"/>
    <x v="0"/>
  </r>
  <r>
    <n v="43"/>
    <s v="male"/>
    <n v="38.1"/>
    <n v="2"/>
    <s v="yes"/>
    <s v="southeast"/>
    <n v="2871.7488507611888"/>
    <n v="3828.9984676815848"/>
    <n v="1"/>
    <x v="0"/>
  </r>
  <r>
    <n v="49"/>
    <s v="male"/>
    <n v="28.7"/>
    <n v="1"/>
    <s v="no"/>
    <s v="south"/>
    <n v="4750.1687035122341"/>
    <n v="4523.9701938211765"/>
    <n v="0"/>
    <x v="3"/>
  </r>
  <r>
    <n v="40"/>
    <s v="female"/>
    <n v="32.799999999999997"/>
    <n v="2"/>
    <s v="yes"/>
    <s v="midwest"/>
    <n v="1273.4736501329107"/>
    <n v="1697.9648668438811"/>
    <n v="1"/>
    <x v="0"/>
  </r>
  <r>
    <n v="62"/>
    <s v="male"/>
    <n v="32"/>
    <n v="0"/>
    <s v="yes"/>
    <s v="northeast"/>
    <n v="5089.6832323934977"/>
    <n v="4847.3173641842841"/>
    <n v="1"/>
    <x v="0"/>
  </r>
  <r>
    <n v="40"/>
    <s v="female"/>
    <n v="29.8"/>
    <n v="1"/>
    <s v="no"/>
    <s v="southeast"/>
    <n v="4165.8651047938265"/>
    <n v="3967.4905759941221"/>
    <n v="0"/>
    <x v="3"/>
  </r>
  <r>
    <n v="30"/>
    <s v="male"/>
    <n v="31.6"/>
    <n v="3"/>
    <s v="no"/>
    <s v="southeast"/>
    <n v="1539.8009993466717"/>
    <n v="2053.0679991288957"/>
    <n v="0"/>
    <x v="2"/>
  </r>
  <r>
    <n v="29"/>
    <s v="female"/>
    <n v="20.100000000000001"/>
    <n v="0"/>
    <s v="no"/>
    <s v="northeast"/>
    <n v="1506.2785878603386"/>
    <n v="1772.0924563062813"/>
    <n v="0"/>
    <x v="1"/>
  </r>
  <r>
    <n v="36"/>
    <s v="male"/>
    <n v="22.7"/>
    <n v="0"/>
    <s v="no"/>
    <s v="southeast"/>
    <n v="2197.0328811895147"/>
    <n v="2584.7445661053121"/>
    <n v="0"/>
    <x v="1"/>
  </r>
  <r>
    <n v="41"/>
    <s v="female"/>
    <n v="31"/>
    <n v="0"/>
    <s v="no"/>
    <s v="southeast"/>
    <n v="5445.1691794785202"/>
    <n v="5185.8754090271632"/>
    <n v="0"/>
    <x v="3"/>
  </r>
  <r>
    <n v="44"/>
    <s v="female"/>
    <n v="43.9"/>
    <n v="2"/>
    <s v="yes"/>
    <s v="southeast"/>
    <n v="2625.3795750677555"/>
    <n v="3500.5061000903406"/>
    <n v="1"/>
    <x v="0"/>
  </r>
  <r>
    <n v="45"/>
    <s v="male"/>
    <n v="21.4"/>
    <n v="0"/>
    <s v="no"/>
    <s v="midwest"/>
    <n v="1656.8186750326204"/>
    <n v="1949.1984412148483"/>
    <n v="0"/>
    <x v="1"/>
  </r>
  <r>
    <n v="55"/>
    <s v="female"/>
    <n v="40.799999999999997"/>
    <n v="3"/>
    <s v="no"/>
    <s v="southeast"/>
    <n v="2626.6702309839743"/>
    <n v="3502.2269746452989"/>
    <n v="0"/>
    <x v="2"/>
  </r>
  <r>
    <n v="60"/>
    <s v="male"/>
    <n v="31.4"/>
    <n v="3"/>
    <s v="yes"/>
    <s v="midwest"/>
    <n v="1974.0543804972513"/>
    <n v="2632.0725073296685"/>
    <n v="1"/>
    <x v="0"/>
  </r>
  <r>
    <n v="56"/>
    <s v="male"/>
    <n v="36.1"/>
    <n v="3"/>
    <s v="no"/>
    <s v="south"/>
    <n v="3316.4730945056453"/>
    <n v="4421.9641260075268"/>
    <n v="0"/>
    <x v="2"/>
  </r>
  <r>
    <n v="49"/>
    <s v="female"/>
    <n v="23.2"/>
    <n v="2"/>
    <s v="no"/>
    <s v="midwest"/>
    <n v="1372.8948754845981"/>
    <n v="1830.5265006461307"/>
    <n v="0"/>
    <x v="2"/>
  </r>
  <r>
    <n v="21"/>
    <s v="female"/>
    <n v="23.4"/>
    <n v="1"/>
    <s v="no"/>
    <s v="south"/>
    <n v="1568.6906554465752"/>
    <n v="1845.5184181724421"/>
    <n v="0"/>
    <x v="1"/>
  </r>
  <r>
    <n v="19"/>
    <s v="male"/>
    <n v="22.3"/>
    <n v="0"/>
    <s v="no"/>
    <s v="south"/>
    <n v="1733.5486286636458"/>
    <n v="2039.4689748984076"/>
    <n v="0"/>
    <x v="1"/>
  </r>
  <r>
    <n v="39"/>
    <s v="male"/>
    <n v="35.299999999999997"/>
    <n v="2"/>
    <s v="yes"/>
    <s v="south"/>
    <n v="2153.5483816852593"/>
    <n v="2871.3978422470122"/>
    <n v="1"/>
    <x v="0"/>
  </r>
  <r>
    <n v="53"/>
    <s v="male"/>
    <n v="24.3"/>
    <n v="0"/>
    <s v="no"/>
    <s v="midwest"/>
    <n v="5393.7170944179979"/>
    <n v="5136.8734232552379"/>
    <n v="0"/>
    <x v="3"/>
  </r>
  <r>
    <n v="33"/>
    <s v="female"/>
    <n v="20.100000000000001"/>
    <n v="1"/>
    <s v="no"/>
    <s v="south"/>
    <n v="2131.3221780323274"/>
    <n v="2507.4378565086213"/>
    <n v="0"/>
    <x v="1"/>
  </r>
  <r>
    <n v="53"/>
    <s v="male"/>
    <n v="26.4"/>
    <n v="2"/>
    <s v="no"/>
    <s v="northeast"/>
    <n v="1588.7215779880826"/>
    <n v="2118.2954373174434"/>
    <n v="0"/>
    <x v="2"/>
  </r>
  <r>
    <n v="42"/>
    <s v="male"/>
    <n v="26.1"/>
    <n v="2"/>
    <s v="no"/>
    <s v="northeast"/>
    <n v="2680.6926280047969"/>
    <n v="3574.2568373397294"/>
    <n v="0"/>
    <x v="2"/>
  </r>
  <r>
    <n v="40"/>
    <s v="male"/>
    <n v="41.7"/>
    <n v="0"/>
    <s v="no"/>
    <s v="southeast"/>
    <n v="4801.3123979522143"/>
    <n v="4572.6784742402051"/>
    <n v="0"/>
    <x v="3"/>
  </r>
  <r>
    <n v="47"/>
    <s v="female"/>
    <n v="24.1"/>
    <n v="1"/>
    <s v="no"/>
    <s v="south"/>
    <n v="4333.6408516638166"/>
    <n v="4127.277001584589"/>
    <n v="0"/>
    <x v="3"/>
  </r>
  <r>
    <n v="27"/>
    <s v="male"/>
    <n v="24.3"/>
    <n v="1"/>
    <s v="yes"/>
    <s v="southeast"/>
    <n v="1778.0966831928718"/>
    <n v="2091.8784508151439"/>
    <n v="1"/>
    <x v="0"/>
  </r>
  <r>
    <n v="21"/>
    <s v="male"/>
    <n v="22.4"/>
    <n v="0"/>
    <s v="no"/>
    <s v="northeast"/>
    <n v="1719.8347165531095"/>
    <n v="2023.3349606507177"/>
    <n v="0"/>
    <x v="1"/>
  </r>
  <r>
    <n v="47"/>
    <s v="male"/>
    <n v="36.200000000000003"/>
    <n v="1"/>
    <s v="no"/>
    <s v="south"/>
    <n v="5549.128996876545"/>
    <n v="5284.884758930044"/>
    <n v="0"/>
    <x v="3"/>
  </r>
  <r>
    <n v="20"/>
    <s v="male"/>
    <n v="25.7"/>
    <n v="1"/>
    <s v="no"/>
    <s v="midwest"/>
    <n v="1976.1836805077407"/>
    <n v="2324.921977067931"/>
    <n v="0"/>
    <x v="1"/>
  </r>
  <r>
    <n v="24"/>
    <s v="male"/>
    <n v="24.1"/>
    <n v="0"/>
    <s v="no"/>
    <s v="midwest"/>
    <n v="2502.8804673913419"/>
    <n v="2944.5652557545209"/>
    <n v="0"/>
    <x v="1"/>
  </r>
  <r>
    <n v="27"/>
    <s v="female"/>
    <n v="24.6"/>
    <n v="1"/>
    <s v="no"/>
    <s v="south"/>
    <n v="1862.8719127689994"/>
    <n v="2191.6140150223528"/>
    <n v="0"/>
    <x v="1"/>
  </r>
  <r>
    <n v="26"/>
    <s v="female"/>
    <n v="21.9"/>
    <n v="0"/>
    <s v="no"/>
    <s v="midwest"/>
    <n v="2143.9692832497576"/>
    <n v="2522.3168038232452"/>
    <n v="0"/>
    <x v="1"/>
  </r>
  <r>
    <n v="53"/>
    <s v="female"/>
    <n v="32.299999999999997"/>
    <n v="2"/>
    <s v="no"/>
    <s v="northeast"/>
    <n v="1795.503762657514"/>
    <n v="2394.0050168766852"/>
    <n v="0"/>
    <x v="2"/>
  </r>
  <r>
    <n v="41"/>
    <s v="male"/>
    <n v="35.799999999999997"/>
    <n v="1"/>
    <s v="yes"/>
    <s v="southeast"/>
    <n v="3519.8327009752484"/>
    <n v="3352.2216199764289"/>
    <n v="1"/>
    <x v="0"/>
  </r>
  <r>
    <n v="56"/>
    <s v="male"/>
    <n v="33.700000000000003"/>
    <n v="0"/>
    <s v="no"/>
    <s v="midwest"/>
    <n v="4460.7292746880157"/>
    <n v="4248.3135949409689"/>
    <n v="0"/>
    <x v="3"/>
  </r>
  <r>
    <n v="23"/>
    <s v="female"/>
    <n v="39.299999999999997"/>
    <n v="2"/>
    <s v="no"/>
    <s v="southeast"/>
    <n v="1789.3747302487723"/>
    <n v="2385.8329736650298"/>
    <n v="0"/>
    <x v="2"/>
  </r>
  <r>
    <n v="21"/>
    <s v="female"/>
    <n v="21.7"/>
    <n v="0"/>
    <s v="no"/>
    <s v="southeast"/>
    <n v="1640.5119781039971"/>
    <n v="1930.0140918870563"/>
    <n v="0"/>
    <x v="1"/>
  </r>
  <r>
    <n v="50"/>
    <s v="female"/>
    <n v="44.7"/>
    <n v="0"/>
    <s v="no"/>
    <s v="northeast"/>
    <n v="4163.8235839957306"/>
    <n v="3965.5462704721258"/>
    <n v="0"/>
    <x v="3"/>
  </r>
  <r>
    <n v="53"/>
    <s v="male"/>
    <n v="41.5"/>
    <n v="0"/>
    <s v="no"/>
    <s v="southeast"/>
    <n v="4497.6567662132493"/>
    <n v="4283.4826344888106"/>
    <n v="0"/>
    <x v="3"/>
  </r>
  <r>
    <n v="34"/>
    <s v="female"/>
    <n v="25.7"/>
    <n v="1"/>
    <s v="no"/>
    <s v="midwest"/>
    <n v="1606.8778026496902"/>
    <n v="1890.4444737055187"/>
    <n v="0"/>
    <x v="1"/>
  </r>
  <r>
    <n v="47"/>
    <s v="female"/>
    <n v="29.5"/>
    <n v="1"/>
    <s v="no"/>
    <s v="midwest"/>
    <n v="4189.2044934699879"/>
    <n v="3989.7185652095141"/>
    <n v="0"/>
    <x v="3"/>
  </r>
  <r>
    <n v="33"/>
    <s v="female"/>
    <n v="32.9"/>
    <n v="2"/>
    <s v="no"/>
    <s v="south"/>
    <n v="2200.010687671368"/>
    <n v="2933.3475835618242"/>
    <n v="0"/>
    <x v="2"/>
  </r>
  <r>
    <n v="51"/>
    <s v="female"/>
    <n v="38.1"/>
    <n v="0"/>
    <s v="yes"/>
    <s v="southeast"/>
    <n v="4278.056851346133"/>
    <n v="4074.3398584248903"/>
    <n v="1"/>
    <x v="0"/>
  </r>
  <r>
    <n v="49"/>
    <s v="male"/>
    <n v="28.7"/>
    <n v="3"/>
    <s v="no"/>
    <s v="midwest"/>
    <n v="1450.7490575151578"/>
    <n v="1934.3320766868771"/>
    <n v="0"/>
    <x v="2"/>
  </r>
  <r>
    <n v="31"/>
    <s v="female"/>
    <n v="30.5"/>
    <n v="3"/>
    <s v="no"/>
    <s v="northeast"/>
    <n v="1569.524979178686"/>
    <n v="2092.6999722382479"/>
    <n v="0"/>
    <x v="2"/>
  </r>
  <r>
    <n v="36"/>
    <s v="female"/>
    <n v="20.7"/>
    <n v="0"/>
    <s v="no"/>
    <s v="northeast"/>
    <n v="2089.8829794621702"/>
    <n v="2458.6858581907895"/>
    <n v="0"/>
    <x v="1"/>
  </r>
  <r>
    <n v="18"/>
    <s v="male"/>
    <n v="23.6"/>
    <n v="1"/>
    <s v="no"/>
    <s v="southeast"/>
    <n v="1858.371402112014"/>
    <n v="2186.3192966023703"/>
    <n v="0"/>
    <x v="1"/>
  </r>
  <r>
    <n v="50"/>
    <s v="female"/>
    <n v="23.5"/>
    <n v="2"/>
    <s v="no"/>
    <s v="southeast"/>
    <n v="1356.7024095042059"/>
    <n v="1808.9365460056079"/>
    <n v="0"/>
    <x v="2"/>
  </r>
  <r>
    <n v="43"/>
    <s v="female"/>
    <n v="30.7"/>
    <n v="2"/>
    <s v="no"/>
    <s v="midwest"/>
    <n v="2738.1214575643467"/>
    <n v="3650.8286100857954"/>
    <n v="0"/>
    <x v="2"/>
  </r>
  <r>
    <n v="20"/>
    <s v="male"/>
    <n v="24.9"/>
    <n v="0"/>
    <s v="no"/>
    <s v="northeast"/>
    <n v="1416.8325760929586"/>
    <n v="1666.861854227011"/>
    <n v="0"/>
    <x v="1"/>
  </r>
  <r>
    <n v="24"/>
    <s v="female"/>
    <n v="24.7"/>
    <n v="0"/>
    <s v="no"/>
    <s v="south"/>
    <n v="1529.1623492442079"/>
    <n v="1799.0145285225981"/>
    <n v="0"/>
    <x v="1"/>
  </r>
  <r>
    <n v="60"/>
    <s v="male"/>
    <n v="28.9"/>
    <n v="0"/>
    <s v="no"/>
    <s v="south"/>
    <n v="4686.0400046710856"/>
    <n v="4462.8952425438929"/>
    <n v="0"/>
    <x v="3"/>
  </r>
  <r>
    <n v="49"/>
    <s v="female"/>
    <n v="22.6"/>
    <n v="1"/>
    <s v="no"/>
    <s v="midwest"/>
    <n v="4431.1477681958677"/>
    <n v="4220.1407316151144"/>
    <n v="0"/>
    <x v="3"/>
  </r>
  <r>
    <n v="60"/>
    <s v="male"/>
    <n v="24.3"/>
    <n v="1"/>
    <s v="no"/>
    <s v="midwest"/>
    <n v="5772.64545638038"/>
    <n v="5497.7575775051255"/>
    <n v="0"/>
    <x v="3"/>
  </r>
  <r>
    <n v="51"/>
    <s v="female"/>
    <n v="36.700000000000003"/>
    <n v="2"/>
    <s v="no"/>
    <s v="midwest"/>
    <n v="1744.2329418216532"/>
    <n v="2325.6439224288711"/>
    <n v="0"/>
    <x v="2"/>
  </r>
  <r>
    <n v="58"/>
    <s v="female"/>
    <n v="33.4"/>
    <n v="0"/>
    <s v="no"/>
    <s v="midwest"/>
    <n v="4084.3045777992415"/>
    <n v="3889.8138836183266"/>
    <n v="0"/>
    <x v="3"/>
  </r>
  <r>
    <n v="51"/>
    <s v="female"/>
    <n v="40.700000000000003"/>
    <n v="0"/>
    <s v="no"/>
    <s v="northeast"/>
    <n v="4343.2417250182152"/>
    <n v="4136.42069049354"/>
    <n v="0"/>
    <x v="3"/>
  </r>
  <r>
    <n v="53"/>
    <s v="male"/>
    <n v="36.6"/>
    <n v="3"/>
    <s v="no"/>
    <s v="south"/>
    <n v="2149.4087099726353"/>
    <n v="2865.8782799635137"/>
    <n v="0"/>
    <x v="2"/>
  </r>
  <r>
    <n v="62"/>
    <s v="male"/>
    <n v="37.4"/>
    <n v="0"/>
    <s v="no"/>
    <s v="south"/>
    <n v="5428.8187484649889"/>
    <n v="5170.3035699666571"/>
    <n v="0"/>
    <x v="3"/>
  </r>
  <r>
    <n v="19"/>
    <s v="male"/>
    <n v="20.3"/>
    <n v="0"/>
    <s v="no"/>
    <s v="south"/>
    <n v="1908.0254265847589"/>
    <n v="2244.7357959820702"/>
    <n v="0"/>
    <x v="1"/>
  </r>
  <r>
    <n v="50"/>
    <s v="female"/>
    <n v="27.1"/>
    <n v="1"/>
    <s v="no"/>
    <s v="northeast"/>
    <n v="3716.9760093547197"/>
    <n v="3539.9771517664012"/>
    <n v="0"/>
    <x v="3"/>
  </r>
  <r>
    <n v="30"/>
    <s v="female"/>
    <n v="39.1"/>
    <n v="3"/>
    <s v="yes"/>
    <s v="southeast"/>
    <n v="1001.1721086308917"/>
    <n v="1334.896144841189"/>
    <n v="1"/>
    <x v="0"/>
  </r>
  <r>
    <n v="41"/>
    <s v="male"/>
    <n v="28.4"/>
    <n v="1"/>
    <s v="no"/>
    <s v="midwest"/>
    <n v="4845.275820060122"/>
    <n v="4614.5484000572596"/>
    <n v="0"/>
    <x v="3"/>
  </r>
  <r>
    <n v="29"/>
    <s v="female"/>
    <n v="25.8"/>
    <n v="1"/>
    <s v="yes"/>
    <s v="northeast"/>
    <n v="1489.6187021532407"/>
    <n v="1752.4925907685192"/>
    <n v="1"/>
    <x v="0"/>
  </r>
  <r>
    <n v="18"/>
    <s v="female"/>
    <n v="21.3"/>
    <n v="0"/>
    <s v="no"/>
    <s v="northeast"/>
    <n v="1446.5103100575025"/>
    <n v="1701.7768353617685"/>
    <n v="0"/>
    <x v="1"/>
  </r>
  <r>
    <n v="41"/>
    <s v="female"/>
    <n v="36.1"/>
    <n v="1"/>
    <s v="no"/>
    <s v="southeast"/>
    <n v="5462.6846974138707"/>
    <n v="5202.5568546798786"/>
    <n v="0"/>
    <x v="3"/>
  </r>
  <r>
    <n v="35"/>
    <s v="male"/>
    <n v="24.4"/>
    <n v="3"/>
    <s v="yes"/>
    <s v="southeast"/>
    <n v="1804.8348359676656"/>
    <n v="2406.4464479568874"/>
    <n v="1"/>
    <x v="0"/>
  </r>
  <r>
    <n v="53"/>
    <s v="male"/>
    <n v="21.4"/>
    <n v="1"/>
    <s v="no"/>
    <s v="south"/>
    <n v="4485.5883071018307"/>
    <n v="4271.9888639065066"/>
    <n v="0"/>
    <x v="3"/>
  </r>
  <r>
    <n v="24"/>
    <s v="female"/>
    <n v="30.1"/>
    <n v="3"/>
    <s v="no"/>
    <s v="south"/>
    <n v="1263.2067313797938"/>
    <n v="1684.275641839725"/>
    <n v="0"/>
    <x v="2"/>
  </r>
  <r>
    <n v="48"/>
    <s v="female"/>
    <n v="27.3"/>
    <n v="1"/>
    <s v="no"/>
    <s v="northeast"/>
    <n v="4537.9094703209739"/>
    <n v="4321.8185431628344"/>
    <n v="0"/>
    <x v="3"/>
  </r>
  <r>
    <n v="59"/>
    <s v="female"/>
    <n v="32.1"/>
    <n v="3"/>
    <s v="no"/>
    <s v="south"/>
    <n v="3100.9670746886186"/>
    <n v="4134.6227662514912"/>
    <n v="0"/>
    <x v="2"/>
  </r>
  <r>
    <n v="49"/>
    <s v="female"/>
    <n v="34.799999999999997"/>
    <n v="1"/>
    <s v="no"/>
    <s v="midwest"/>
    <n v="4370.807173862182"/>
    <n v="4162.673498916366"/>
    <n v="0"/>
    <x v="3"/>
  </r>
  <r>
    <n v="37"/>
    <s v="female"/>
    <n v="38.4"/>
    <n v="0"/>
    <s v="yes"/>
    <s v="southeast"/>
    <n v="3646.5645154746621"/>
    <n v="3472.9185861663464"/>
    <n v="1"/>
    <x v="0"/>
  </r>
  <r>
    <n v="26"/>
    <s v="male"/>
    <n v="22"/>
    <n v="2"/>
    <s v="no"/>
    <s v="south"/>
    <n v="1881.4081981886784"/>
    <n v="2213.42140963374"/>
    <n v="0"/>
    <x v="1"/>
  </r>
  <r>
    <n v="23"/>
    <s v="male"/>
    <n v="31.7"/>
    <n v="3"/>
    <s v="yes"/>
    <s v="northeast"/>
    <n v="1280.1785586382352"/>
    <n v="1706.9047448509803"/>
    <n v="1"/>
    <x v="0"/>
  </r>
  <r>
    <n v="29"/>
    <s v="male"/>
    <n v="35.5"/>
    <n v="2"/>
    <s v="yes"/>
    <s v="south"/>
    <n v="1229.3068026720543"/>
    <n v="1639.0757368960726"/>
    <n v="1"/>
    <x v="0"/>
  </r>
  <r>
    <n v="45"/>
    <s v="male"/>
    <n v="24"/>
    <n v="2"/>
    <s v="no"/>
    <s v="northeast"/>
    <n v="2781.8547318212841"/>
    <n v="3709.1396424283789"/>
    <n v="0"/>
    <x v="2"/>
  </r>
  <r>
    <n v="27"/>
    <s v="male"/>
    <n v="21.1"/>
    <n v="0"/>
    <s v="yes"/>
    <s v="southeast"/>
    <n v="1816.3421034989656"/>
    <n v="2136.8730629399606"/>
    <n v="1"/>
    <x v="0"/>
  </r>
  <r>
    <n v="53"/>
    <s v="male"/>
    <n v="34.1"/>
    <n v="0"/>
    <s v="yes"/>
    <s v="northeast"/>
    <n v="5605.6567974427153"/>
    <n v="5338.7207594692545"/>
    <n v="1"/>
    <x v="0"/>
  </r>
  <r>
    <n v="31"/>
    <s v="female"/>
    <n v="22.2"/>
    <n v="0"/>
    <s v="no"/>
    <s v="southeast"/>
    <n v="1732.4722159552559"/>
    <n v="2038.2026070061843"/>
    <n v="0"/>
    <x v="1"/>
  </r>
  <r>
    <n v="50"/>
    <s v="male"/>
    <n v="26.4"/>
    <n v="0"/>
    <s v="no"/>
    <s v="midwest"/>
    <n v="3879.9764251812826"/>
    <n v="3695.2156430297946"/>
    <n v="0"/>
    <x v="3"/>
  </r>
  <r>
    <n v="50"/>
    <s v="female"/>
    <n v="30.1"/>
    <n v="1"/>
    <s v="no"/>
    <s v="midwest"/>
    <n v="4482.774978619369"/>
    <n v="4269.3095034470198"/>
    <n v="0"/>
    <x v="3"/>
  </r>
  <r>
    <n v="34"/>
    <s v="male"/>
    <n v="27"/>
    <n v="2"/>
    <s v="no"/>
    <s v="south"/>
    <n v="1367.6810237023021"/>
    <n v="1823.5746982697362"/>
    <n v="0"/>
    <x v="2"/>
  </r>
  <r>
    <n v="19"/>
    <s v="male"/>
    <n v="20.3"/>
    <n v="0"/>
    <s v="no"/>
    <s v="midwest"/>
    <n v="1871.6553689676475"/>
    <n v="2201.9474929031157"/>
    <n v="0"/>
    <x v="1"/>
  </r>
  <r>
    <n v="47"/>
    <s v="female"/>
    <n v="36"/>
    <n v="1"/>
    <s v="no"/>
    <s v="south"/>
    <n v="4353.5865362729028"/>
    <n v="4146.2728916884807"/>
    <n v="0"/>
    <x v="3"/>
  </r>
  <r>
    <n v="28"/>
    <s v="male"/>
    <n v="25"/>
    <n v="0"/>
    <s v="no"/>
    <s v="midwest"/>
    <n v="1564.2266080215329"/>
    <n v="1840.2665976723924"/>
    <n v="0"/>
    <x v="1"/>
  </r>
  <r>
    <n v="37"/>
    <s v="female"/>
    <n v="21.5"/>
    <n v="0"/>
    <s v="yes"/>
    <s v="southeast"/>
    <n v="1457.7126063778892"/>
    <n v="1714.9560075033999"/>
    <n v="1"/>
    <x v="0"/>
  </r>
  <r>
    <n v="21"/>
    <s v="male"/>
    <n v="23.1"/>
    <n v="0"/>
    <s v="no"/>
    <s v="midwest"/>
    <n v="1926.652757401579"/>
    <n v="2266.6503028253878"/>
    <n v="0"/>
    <x v="1"/>
  </r>
  <r>
    <n v="64"/>
    <s v="male"/>
    <n v="37.9"/>
    <n v="0"/>
    <s v="no"/>
    <s v="midwest"/>
    <n v="4323.2052131565233"/>
    <n v="4117.338298244309"/>
    <n v="0"/>
    <x v="3"/>
  </r>
  <r>
    <n v="58"/>
    <s v="female"/>
    <n v="22.8"/>
    <n v="0"/>
    <s v="no"/>
    <s v="southeast"/>
    <n v="4990.179555062452"/>
    <n v="4752.5519572023359"/>
    <n v="0"/>
    <x v="3"/>
  </r>
  <r>
    <n v="24"/>
    <s v="male"/>
    <n v="33.6"/>
    <n v="4"/>
    <s v="no"/>
    <s v="northeast"/>
    <n v="2750.3158371419149"/>
    <n v="3667.0877828558864"/>
    <n v="0"/>
    <x v="2"/>
  </r>
  <r>
    <n v="31"/>
    <s v="male"/>
    <n v="27.6"/>
    <n v="2"/>
    <s v="no"/>
    <s v="northeast"/>
    <n v="2088.17914387884"/>
    <n v="2784.2388585051199"/>
    <n v="0"/>
    <x v="2"/>
  </r>
  <r>
    <n v="39"/>
    <s v="female"/>
    <n v="22.8"/>
    <n v="3"/>
    <s v="no"/>
    <s v="northeast"/>
    <n v="1129.0478258045537"/>
    <n v="1505.3971010727382"/>
    <n v="0"/>
    <x v="2"/>
  </r>
  <r>
    <n v="47"/>
    <s v="female"/>
    <n v="27.8"/>
    <n v="0"/>
    <s v="yes"/>
    <s v="southeast"/>
    <n v="4988.2291675704491"/>
    <n v="4750.694445305191"/>
    <n v="1"/>
    <x v="0"/>
  </r>
  <r>
    <n v="30"/>
    <s v="male"/>
    <n v="37.4"/>
    <n v="3"/>
    <s v="no"/>
    <s v="northeast"/>
    <n v="2610.4979877837227"/>
    <n v="3480.6639837116304"/>
    <n v="0"/>
    <x v="2"/>
  </r>
  <r>
    <n v="18"/>
    <s v="male"/>
    <n v="21.3"/>
    <n v="0"/>
    <s v="yes"/>
    <s v="southeast"/>
    <n v="1474.1566884627209"/>
    <n v="1734.3019864267312"/>
    <n v="1"/>
    <x v="0"/>
  </r>
  <r>
    <n v="22"/>
    <s v="female"/>
    <n v="34.6"/>
    <n v="2"/>
    <s v="no"/>
    <s v="northeast"/>
    <n v="1574.484226616356"/>
    <n v="2099.3123021551414"/>
    <n v="0"/>
    <x v="2"/>
  </r>
  <r>
    <n v="23"/>
    <s v="male"/>
    <n v="24.1"/>
    <n v="1"/>
    <s v="no"/>
    <s v="south"/>
    <n v="2031.6833008417404"/>
    <n v="2390.2156480491076"/>
    <n v="0"/>
    <x v="1"/>
  </r>
  <r>
    <n v="33"/>
    <s v="male"/>
    <n v="21.9"/>
    <n v="1"/>
    <s v="yes"/>
    <s v="south"/>
    <n v="1500.3572417650253"/>
    <n v="1765.1261667823833"/>
    <n v="1"/>
    <x v="0"/>
  </r>
  <r>
    <n v="27"/>
    <s v="male"/>
    <n v="21.9"/>
    <n v="0"/>
    <s v="no"/>
    <s v="northeast"/>
    <n v="1740.8095722120206"/>
    <n v="2048.0112614259074"/>
    <n v="0"/>
    <x v="1"/>
  </r>
  <r>
    <n v="45"/>
    <s v="female"/>
    <n v="25.2"/>
    <n v="2"/>
    <s v="no"/>
    <s v="northeast"/>
    <n v="2889.1997512189168"/>
    <n v="3852.2663349585559"/>
    <n v="0"/>
    <x v="2"/>
  </r>
  <r>
    <n v="57"/>
    <s v="female"/>
    <n v="31.8"/>
    <n v="0"/>
    <s v="no"/>
    <s v="midwest"/>
    <n v="4814.8722420659387"/>
    <n v="4585.5926114913727"/>
    <n v="0"/>
    <x v="3"/>
  </r>
  <r>
    <n v="47"/>
    <s v="male"/>
    <n v="32.299999999999997"/>
    <n v="1"/>
    <s v="no"/>
    <s v="south"/>
    <n v="5468.6803694736582"/>
    <n v="5208.2670185463421"/>
    <n v="0"/>
    <x v="3"/>
  </r>
  <r>
    <n v="42"/>
    <s v="female"/>
    <n v="29"/>
    <n v="1"/>
    <s v="no"/>
    <s v="south"/>
    <n v="3399.0760554097501"/>
    <n v="3237.2152908664302"/>
    <n v="0"/>
    <x v="3"/>
  </r>
  <r>
    <n v="64"/>
    <s v="female"/>
    <n v="39.700000000000003"/>
    <n v="0"/>
    <s v="no"/>
    <s v="south"/>
    <n v="6495.0878525316093"/>
    <n v="6185.7979547920095"/>
    <n v="0"/>
    <x v="3"/>
  </r>
  <r>
    <n v="38"/>
    <s v="female"/>
    <n v="19.5"/>
    <n v="2"/>
    <s v="no"/>
    <s v="midwest"/>
    <n v="1709.7623033936761"/>
    <n v="2011.4850628160902"/>
    <n v="0"/>
    <x v="1"/>
  </r>
  <r>
    <n v="61"/>
    <s v="male"/>
    <n v="36.1"/>
    <n v="3"/>
    <s v="no"/>
    <s v="south"/>
    <n v="2668.454822471911"/>
    <n v="3557.9397632958817"/>
    <n v="0"/>
    <x v="2"/>
  </r>
  <r>
    <n v="53"/>
    <s v="female"/>
    <n v="26.7"/>
    <n v="2"/>
    <s v="no"/>
    <s v="south"/>
    <n v="2399.9870748427811"/>
    <n v="3199.9827664570416"/>
    <n v="0"/>
    <x v="2"/>
  </r>
  <r>
    <n v="44"/>
    <s v="female"/>
    <n v="36.5"/>
    <n v="0"/>
    <s v="no"/>
    <s v="northeast"/>
    <n v="5069.4360813530302"/>
    <n v="4828.0343631933638"/>
    <n v="0"/>
    <x v="3"/>
  </r>
  <r>
    <n v="19"/>
    <s v="female"/>
    <n v="22.3"/>
    <n v="0"/>
    <s v="yes"/>
    <s v="midwest"/>
    <n v="2018.4312350383047"/>
    <n v="2374.6249823980061"/>
    <n v="1"/>
    <x v="0"/>
  </r>
  <r>
    <n v="41"/>
    <s v="male"/>
    <n v="34.200000000000003"/>
    <n v="2"/>
    <s v="no"/>
    <s v="midwest"/>
    <n v="1616.0464852943023"/>
    <n v="2154.7286470590698"/>
    <n v="0"/>
    <x v="2"/>
  </r>
  <r>
    <n v="51"/>
    <s v="male"/>
    <n v="33.299999999999997"/>
    <n v="3"/>
    <s v="no"/>
    <s v="southeast"/>
    <n v="3074.0465714851707"/>
    <n v="4098.7287619802273"/>
    <n v="0"/>
    <x v="2"/>
  </r>
  <r>
    <n v="40"/>
    <s v="male"/>
    <n v="32.299999999999997"/>
    <n v="2"/>
    <s v="no"/>
    <s v="midwest"/>
    <n v="1669.7217289093003"/>
    <n v="2226.2956385457337"/>
    <n v="0"/>
    <x v="2"/>
  </r>
  <r>
    <n v="45"/>
    <s v="male"/>
    <n v="39.799999999999997"/>
    <n v="0"/>
    <s v="no"/>
    <s v="northeast"/>
    <n v="6228.8094116795055"/>
    <n v="5932.1994396947684"/>
    <n v="0"/>
    <x v="3"/>
  </r>
  <r>
    <n v="35"/>
    <s v="male"/>
    <n v="34.299999999999997"/>
    <n v="3"/>
    <s v="no"/>
    <s v="southeast"/>
    <n v="1928.3073351369276"/>
    <n v="2571.0764468492366"/>
    <n v="0"/>
    <x v="2"/>
  </r>
  <r>
    <n v="53"/>
    <s v="male"/>
    <n v="28.9"/>
    <n v="0"/>
    <s v="no"/>
    <s v="midwest"/>
    <n v="5342.2285419975551"/>
    <n v="5087.8367066643405"/>
    <n v="0"/>
    <x v="3"/>
  </r>
  <r>
    <n v="30"/>
    <s v="male"/>
    <n v="24.4"/>
    <n v="3"/>
    <s v="yes"/>
    <s v="south"/>
    <n v="1943.0994167700439"/>
    <n v="2590.7992223600586"/>
    <n v="1"/>
    <x v="0"/>
  </r>
  <r>
    <n v="18"/>
    <s v="male"/>
    <n v="24.9"/>
    <n v="0"/>
    <s v="no"/>
    <s v="southeast"/>
    <n v="1705.2877861420973"/>
    <n v="2006.2209248730564"/>
    <n v="0"/>
    <x v="1"/>
  </r>
  <r>
    <n v="51"/>
    <s v="male"/>
    <n v="36"/>
    <n v="1"/>
    <s v="no"/>
    <s v="southeast"/>
    <n v="5651.6943464238502"/>
    <n v="5382.5660442131921"/>
    <n v="0"/>
    <x v="3"/>
  </r>
  <r>
    <n v="50"/>
    <s v="female"/>
    <n v="27.6"/>
    <n v="1"/>
    <s v="yes"/>
    <s v="south"/>
    <n v="4775.6988960993513"/>
    <n v="4548.2846629517635"/>
    <n v="1"/>
    <x v="0"/>
  </r>
  <r>
    <n v="31"/>
    <s v="female"/>
    <n v="24.2"/>
    <n v="1"/>
    <s v="no"/>
    <s v="southeast"/>
    <n v="2764.9112152807711"/>
    <n v="3252.8367238597316"/>
    <n v="0"/>
    <x v="1"/>
  </r>
  <r>
    <n v="35"/>
    <s v="female"/>
    <n v="27.7"/>
    <n v="3"/>
    <s v="no"/>
    <s v="south"/>
    <n v="1840.5162729186304"/>
    <n v="2454.0216972248404"/>
    <n v="0"/>
    <x v="2"/>
  </r>
  <r>
    <n v="60"/>
    <s v="male"/>
    <n v="37"/>
    <n v="0"/>
    <s v="no"/>
    <s v="northeast"/>
    <n v="4992.5659988205307"/>
    <n v="4754.8247607814592"/>
    <n v="0"/>
    <x v="3"/>
  </r>
  <r>
    <n v="21"/>
    <s v="male"/>
    <n v="21.3"/>
    <n v="0"/>
    <s v="no"/>
    <s v="midwest"/>
    <n v="2191.0996426422744"/>
    <n v="2577.7642854615005"/>
    <n v="0"/>
    <x v="1"/>
  </r>
  <r>
    <n v="29"/>
    <s v="male"/>
    <n v="22.5"/>
    <n v="3"/>
    <s v="no"/>
    <s v="northeast"/>
    <n v="2725.1474061711788"/>
    <n v="3633.5298748949049"/>
    <n v="0"/>
    <x v="2"/>
  </r>
  <r>
    <n v="62"/>
    <s v="female"/>
    <n v="29.9"/>
    <n v="0"/>
    <s v="no"/>
    <s v="southeast"/>
    <n v="4651.5814463996512"/>
    <n v="4430.0775679996696"/>
    <n v="0"/>
    <x v="3"/>
  </r>
  <r>
    <n v="39"/>
    <s v="female"/>
    <n v="41.8"/>
    <n v="0"/>
    <s v="no"/>
    <s v="southeast"/>
    <n v="3799.136737003797"/>
    <n v="3618.2254638131412"/>
    <n v="0"/>
    <x v="3"/>
  </r>
  <r>
    <n v="19"/>
    <s v="male"/>
    <n v="24.3"/>
    <n v="0"/>
    <s v="no"/>
    <s v="south"/>
    <n v="2706.9835700068534"/>
    <n v="3184.6865529492406"/>
    <n v="0"/>
    <x v="1"/>
  </r>
  <r>
    <n v="22"/>
    <s v="female"/>
    <n v="25.4"/>
    <n v="0"/>
    <s v="no"/>
    <s v="northeast"/>
    <n v="1694.755839024687"/>
    <n v="1993.8303988525738"/>
    <n v="0"/>
    <x v="1"/>
  </r>
  <r>
    <n v="53"/>
    <s v="male"/>
    <n v="20.9"/>
    <n v="0"/>
    <s v="yes"/>
    <s v="southeast"/>
    <n v="4559.9938864329451"/>
    <n v="4342.8513204123301"/>
    <n v="1"/>
    <x v="0"/>
  </r>
  <r>
    <n v="39"/>
    <s v="female"/>
    <n v="31.9"/>
    <n v="2"/>
    <s v="no"/>
    <s v="midwest"/>
    <n v="2337.5837116840034"/>
    <n v="3116.7782822453378"/>
    <n v="0"/>
    <x v="2"/>
  </r>
  <r>
    <n v="27"/>
    <s v="male"/>
    <n v="21.8"/>
    <n v="0"/>
    <s v="yes"/>
    <s v="midwest"/>
    <n v="1748.7514067188097"/>
    <n v="2057.3545961397767"/>
    <n v="1"/>
    <x v="0"/>
  </r>
  <r>
    <n v="30"/>
    <s v="male"/>
    <n v="44.2"/>
    <n v="2"/>
    <s v="no"/>
    <s v="southeast"/>
    <n v="2489.4504886496106"/>
    <n v="3319.2673181994805"/>
    <n v="0"/>
    <x v="2"/>
  </r>
  <r>
    <n v="30"/>
    <s v="female"/>
    <n v="25.9"/>
    <n v="1"/>
    <s v="no"/>
    <s v="northeast"/>
    <n v="2050.8913231256138"/>
    <n v="2412.8133213242522"/>
    <n v="0"/>
    <x v="1"/>
  </r>
  <r>
    <n v="58"/>
    <s v="female"/>
    <n v="33.1"/>
    <n v="0"/>
    <s v="no"/>
    <s v="south"/>
    <n v="4010.879498426908"/>
    <n v="3819.885236597057"/>
    <n v="0"/>
    <x v="3"/>
  </r>
  <r>
    <n v="33"/>
    <s v="male"/>
    <n v="21.3"/>
    <n v="0"/>
    <s v="yes"/>
    <s v="northeast"/>
    <n v="1711.4185196856738"/>
    <n v="2013.4335525713818"/>
    <n v="1"/>
    <x v="0"/>
  </r>
  <r>
    <n v="42"/>
    <s v="female"/>
    <n v="26.2"/>
    <n v="1"/>
    <s v="no"/>
    <s v="southeast"/>
    <n v="1977.5373912611312"/>
    <n v="2326.5145779542731"/>
    <n v="0"/>
    <x v="3"/>
  </r>
  <r>
    <n v="64"/>
    <s v="female"/>
    <n v="36"/>
    <n v="0"/>
    <s v="no"/>
    <s v="southeast"/>
    <n v="4843.3093018663767"/>
    <n v="4612.6755255870266"/>
    <n v="0"/>
    <x v="3"/>
  </r>
  <r>
    <n v="21"/>
    <s v="male"/>
    <n v="23.4"/>
    <n v="1"/>
    <s v="no"/>
    <s v="south"/>
    <n v="1413.541126863593"/>
    <n v="1662.9895610159924"/>
    <n v="0"/>
    <x v="1"/>
  </r>
  <r>
    <n v="18"/>
    <s v="female"/>
    <n v="24.5"/>
    <n v="0"/>
    <s v="yes"/>
    <s v="southeast"/>
    <n v="1294.1261489187441"/>
    <n v="1522.5013516691115"/>
    <n v="1"/>
    <x v="0"/>
  </r>
  <r>
    <n v="23"/>
    <s v="male"/>
    <n v="25.6"/>
    <n v="0"/>
    <s v="no"/>
    <s v="southeast"/>
    <n v="1758.6114876228007"/>
    <n v="2068.9546913209429"/>
    <n v="0"/>
    <x v="1"/>
  </r>
  <r>
    <n v="45"/>
    <s v="female"/>
    <n v="35.799999999999997"/>
    <n v="0"/>
    <s v="no"/>
    <s v="midwest"/>
    <n v="4340.7993073973093"/>
    <n v="4134.0945784736296"/>
    <n v="0"/>
    <x v="3"/>
  </r>
  <r>
    <n v="40"/>
    <s v="female"/>
    <n v="41.4"/>
    <n v="1"/>
    <s v="no"/>
    <s v="midwest"/>
    <n v="5278.074346342697"/>
    <n v="5026.737472707332"/>
    <n v="0"/>
    <x v="3"/>
  </r>
  <r>
    <n v="19"/>
    <s v="female"/>
    <n v="24.5"/>
    <n v="0"/>
    <s v="no"/>
    <s v="midwest"/>
    <n v="1246.494800114094"/>
    <n v="1466.4644707224643"/>
    <n v="0"/>
    <x v="1"/>
  </r>
  <r>
    <n v="18"/>
    <s v="male"/>
    <n v="21.8"/>
    <n v="0"/>
    <s v="no"/>
    <s v="southeast"/>
    <n v="2069.0391995291684"/>
    <n v="2434.1637641519637"/>
    <n v="0"/>
    <x v="1"/>
  </r>
  <r>
    <n v="25"/>
    <s v="male"/>
    <n v="21.2"/>
    <n v="1"/>
    <s v="no"/>
    <s v="northeast"/>
    <n v="2621.0680850860972"/>
    <n v="3083.6095118659978"/>
    <n v="0"/>
    <x v="1"/>
  </r>
  <r>
    <n v="46"/>
    <s v="female"/>
    <n v="30.8"/>
    <n v="3"/>
    <s v="no"/>
    <s v="south"/>
    <n v="2368.7236299329888"/>
    <n v="3158.2981732439853"/>
    <n v="0"/>
    <x v="2"/>
  </r>
  <r>
    <n v="33"/>
    <s v="female"/>
    <n v="42.9"/>
    <n v="3"/>
    <s v="no"/>
    <s v="midwest"/>
    <n v="2291.7366227995203"/>
    <n v="3055.6488303993606"/>
    <n v="0"/>
    <x v="2"/>
  </r>
  <r>
    <n v="54"/>
    <s v="male"/>
    <n v="21"/>
    <n v="2"/>
    <s v="no"/>
    <s v="southeast"/>
    <n v="2047.4008059080829"/>
    <n v="2729.8677412107772"/>
    <n v="0"/>
    <x v="2"/>
  </r>
  <r>
    <n v="28"/>
    <s v="male"/>
    <n v="23.1"/>
    <n v="2"/>
    <s v="no"/>
    <s v="northeast"/>
    <n v="1678.4202517246583"/>
    <n v="1974.6120608525398"/>
    <n v="0"/>
    <x v="1"/>
  </r>
  <r>
    <n v="36"/>
    <s v="male"/>
    <n v="34.4"/>
    <n v="2"/>
    <s v="no"/>
    <s v="southeast"/>
    <n v="1870.1007234831231"/>
    <n v="2493.4676313108307"/>
    <n v="0"/>
    <x v="2"/>
  </r>
  <r>
    <n v="20"/>
    <s v="female"/>
    <n v="21.9"/>
    <n v="0"/>
    <s v="no"/>
    <s v="southeast"/>
    <n v="2194.4546407386038"/>
    <n v="2581.711342045417"/>
    <n v="0"/>
    <x v="1"/>
  </r>
  <r>
    <n v="24"/>
    <s v="female"/>
    <n v="20.6"/>
    <n v="0"/>
    <s v="no"/>
    <s v="midwest"/>
    <n v="1986.8006552361007"/>
    <n v="2337.4125355718843"/>
    <n v="0"/>
    <x v="1"/>
  </r>
  <r>
    <n v="23"/>
    <s v="male"/>
    <n v="37.1"/>
    <n v="3"/>
    <s v="no"/>
    <s v="south"/>
    <n v="2096.6121236747881"/>
    <n v="2795.482831566384"/>
    <n v="0"/>
    <x v="2"/>
  </r>
  <r>
    <n v="47"/>
    <s v="female"/>
    <n v="26.1"/>
    <n v="1"/>
    <s v="yes"/>
    <s v="northeast"/>
    <n v="3916.536489932088"/>
    <n v="3730.0347523162759"/>
    <n v="1"/>
    <x v="0"/>
  </r>
  <r>
    <n v="33"/>
    <s v="female"/>
    <n v="23.7"/>
    <n v="0"/>
    <s v="yes"/>
    <s v="midwest"/>
    <n v="1590.5343834914638"/>
    <n v="1871.2169217546643"/>
    <n v="1"/>
    <x v="0"/>
  </r>
  <r>
    <n v="45"/>
    <s v="male"/>
    <n v="33.700000000000003"/>
    <n v="1"/>
    <s v="no"/>
    <s v="south"/>
    <n v="3696.6833524110552"/>
    <n v="3520.6508118200541"/>
    <n v="0"/>
    <x v="3"/>
  </r>
  <r>
    <n v="26"/>
    <s v="male"/>
    <n v="25.4"/>
    <n v="0"/>
    <s v="no"/>
    <s v="midwest"/>
    <n v="2057.4544826276929"/>
    <n v="2420.5346854443455"/>
    <n v="0"/>
    <x v="1"/>
  </r>
  <r>
    <n v="18"/>
    <s v="female"/>
    <n v="25.2"/>
    <n v="0"/>
    <s v="no"/>
    <s v="southeast"/>
    <n v="1681.7821832741047"/>
    <n v="1978.5672744401238"/>
    <n v="0"/>
    <x v="1"/>
  </r>
  <r>
    <n v="44"/>
    <s v="female"/>
    <n v="29.8"/>
    <n v="2"/>
    <s v="no"/>
    <s v="southeast"/>
    <n v="1646.806905566104"/>
    <n v="2195.7425407548053"/>
    <n v="0"/>
    <x v="2"/>
  </r>
  <r>
    <n v="60"/>
    <s v="male"/>
    <n v="24.3"/>
    <n v="0"/>
    <s v="no"/>
    <s v="midwest"/>
    <n v="3920.3701513399542"/>
    <n v="3733.6858584190049"/>
    <n v="0"/>
    <x v="3"/>
  </r>
  <r>
    <n v="64"/>
    <s v="female"/>
    <n v="31.8"/>
    <n v="2"/>
    <s v="no"/>
    <s v="northeast"/>
    <n v="4034.6292686084598"/>
    <n v="3842.5040653413917"/>
    <n v="0"/>
    <x v="3"/>
  </r>
  <r>
    <n v="56"/>
    <s v="male"/>
    <n v="31.8"/>
    <n v="2"/>
    <s v="yes"/>
    <s v="southeast"/>
    <n v="1575.9378594340019"/>
    <n v="2101.250479245336"/>
    <n v="1"/>
    <x v="0"/>
  </r>
  <r>
    <n v="36"/>
    <s v="male"/>
    <n v="22.6"/>
    <n v="1"/>
    <s v="yes"/>
    <s v="northeast"/>
    <n v="1631.0800637001457"/>
    <n v="1918.917722000172"/>
    <n v="1"/>
    <x v="0"/>
  </r>
  <r>
    <n v="41"/>
    <s v="male"/>
    <n v="30.8"/>
    <n v="3"/>
    <s v="yes"/>
    <s v="northeast"/>
    <n v="2273.0450592095217"/>
    <n v="3030.7267456126956"/>
    <n v="1"/>
    <x v="0"/>
  </r>
  <r>
    <n v="39"/>
    <s v="male"/>
    <n v="22.5"/>
    <n v="1"/>
    <s v="no"/>
    <s v="midwest"/>
    <n v="1604.2335129957773"/>
    <n v="1887.3335447009151"/>
    <n v="0"/>
    <x v="1"/>
  </r>
  <r>
    <n v="63"/>
    <s v="male"/>
    <n v="33.1"/>
    <n v="0"/>
    <s v="no"/>
    <s v="south"/>
    <n v="4379.9955779969878"/>
    <n v="4171.4243599971323"/>
    <n v="0"/>
    <x v="3"/>
  </r>
  <r>
    <n v="36"/>
    <s v="female"/>
    <n v="23.8"/>
    <n v="0"/>
    <s v="no"/>
    <s v="midwest"/>
    <n v="2062.3277691084968"/>
    <n v="2426.267963657056"/>
    <n v="0"/>
    <x v="1"/>
  </r>
  <r>
    <n v="28"/>
    <s v="female"/>
    <n v="23.8"/>
    <n v="2"/>
    <s v="no"/>
    <s v="midwest"/>
    <n v="2042.1523197155825"/>
    <n v="2402.5321408418627"/>
    <n v="0"/>
    <x v="1"/>
  </r>
  <r>
    <n v="58"/>
    <s v="male"/>
    <n v="34.4"/>
    <n v="0"/>
    <s v="no"/>
    <s v="midwest"/>
    <n v="5418.5174088057684"/>
    <n v="5160.4927702912091"/>
    <n v="0"/>
    <x v="3"/>
  </r>
  <r>
    <n v="36"/>
    <s v="male"/>
    <n v="20.6"/>
    <n v="1"/>
    <s v="no"/>
    <s v="midwest"/>
    <n v="2187.8637019245534"/>
    <n v="2573.9572963818282"/>
    <n v="0"/>
    <x v="1"/>
  </r>
  <r>
    <n v="42"/>
    <s v="male"/>
    <n v="36"/>
    <n v="2"/>
    <s v="no"/>
    <s v="southeast"/>
    <n v="2013.858034757634"/>
    <n v="2685.1440463435119"/>
    <n v="0"/>
    <x v="2"/>
  </r>
  <r>
    <n v="36"/>
    <s v="male"/>
    <n v="20.7"/>
    <n v="0"/>
    <s v="no"/>
    <s v="south"/>
    <n v="1830.9605369283327"/>
    <n v="2154.0712199156865"/>
    <n v="0"/>
    <x v="1"/>
  </r>
  <r>
    <n v="56"/>
    <s v="female"/>
    <n v="28.3"/>
    <n v="0"/>
    <s v="no"/>
    <s v="northeast"/>
    <n v="3539.9292980009213"/>
    <n v="3371.3612361913556"/>
    <n v="0"/>
    <x v="3"/>
  </r>
  <r>
    <n v="35"/>
    <s v="female"/>
    <n v="23.5"/>
    <n v="2"/>
    <s v="no"/>
    <s v="northeast"/>
    <n v="1698.5684468902086"/>
    <n v="1998.3158198708345"/>
    <n v="0"/>
    <x v="1"/>
  </r>
  <r>
    <n v="59"/>
    <s v="female"/>
    <n v="31.4"/>
    <n v="0"/>
    <s v="no"/>
    <s v="midwest"/>
    <n v="4036.3519818248192"/>
    <n v="3844.1447445950671"/>
    <n v="0"/>
    <x v="3"/>
  </r>
  <r>
    <n v="21"/>
    <s v="male"/>
    <n v="23.8"/>
    <n v="0"/>
    <s v="no"/>
    <s v="south"/>
    <n v="2038.6328303629705"/>
    <n v="2398.3915651329071"/>
    <n v="0"/>
    <x v="1"/>
  </r>
  <r>
    <n v="59"/>
    <s v="male"/>
    <n v="24.7"/>
    <n v="0"/>
    <s v="no"/>
    <s v="northeast"/>
    <n v="4998.1734910599653"/>
    <n v="4760.1652295809208"/>
    <n v="0"/>
    <x v="3"/>
  </r>
  <r>
    <n v="23"/>
    <s v="female"/>
    <n v="32.799999999999997"/>
    <n v="2"/>
    <s v="yes"/>
    <s v="southeast"/>
    <n v="1711.4599844002623"/>
    <n v="2281.9466458670163"/>
    <n v="1"/>
    <x v="0"/>
  </r>
  <r>
    <n v="57"/>
    <s v="female"/>
    <n v="29.8"/>
    <n v="0"/>
    <s v="yes"/>
    <s v="southeast"/>
    <n v="4497.7822645139513"/>
    <n v="4283.6021566799554"/>
    <n v="1"/>
    <x v="0"/>
  </r>
  <r>
    <n v="53"/>
    <s v="male"/>
    <n v="30.5"/>
    <n v="0"/>
    <s v="no"/>
    <s v="northeast"/>
    <n v="4567.0162453083722"/>
    <n v="4349.5392812460695"/>
    <n v="0"/>
    <x v="3"/>
  </r>
  <r>
    <n v="60"/>
    <s v="female"/>
    <n v="32.5"/>
    <n v="0"/>
    <s v="yes"/>
    <s v="southeast"/>
    <n v="3938.2216220428509"/>
    <n v="3750.6872590884309"/>
    <n v="1"/>
    <x v="0"/>
  </r>
  <r>
    <n v="51"/>
    <s v="female"/>
    <n v="34.200000000000003"/>
    <n v="1"/>
    <s v="no"/>
    <s v="south"/>
    <n v="5811.9153699357894"/>
    <n v="5535.1574951769435"/>
    <n v="0"/>
    <x v="3"/>
  </r>
  <r>
    <n v="23"/>
    <s v="male"/>
    <n v="22.4"/>
    <n v="1"/>
    <s v="no"/>
    <s v="southeast"/>
    <n v="1923.7927542512634"/>
    <n v="2263.2855932367811"/>
    <n v="0"/>
    <x v="1"/>
  </r>
  <r>
    <n v="27"/>
    <s v="female"/>
    <n v="22"/>
    <n v="0"/>
    <s v="no"/>
    <s v="south"/>
    <n v="1424.1583761179936"/>
    <n v="1675.4804424917581"/>
    <n v="0"/>
    <x v="1"/>
  </r>
  <r>
    <n v="55"/>
    <s v="male"/>
    <n v="32.799999999999997"/>
    <n v="0"/>
    <s v="no"/>
    <s v="midwest"/>
    <n v="4549.3442811583909"/>
    <n v="4332.7088391984689"/>
    <n v="0"/>
    <x v="3"/>
  </r>
  <r>
    <n v="37"/>
    <s v="female"/>
    <n v="25.6"/>
    <n v="0"/>
    <s v="yes"/>
    <s v="northeast"/>
    <n v="1514.7276156504374"/>
    <n v="1782.0324890005154"/>
    <n v="1"/>
    <x v="0"/>
  </r>
  <r>
    <n v="61"/>
    <s v="male"/>
    <n v="32.299999999999997"/>
    <n v="2"/>
    <s v="no"/>
    <s v="midwest"/>
    <n v="5346.5226853580098"/>
    <n v="5091.9263670076298"/>
    <n v="0"/>
    <x v="3"/>
  </r>
  <r>
    <n v="46"/>
    <s v="female"/>
    <n v="35.5"/>
    <n v="0"/>
    <s v="yes"/>
    <s v="northeast"/>
    <n v="5053.6322979121223"/>
    <n v="4812.9831408686896"/>
    <n v="1"/>
    <x v="0"/>
  </r>
  <r>
    <n v="53"/>
    <s v="female"/>
    <n v="23.8"/>
    <n v="2"/>
    <s v="no"/>
    <s v="northeast"/>
    <n v="1508.0794872593826"/>
    <n v="2010.7726496791768"/>
    <n v="0"/>
    <x v="2"/>
  </r>
  <r>
    <n v="49"/>
    <s v="female"/>
    <n v="23.8"/>
    <n v="3"/>
    <s v="yes"/>
    <s v="northeast"/>
    <n v="1842.3743203358079"/>
    <n v="2456.4990937810771"/>
    <n v="1"/>
    <x v="0"/>
  </r>
  <r>
    <n v="20"/>
    <s v="female"/>
    <n v="21.1"/>
    <n v="0"/>
    <s v="no"/>
    <s v="south"/>
    <n v="1369.3747432297378"/>
    <n v="1611.0291096820451"/>
    <n v="0"/>
    <x v="1"/>
  </r>
  <r>
    <n v="48"/>
    <s v="female"/>
    <n v="33.1"/>
    <n v="0"/>
    <s v="yes"/>
    <s v="southeast"/>
    <n v="3690.4844187887193"/>
    <n v="3514.7470655130678"/>
    <n v="1"/>
    <x v="0"/>
  </r>
  <r>
    <n v="25"/>
    <s v="male"/>
    <n v="24.2"/>
    <n v="0"/>
    <s v="yes"/>
    <s v="midwest"/>
    <n v="1596.8853306185931"/>
    <n v="1878.6886242571691"/>
    <n v="1"/>
    <x v="0"/>
  </r>
  <r>
    <n v="25"/>
    <s v="female"/>
    <n v="22.3"/>
    <n v="1"/>
    <s v="no"/>
    <s v="southeast"/>
    <n v="1440.5201310692673"/>
    <n v="1694.7295659638446"/>
    <n v="0"/>
    <x v="1"/>
  </r>
  <r>
    <n v="57"/>
    <s v="male"/>
    <n v="28.1"/>
    <n v="0"/>
    <s v="no"/>
    <s v="south"/>
    <n v="5129.1363047341283"/>
    <n v="4884.8917187944098"/>
    <n v="0"/>
    <x v="3"/>
  </r>
  <r>
    <n v="37"/>
    <s v="female"/>
    <n v="47.6"/>
    <n v="2"/>
    <s v="yes"/>
    <s v="south"/>
    <n v="2462.344898371864"/>
    <n v="3283.1265311624852"/>
    <n v="1"/>
    <x v="0"/>
  </r>
  <r>
    <n v="38"/>
    <s v="female"/>
    <n v="28"/>
    <n v="3"/>
    <s v="no"/>
    <s v="south"/>
    <n v="1350.0074038563214"/>
    <n v="1800.0098718084284"/>
    <n v="0"/>
    <x v="2"/>
  </r>
  <r>
    <n v="55"/>
    <s v="female"/>
    <n v="33.5"/>
    <n v="2"/>
    <s v="no"/>
    <s v="midwest"/>
    <n v="3299.6362597392863"/>
    <n v="4399.5150129857147"/>
    <n v="0"/>
    <x v="2"/>
  </r>
  <r>
    <n v="36"/>
    <s v="female"/>
    <n v="22.6"/>
    <n v="0"/>
    <s v="no"/>
    <s v="northeast"/>
    <n v="1835.1915673851427"/>
    <n v="2159.048902806051"/>
    <n v="0"/>
    <x v="1"/>
  </r>
  <r>
    <n v="51"/>
    <s v="male"/>
    <n v="25.4"/>
    <n v="0"/>
    <s v="no"/>
    <s v="south"/>
    <n v="4036.0805310058468"/>
    <n v="3843.8862200055696"/>
    <n v="0"/>
    <x v="3"/>
  </r>
  <r>
    <n v="40"/>
    <s v="male"/>
    <n v="29.9"/>
    <n v="2"/>
    <s v="no"/>
    <s v="south"/>
    <n v="2009.3769112302034"/>
    <n v="2679.1692149736045"/>
    <n v="0"/>
    <x v="2"/>
  </r>
  <r>
    <n v="18"/>
    <s v="male"/>
    <n v="20.399999999999999"/>
    <n v="0"/>
    <s v="no"/>
    <s v="southeast"/>
    <n v="1807.869578843927"/>
    <n v="2126.9053868752089"/>
    <n v="0"/>
    <x v="1"/>
  </r>
  <r>
    <n v="57"/>
    <s v="male"/>
    <n v="43.7"/>
    <n v="1"/>
    <s v="no"/>
    <s v="south"/>
    <n v="5128.567416257054"/>
    <n v="4884.3499202448147"/>
    <n v="0"/>
    <x v="3"/>
  </r>
  <r>
    <n v="61"/>
    <s v="male"/>
    <n v="23.7"/>
    <n v="0"/>
    <s v="no"/>
    <s v="northeast"/>
    <n v="4842.2337465853607"/>
    <n v="4611.6511872241554"/>
    <n v="0"/>
    <x v="3"/>
  </r>
  <r>
    <n v="25"/>
    <s v="female"/>
    <n v="24.3"/>
    <n v="3"/>
    <s v="no"/>
    <s v="south"/>
    <n v="1973.8708500897303"/>
    <n v="2631.8278001196404"/>
    <n v="0"/>
    <x v="2"/>
  </r>
  <r>
    <n v="50"/>
    <s v="male"/>
    <n v="36.200000000000003"/>
    <n v="0"/>
    <s v="no"/>
    <s v="south"/>
    <n v="4673.2252250430429"/>
    <n v="4450.6906905171845"/>
    <n v="0"/>
    <x v="3"/>
  </r>
  <r>
    <n v="26"/>
    <s v="female"/>
    <n v="21.6"/>
    <n v="1"/>
    <s v="no"/>
    <s v="southeast"/>
    <n v="2201.5601720725508"/>
    <n v="2590.0707906735897"/>
    <n v="0"/>
    <x v="1"/>
  </r>
  <r>
    <n v="42"/>
    <s v="male"/>
    <n v="24.9"/>
    <n v="0"/>
    <s v="no"/>
    <s v="southeast"/>
    <n v="2287.3917466047455"/>
    <n v="2691.0491136526425"/>
    <n v="0"/>
    <x v="1"/>
  </r>
  <r>
    <n v="43"/>
    <s v="male"/>
    <n v="30.1"/>
    <n v="1"/>
    <s v="no"/>
    <s v="south"/>
    <n v="4641.0864906006373"/>
    <n v="4420.0823720006083"/>
    <n v="0"/>
    <x v="3"/>
  </r>
  <r>
    <n v="44"/>
    <s v="male"/>
    <n v="21.9"/>
    <n v="3"/>
    <s v="no"/>
    <s v="northeast"/>
    <n v="1231.0673636222223"/>
    <n v="1641.4231514962964"/>
    <n v="0"/>
    <x v="2"/>
  </r>
  <r>
    <n v="23"/>
    <s v="female"/>
    <n v="24.2"/>
    <n v="0"/>
    <s v="no"/>
    <s v="midwest"/>
    <n v="2393.7151222848843"/>
    <n v="2816.1354379822169"/>
    <n v="0"/>
    <x v="1"/>
  </r>
  <r>
    <n v="49"/>
    <s v="female"/>
    <n v="27.1"/>
    <n v="1"/>
    <s v="no"/>
    <s v="south"/>
    <n v="4950.6210421668347"/>
    <n v="4714.8771830160349"/>
    <n v="0"/>
    <x v="3"/>
  </r>
  <r>
    <n v="33"/>
    <s v="male"/>
    <n v="33.4"/>
    <n v="5"/>
    <s v="no"/>
    <s v="southeast"/>
    <n v="1454.1168778241208"/>
    <n v="1938.8225037654945"/>
    <n v="0"/>
    <x v="2"/>
  </r>
  <r>
    <n v="41"/>
    <s v="male"/>
    <n v="28.8"/>
    <n v="1"/>
    <s v="no"/>
    <s v="south"/>
    <n v="5120.4616240282021"/>
    <n v="4876.6301181220988"/>
    <n v="0"/>
    <x v="3"/>
  </r>
  <r>
    <n v="37"/>
    <s v="female"/>
    <n v="29.5"/>
    <n v="2"/>
    <s v="no"/>
    <s v="south"/>
    <n v="2832.8780935502959"/>
    <n v="3777.1707914003946"/>
    <n v="0"/>
    <x v="2"/>
  </r>
  <r>
    <n v="22"/>
    <s v="male"/>
    <n v="34.799999999999997"/>
    <n v="3"/>
    <s v="no"/>
    <s v="south"/>
    <n v="2001.9872200214004"/>
    <n v="2669.3162933618673"/>
    <n v="0"/>
    <x v="2"/>
  </r>
  <r>
    <n v="23"/>
    <s v="male"/>
    <n v="23.2"/>
    <n v="1"/>
    <s v="no"/>
    <s v="midwest"/>
    <n v="1607.0768734444548"/>
    <n v="1890.678674640536"/>
    <n v="0"/>
    <x v="1"/>
  </r>
  <r>
    <n v="21"/>
    <s v="female"/>
    <n v="21.8"/>
    <n v="0"/>
    <s v="no"/>
    <s v="northeast"/>
    <n v="2015.0134690279833"/>
    <n v="2370.6040812093925"/>
    <n v="0"/>
    <x v="1"/>
  </r>
  <r>
    <n v="51"/>
    <s v="female"/>
    <n v="37.1"/>
    <n v="3"/>
    <s v="yes"/>
    <s v="northeast"/>
    <n v="2320.6864804735969"/>
    <n v="3094.2486406314629"/>
    <n v="1"/>
    <x v="0"/>
  </r>
  <r>
    <n v="25"/>
    <s v="male"/>
    <n v="26.7"/>
    <n v="4"/>
    <s v="no"/>
    <s v="midwest"/>
    <n v="1453.1842002048297"/>
    <n v="1937.5789336064397"/>
    <n v="0"/>
    <x v="2"/>
  </r>
  <r>
    <n v="32"/>
    <s v="male"/>
    <n v="23.5"/>
    <n v="1"/>
    <s v="yes"/>
    <s v="southeast"/>
    <n v="2322.7936373820321"/>
    <n v="2732.6983969200382"/>
    <n v="1"/>
    <x v="0"/>
  </r>
  <r>
    <n v="57"/>
    <s v="male"/>
    <n v="29"/>
    <n v="0"/>
    <s v="yes"/>
    <s v="northeast"/>
    <n v="4133.5858381188764"/>
    <n v="3936.7484172560744"/>
    <n v="1"/>
    <x v="0"/>
  </r>
  <r>
    <n v="36"/>
    <s v="female"/>
    <n v="20.399999999999999"/>
    <n v="0"/>
    <s v="no"/>
    <s v="midwest"/>
    <n v="1589.4394970496064"/>
    <n v="1869.9288200583615"/>
    <n v="0"/>
    <x v="1"/>
  </r>
  <r>
    <n v="22"/>
    <s v="male"/>
    <n v="22.1"/>
    <n v="0"/>
    <s v="no"/>
    <s v="south"/>
    <n v="2386.591099755633"/>
    <n v="2807.7542350066278"/>
    <n v="0"/>
    <x v="1"/>
  </r>
  <r>
    <n v="57"/>
    <s v="male"/>
    <n v="33.6"/>
    <n v="1"/>
    <s v="no"/>
    <s v="midwest"/>
    <n v="4253.2554565364208"/>
    <n v="4050.7194824156409"/>
    <n v="0"/>
    <x v="3"/>
  </r>
  <r>
    <n v="64"/>
    <s v="female"/>
    <n v="26.9"/>
    <n v="0"/>
    <s v="yes"/>
    <s v="midwest"/>
    <n v="4222.0169372994105"/>
    <n v="4020.9685117137255"/>
    <n v="1"/>
    <x v="0"/>
  </r>
  <r>
    <n v="36"/>
    <s v="female"/>
    <n v="29"/>
    <n v="4"/>
    <s v="no"/>
    <s v="southeast"/>
    <n v="2388.298582272615"/>
    <n v="3184.39810969682"/>
    <n v="0"/>
    <x v="2"/>
  </r>
  <r>
    <n v="54"/>
    <s v="male"/>
    <n v="24"/>
    <n v="0"/>
    <s v="no"/>
    <s v="northeast"/>
    <n v="3782.6920493002071"/>
    <n v="3602.5638564763894"/>
    <n v="0"/>
    <x v="3"/>
  </r>
  <r>
    <n v="47"/>
    <s v="male"/>
    <n v="38.9"/>
    <n v="2"/>
    <s v="yes"/>
    <s v="southeast"/>
    <n v="3372.3568566280883"/>
    <n v="4496.475808837451"/>
    <n v="1"/>
    <x v="0"/>
  </r>
  <r>
    <n v="62"/>
    <s v="male"/>
    <n v="32.1"/>
    <n v="0"/>
    <s v="no"/>
    <s v="northeast"/>
    <n v="4313.6624301535221"/>
    <n v="4108.2499334795466"/>
    <n v="0"/>
    <x v="3"/>
  </r>
  <r>
    <n v="61"/>
    <s v="female"/>
    <n v="44"/>
    <n v="0"/>
    <s v="no"/>
    <s v="south"/>
    <n v="6316.3951039012454"/>
    <n v="6015.6143846678551"/>
    <n v="0"/>
    <x v="3"/>
  </r>
  <r>
    <n v="43"/>
    <s v="female"/>
    <n v="20"/>
    <n v="2"/>
    <s v="yes"/>
    <s v="northeast"/>
    <n v="1720.0993217799685"/>
    <n v="2023.6462609176106"/>
    <n v="1"/>
    <x v="0"/>
  </r>
  <r>
    <n v="19"/>
    <s v="male"/>
    <n v="22.7"/>
    <n v="1"/>
    <s v="no"/>
    <s v="midwest"/>
    <n v="2184.2453946168089"/>
    <n v="2569.7004642550701"/>
    <n v="0"/>
    <x v="1"/>
  </r>
  <r>
    <n v="18"/>
    <s v="female"/>
    <n v="20.3"/>
    <n v="0"/>
    <s v="no"/>
    <s v="southeast"/>
    <n v="1258.5864564974315"/>
    <n v="1480.6899488205086"/>
    <n v="0"/>
    <x v="1"/>
  </r>
  <r>
    <n v="19"/>
    <s v="female"/>
    <n v="23.2"/>
    <n v="0"/>
    <s v="no"/>
    <s v="midwest"/>
    <n v="1454.2530270661475"/>
    <n v="1710.8859141954683"/>
    <n v="0"/>
    <x v="1"/>
  </r>
  <r>
    <n v="49"/>
    <s v="male"/>
    <n v="22.5"/>
    <n v="0"/>
    <s v="no"/>
    <s v="northeast"/>
    <n v="5378.317116150798"/>
    <n v="5122.2067772864757"/>
    <n v="0"/>
    <x v="3"/>
  </r>
  <r>
    <n v="60"/>
    <s v="male"/>
    <n v="40.9"/>
    <n v="0"/>
    <s v="yes"/>
    <s v="southeast"/>
    <n v="5289.9251374967134"/>
    <n v="5038.0239404730619"/>
    <n v="1"/>
    <x v="0"/>
  </r>
  <r>
    <n v="26"/>
    <s v="male"/>
    <n v="27.3"/>
    <n v="3"/>
    <s v="no"/>
    <s v="northeast"/>
    <n v="2240.2535058234253"/>
    <n v="2987.004674431234"/>
    <n v="0"/>
    <x v="2"/>
  </r>
  <r>
    <n v="49"/>
    <s v="male"/>
    <n v="36.9"/>
    <n v="0"/>
    <s v="no"/>
    <s v="southeast"/>
    <n v="4436.40976792322"/>
    <n v="4225.1521599268772"/>
    <n v="0"/>
    <x v="3"/>
  </r>
  <r>
    <n v="60"/>
    <s v="female"/>
    <n v="35.1"/>
    <n v="0"/>
    <s v="no"/>
    <s v="south"/>
    <n v="6012.9681288943502"/>
    <n v="5726.636313232716"/>
    <n v="0"/>
    <x v="3"/>
  </r>
  <r>
    <n v="26"/>
    <s v="female"/>
    <n v="29.4"/>
    <n v="2"/>
    <s v="no"/>
    <s v="northeast"/>
    <n v="1585.227713926452"/>
    <n v="2113.6369519019358"/>
    <n v="0"/>
    <x v="2"/>
  </r>
  <r>
    <n v="27"/>
    <s v="male"/>
    <n v="32.6"/>
    <n v="3"/>
    <s v="no"/>
    <s v="northeast"/>
    <n v="2614.464925958488"/>
    <n v="3485.9532346113174"/>
    <n v="0"/>
    <x v="2"/>
  </r>
  <r>
    <n v="44"/>
    <s v="female"/>
    <n v="32.299999999999997"/>
    <n v="1"/>
    <s v="no"/>
    <s v="southeast"/>
    <n v="4109.7568910161099"/>
    <n v="3914.0541819201062"/>
    <n v="0"/>
    <x v="3"/>
  </r>
  <r>
    <n v="63"/>
    <s v="male"/>
    <n v="39.799999999999997"/>
    <n v="3"/>
    <s v="no"/>
    <s v="south"/>
    <n v="2041.27937412242"/>
    <n v="2721.7058321632267"/>
    <n v="0"/>
    <x v="2"/>
  </r>
  <r>
    <n v="32"/>
    <s v="female"/>
    <n v="21.4"/>
    <n v="0"/>
    <s v="yes"/>
    <s v="south"/>
    <n v="1541.8808218005881"/>
    <n v="1813.9774374124572"/>
    <n v="1"/>
    <x v="0"/>
  </r>
  <r>
    <n v="22"/>
    <s v="male"/>
    <n v="23.7"/>
    <n v="1"/>
    <s v="no"/>
    <s v="midwest"/>
    <n v="1534.1027111838162"/>
    <n v="1804.8267190397846"/>
    <n v="0"/>
    <x v="1"/>
  </r>
  <r>
    <n v="18"/>
    <s v="male"/>
    <n v="22.6"/>
    <n v="0"/>
    <s v="yes"/>
    <s v="northeast"/>
    <n v="1998.4173124363081"/>
    <n v="2351.0791911015399"/>
    <n v="1"/>
    <x v="0"/>
  </r>
  <r>
    <n v="59"/>
    <s v="female"/>
    <n v="26.7"/>
    <n v="3"/>
    <s v="no"/>
    <s v="midwest"/>
    <n v="3341.0974070636184"/>
    <n v="4454.796542751491"/>
    <n v="0"/>
    <x v="2"/>
  </r>
  <r>
    <n v="44"/>
    <s v="female"/>
    <n v="27.5"/>
    <n v="1"/>
    <s v="no"/>
    <s v="south"/>
    <n v="4296.6906945975825"/>
    <n v="4092.0863758072232"/>
    <n v="0"/>
    <x v="3"/>
  </r>
  <r>
    <n v="33"/>
    <s v="male"/>
    <n v="24.6"/>
    <n v="2"/>
    <s v="no"/>
    <s v="midwest"/>
    <n v="1735.0251834684916"/>
    <n v="2041.2060981982263"/>
    <n v="0"/>
    <x v="1"/>
  </r>
  <r>
    <n v="24"/>
    <s v="female"/>
    <n v="23.4"/>
    <n v="0"/>
    <s v="no"/>
    <s v="southeast"/>
    <n v="1380.7275967208204"/>
    <n v="1624.3854079068483"/>
    <n v="0"/>
    <x v="1"/>
  </r>
  <r>
    <n v="43"/>
    <s v="female"/>
    <n v="26.9"/>
    <n v="0"/>
    <s v="yes"/>
    <s v="midwest"/>
    <n v="4053.2680383763895"/>
    <n v="3860.255274644182"/>
    <n v="1"/>
    <x v="0"/>
  </r>
  <r>
    <n v="45"/>
    <s v="male"/>
    <n v="22.9"/>
    <n v="0"/>
    <s v="yes"/>
    <s v="northeast"/>
    <n v="2601.9493778925053"/>
    <n v="3061.1169151676531"/>
    <n v="1"/>
    <x v="0"/>
  </r>
  <r>
    <n v="61"/>
    <s v="female"/>
    <n v="28.2"/>
    <n v="0"/>
    <s v="no"/>
    <s v="south"/>
    <n v="4432.5202478847996"/>
    <n v="4221.4478551283819"/>
    <n v="0"/>
    <x v="3"/>
  </r>
  <r>
    <n v="35"/>
    <s v="female"/>
    <n v="24.3"/>
    <n v="1"/>
    <s v="no"/>
    <s v="southeast"/>
    <n v="1813.5702782203157"/>
    <n v="2133.6120920239018"/>
    <n v="0"/>
    <x v="1"/>
  </r>
  <r>
    <n v="62"/>
    <s v="female"/>
    <n v="25"/>
    <n v="0"/>
    <s v="no"/>
    <s v="south"/>
    <n v="5100.6437635844986"/>
    <n v="4857.7559653185717"/>
    <n v="0"/>
    <x v="3"/>
  </r>
  <r>
    <n v="62"/>
    <s v="female"/>
    <n v="33.200000000000003"/>
    <n v="0"/>
    <s v="no"/>
    <s v="south"/>
    <n v="4228.9192311252118"/>
    <n v="4027.5421248811558"/>
    <n v="0"/>
    <x v="3"/>
  </r>
  <r>
    <n v="38"/>
    <s v="male"/>
    <n v="20.100000000000001"/>
    <n v="1"/>
    <s v="no"/>
    <s v="south"/>
    <n v="2269.1801010436116"/>
    <n v="2669.6236482866025"/>
    <n v="0"/>
    <x v="1"/>
  </r>
  <r>
    <n v="34"/>
    <s v="male"/>
    <n v="25.3"/>
    <n v="0"/>
    <s v="no"/>
    <s v="midwest"/>
    <n v="1696.2499266067309"/>
    <n v="1995.588148949096"/>
    <n v="0"/>
    <x v="1"/>
  </r>
  <r>
    <n v="43"/>
    <s v="male"/>
    <n v="23.2"/>
    <n v="0"/>
    <s v="no"/>
    <s v="south"/>
    <n v="2117.85922397895"/>
    <n v="2491.5990870340593"/>
    <n v="0"/>
    <x v="1"/>
  </r>
  <r>
    <n v="50"/>
    <s v="male"/>
    <n v="32.1"/>
    <n v="2"/>
    <s v="no"/>
    <s v="northeast"/>
    <n v="2245.3015663373535"/>
    <n v="2993.735421783138"/>
    <n v="0"/>
    <x v="2"/>
  </r>
  <r>
    <n v="19"/>
    <s v="female"/>
    <n v="24.4"/>
    <n v="2"/>
    <s v="no"/>
    <s v="south"/>
    <n v="1648.1959790580615"/>
    <n v="1939.0540930094849"/>
    <n v="0"/>
    <x v="1"/>
  </r>
  <r>
    <n v="57"/>
    <s v="female"/>
    <n v="20.100000000000001"/>
    <n v="1"/>
    <s v="no"/>
    <s v="south"/>
    <n v="4168.6197199582384"/>
    <n v="3970.1140190078481"/>
    <n v="0"/>
    <x v="3"/>
  </r>
  <r>
    <n v="62"/>
    <s v="female"/>
    <n v="39.200000000000003"/>
    <n v="0"/>
    <s v="no"/>
    <s v="southeast"/>
    <n v="5104.0085723852189"/>
    <n v="4860.9605451287807"/>
    <n v="0"/>
    <x v="3"/>
  </r>
  <r>
    <n v="41"/>
    <s v="male"/>
    <n v="34.200000000000003"/>
    <n v="1"/>
    <s v="no"/>
    <s v="southeast"/>
    <n v="5853.7689729516287"/>
    <n v="5575.0180694777437"/>
    <n v="0"/>
    <x v="3"/>
  </r>
  <r>
    <n v="26"/>
    <s v="male"/>
    <n v="24.8"/>
    <n v="1"/>
    <s v="no"/>
    <s v="southeast"/>
    <n v="2159.4985021787834"/>
    <n v="2540.5864731515107"/>
    <n v="0"/>
    <x v="1"/>
  </r>
  <r>
    <n v="39"/>
    <s v="female"/>
    <n v="32.5"/>
    <n v="1"/>
    <s v="no"/>
    <s v="south"/>
    <n v="4738.7862707587701"/>
    <n v="4513.1297816750211"/>
    <n v="0"/>
    <x v="3"/>
  </r>
  <r>
    <n v="46"/>
    <s v="male"/>
    <n v="25.8"/>
    <n v="5"/>
    <s v="no"/>
    <s v="south"/>
    <n v="2908.8249599751643"/>
    <n v="3878.4332799668859"/>
    <n v="0"/>
    <x v="2"/>
  </r>
  <r>
    <n v="45"/>
    <s v="female"/>
    <n v="35.299999999999997"/>
    <n v="0"/>
    <s v="no"/>
    <s v="south"/>
    <n v="4634.197722805704"/>
    <n v="4413.5216407673397"/>
    <n v="0"/>
    <x v="3"/>
  </r>
  <r>
    <n v="32"/>
    <s v="male"/>
    <n v="37.200000000000003"/>
    <n v="2"/>
    <s v="no"/>
    <s v="southeast"/>
    <n v="1195.1144418859617"/>
    <n v="1593.4859225146156"/>
    <n v="0"/>
    <x v="2"/>
  </r>
  <r>
    <n v="59"/>
    <s v="female"/>
    <n v="27.5"/>
    <n v="0"/>
    <s v="no"/>
    <s v="south"/>
    <n v="3748.0907580991352"/>
    <n v="3569.6102458087016"/>
    <n v="0"/>
    <x v="3"/>
  </r>
  <r>
    <n v="44"/>
    <s v="male"/>
    <n v="29.7"/>
    <n v="2"/>
    <s v="no"/>
    <s v="northeast"/>
    <n v="1991.7343408332922"/>
    <n v="2655.6457877777229"/>
    <n v="0"/>
    <x v="2"/>
  </r>
  <r>
    <n v="39"/>
    <s v="female"/>
    <n v="24.2"/>
    <n v="5"/>
    <s v="no"/>
    <s v="midwest"/>
    <n v="2045.1336893124837"/>
    <n v="2726.8449190833117"/>
    <n v="0"/>
    <x v="2"/>
  </r>
  <r>
    <n v="18"/>
    <s v="male"/>
    <n v="24.1"/>
    <n v="2"/>
    <s v="no"/>
    <s v="southeast"/>
    <n v="1993.5286535701073"/>
    <n v="2345.327827729539"/>
    <n v="0"/>
    <x v="1"/>
  </r>
  <r>
    <n v="53"/>
    <s v="male"/>
    <n v="29.5"/>
    <n v="0"/>
    <s v="no"/>
    <s v="southeast"/>
    <n v="4305.9896667013745"/>
    <n v="4100.9425397155965"/>
    <n v="0"/>
    <x v="3"/>
  </r>
  <r>
    <n v="18"/>
    <s v="male"/>
    <n v="21.9"/>
    <n v="0"/>
    <s v="no"/>
    <s v="southeast"/>
    <n v="1726.6036829724653"/>
    <n v="2031.2984505558422"/>
    <n v="0"/>
    <x v="1"/>
  </r>
  <r>
    <n v="50"/>
    <s v="female"/>
    <n v="46.1"/>
    <n v="1"/>
    <s v="no"/>
    <s v="southeast"/>
    <n v="4766.0691013072192"/>
    <n v="4539.1134298164015"/>
    <n v="0"/>
    <x v="3"/>
  </r>
  <r>
    <n v="18"/>
    <s v="female"/>
    <n v="20.6"/>
    <n v="0"/>
    <s v="no"/>
    <s v="northeast"/>
    <n v="1771.6485956756085"/>
    <n v="2084.2924655007164"/>
    <n v="0"/>
    <x v="1"/>
  </r>
  <r>
    <n v="19"/>
    <s v="male"/>
    <n v="25.9"/>
    <n v="0"/>
    <s v="no"/>
    <s v="midwest"/>
    <n v="2420.9035345758966"/>
    <n v="2848.1218053834082"/>
    <n v="0"/>
    <x v="1"/>
  </r>
  <r>
    <n v="62"/>
    <s v="male"/>
    <n v="39.9"/>
    <n v="0"/>
    <s v="no"/>
    <s v="southeast"/>
    <n v="5641.0042762441126"/>
    <n v="5372.3850249943953"/>
    <n v="0"/>
    <x v="3"/>
  </r>
  <r>
    <n v="56"/>
    <s v="female"/>
    <n v="35.799999999999997"/>
    <n v="1"/>
    <s v="no"/>
    <s v="south"/>
    <n v="5114.507183024185"/>
    <n v="4870.9592219277965"/>
    <n v="0"/>
    <x v="3"/>
  </r>
  <r>
    <n v="42"/>
    <s v="male"/>
    <n v="35.799999999999997"/>
    <n v="2"/>
    <s v="no"/>
    <s v="south"/>
    <n v="1482.1605114776703"/>
    <n v="1976.2140153035602"/>
    <n v="0"/>
    <x v="2"/>
  </r>
  <r>
    <n v="37"/>
    <s v="male"/>
    <n v="23.2"/>
    <n v="1"/>
    <s v="yes"/>
    <s v="northeast"/>
    <n v="2072.9486054546269"/>
    <n v="2438.7630652407383"/>
    <n v="1"/>
    <x v="0"/>
  </r>
  <r>
    <n v="42"/>
    <s v="male"/>
    <n v="31.3"/>
    <n v="0"/>
    <s v="no"/>
    <s v="midwest"/>
    <n v="5129.0195165136211"/>
    <n v="4884.7804919177361"/>
    <n v="0"/>
    <x v="3"/>
  </r>
  <r>
    <n v="25"/>
    <s v="male"/>
    <n v="29.7"/>
    <n v="3"/>
    <s v="yes"/>
    <s v="south"/>
    <n v="1379.3314107734902"/>
    <n v="1839.108547697987"/>
    <n v="1"/>
    <x v="0"/>
  </r>
  <r>
    <n v="57"/>
    <s v="male"/>
    <n v="18.3"/>
    <n v="0"/>
    <s v="no"/>
    <s v="northeast"/>
    <n v="4455.784174969016"/>
    <n v="4243.6039761609682"/>
    <n v="0"/>
    <x v="3"/>
  </r>
  <r>
    <n v="51"/>
    <s v="male"/>
    <n v="42.9"/>
    <n v="2"/>
    <s v="yes"/>
    <s v="southeast"/>
    <n v="1486.3025655177278"/>
    <n v="1981.7367540236371"/>
    <n v="1"/>
    <x v="0"/>
  </r>
  <r>
    <n v="30"/>
    <s v="female"/>
    <n v="22.9"/>
    <n v="1"/>
    <s v="no"/>
    <s v="midwest"/>
    <n v="1887.3664341826695"/>
    <n v="2220.4310990384356"/>
    <n v="0"/>
    <x v="1"/>
  </r>
  <r>
    <n v="44"/>
    <s v="male"/>
    <n v="30.2"/>
    <n v="2"/>
    <s v="yes"/>
    <s v="south"/>
    <n v="2614.4294681652291"/>
    <n v="3485.9059575536389"/>
    <n v="1"/>
    <x v="0"/>
  </r>
  <r>
    <n v="34"/>
    <s v="male"/>
    <n v="21"/>
    <n v="1"/>
    <s v="yes"/>
    <s v="midwest"/>
    <n v="1969.7855385426235"/>
    <n v="2317.3947512266168"/>
    <n v="1"/>
    <x v="0"/>
  </r>
  <r>
    <n v="31"/>
    <s v="male"/>
    <n v="24.5"/>
    <n v="1"/>
    <s v="no"/>
    <s v="southeast"/>
    <n v="1389.7174870067754"/>
    <n v="1634.9617494197364"/>
    <n v="0"/>
    <x v="1"/>
  </r>
  <r>
    <n v="54"/>
    <s v="male"/>
    <n v="30.8"/>
    <n v="1"/>
    <s v="yes"/>
    <s v="southeast"/>
    <n v="4704.9505413290435"/>
    <n v="4480.9052774562333"/>
    <n v="1"/>
    <x v="0"/>
  </r>
  <r>
    <n v="24"/>
    <s v="male"/>
    <n v="21.8"/>
    <n v="1"/>
    <s v="no"/>
    <s v="midwest"/>
    <n v="1496.7532740311417"/>
    <n v="1760.8862047425202"/>
    <n v="0"/>
    <x v="1"/>
  </r>
  <r>
    <n v="43"/>
    <s v="male"/>
    <n v="35"/>
    <n v="1"/>
    <s v="yes"/>
    <s v="northeast"/>
    <n v="4552.5590622095615"/>
    <n v="4335.7705354376794"/>
    <n v="1"/>
    <x v="0"/>
  </r>
  <r>
    <n v="48"/>
    <s v="male"/>
    <n v="36.700000000000003"/>
    <n v="1"/>
    <s v="no"/>
    <s v="midwest"/>
    <n v="5582.7676685535962"/>
    <n v="5316.9215890986643"/>
    <n v="0"/>
    <x v="3"/>
  </r>
  <r>
    <n v="19"/>
    <s v="female"/>
    <n v="22.2"/>
    <n v="1"/>
    <s v="no"/>
    <s v="midwest"/>
    <n v="1804.5393621372"/>
    <n v="2122.9874848672948"/>
    <n v="0"/>
    <x v="1"/>
  </r>
  <r>
    <n v="29"/>
    <s v="female"/>
    <n v="24.2"/>
    <n v="0"/>
    <s v="no"/>
    <s v="south"/>
    <n v="1351.6807634551587"/>
    <n v="1590.212662888423"/>
    <n v="0"/>
    <x v="1"/>
  </r>
  <r>
    <n v="63"/>
    <s v="female"/>
    <n v="35.200000000000003"/>
    <n v="1"/>
    <s v="no"/>
    <s v="southeast"/>
    <n v="3665.9652278932435"/>
    <n v="3491.3954551364241"/>
    <n v="0"/>
    <x v="3"/>
  </r>
  <r>
    <n v="46"/>
    <s v="male"/>
    <n v="24.8"/>
    <n v="3"/>
    <s v="no"/>
    <s v="northeast"/>
    <n v="1964.3563993243633"/>
    <n v="2619.1418657658178"/>
    <n v="0"/>
    <x v="2"/>
  </r>
  <r>
    <n v="52"/>
    <s v="male"/>
    <n v="36.799999999999997"/>
    <n v="2"/>
    <s v="no"/>
    <s v="midwest"/>
    <n v="2875.5592623193897"/>
    <n v="3834.0790164258528"/>
    <n v="0"/>
    <x v="2"/>
  </r>
  <r>
    <n v="35"/>
    <s v="male"/>
    <n v="22.8"/>
    <n v="1"/>
    <s v="no"/>
    <s v="south"/>
    <n v="2352.0785190737251"/>
    <n v="2767.1511989102655"/>
    <n v="0"/>
    <x v="1"/>
  </r>
  <r>
    <n v="51"/>
    <s v="male"/>
    <n v="24.8"/>
    <n v="2"/>
    <s v="yes"/>
    <s v="midwest"/>
    <n v="1132.3082351699097"/>
    <n v="1509.7443135598796"/>
    <n v="1"/>
    <x v="0"/>
  </r>
  <r>
    <n v="44"/>
    <s v="male"/>
    <n v="25.4"/>
    <n v="1"/>
    <s v="no"/>
    <s v="midwest"/>
    <n v="5454.4138247744213"/>
    <n v="5194.6798331184973"/>
    <n v="0"/>
    <x v="3"/>
  </r>
  <r>
    <n v="21"/>
    <s v="male"/>
    <n v="20.9"/>
    <n v="2"/>
    <s v="no"/>
    <s v="northeast"/>
    <n v="1403.0816527221398"/>
    <n v="1650.6842973201651"/>
    <n v="0"/>
    <x v="1"/>
  </r>
  <r>
    <n v="39"/>
    <s v="female"/>
    <n v="34.299999999999997"/>
    <n v="5"/>
    <s v="no"/>
    <s v="southeast"/>
    <n v="2547.6084435938524"/>
    <n v="3396.8112581251366"/>
    <n v="0"/>
    <x v="2"/>
  </r>
  <r>
    <n v="50"/>
    <s v="female"/>
    <n v="28.2"/>
    <n v="3"/>
    <s v="no"/>
    <s v="southeast"/>
    <n v="1467.3926728822039"/>
    <n v="1956.5235638429385"/>
    <n v="0"/>
    <x v="2"/>
  </r>
  <r>
    <n v="34"/>
    <s v="female"/>
    <n v="24"/>
    <n v="0"/>
    <s v="no"/>
    <s v="northeast"/>
    <n v="1906.9283398824975"/>
    <n v="2243.4451057441156"/>
    <n v="0"/>
    <x v="1"/>
  </r>
  <r>
    <n v="22"/>
    <s v="female"/>
    <n v="24.3"/>
    <n v="0"/>
    <s v="no"/>
    <s v="midwest"/>
    <n v="1260.7220818981373"/>
    <n v="1483.202449291927"/>
    <n v="0"/>
    <x v="1"/>
  </r>
  <r>
    <n v="19"/>
    <s v="female"/>
    <n v="22.6"/>
    <n v="0"/>
    <s v="no"/>
    <s v="south"/>
    <n v="1931.8381741817896"/>
    <n v="2272.7507931550472"/>
    <n v="0"/>
    <x v="1"/>
  </r>
  <r>
    <n v="26"/>
    <s v="male"/>
    <n v="23.1"/>
    <n v="0"/>
    <s v="no"/>
    <s v="southeast"/>
    <n v="2189.6537841733875"/>
    <n v="2576.0632754981034"/>
    <n v="0"/>
    <x v="1"/>
  </r>
  <r>
    <n v="29"/>
    <s v="male"/>
    <n v="22.4"/>
    <n v="0"/>
    <s v="yes"/>
    <s v="northeast"/>
    <n v="1220.5400540318451"/>
    <n v="1435.9294753315833"/>
    <n v="1"/>
    <x v="0"/>
  </r>
  <r>
    <n v="48"/>
    <s v="male"/>
    <n v="40.200000000000003"/>
    <n v="0"/>
    <s v="no"/>
    <s v="southeast"/>
    <n v="5966.8980066243748"/>
    <n v="5682.7600063089294"/>
    <n v="0"/>
    <x v="3"/>
  </r>
  <r>
    <n v="26"/>
    <s v="male"/>
    <n v="21.6"/>
    <n v="1"/>
    <s v="no"/>
    <s v="southeast"/>
    <n v="1544.6230516973928"/>
    <n v="1817.2035902322277"/>
    <n v="0"/>
    <x v="1"/>
  </r>
  <r>
    <n v="45"/>
    <s v="female"/>
    <n v="40"/>
    <n v="3"/>
    <s v="no"/>
    <s v="northeast"/>
    <n v="3207.2665926441268"/>
    <n v="4276.3554568588361"/>
    <n v="0"/>
    <x v="2"/>
  </r>
  <r>
    <n v="36"/>
    <s v="female"/>
    <n v="25.9"/>
    <n v="0"/>
    <s v="no"/>
    <s v="southeast"/>
    <n v="1892.9240781170895"/>
    <n v="2226.9695036671646"/>
    <n v="0"/>
    <x v="1"/>
  </r>
  <r>
    <n v="54"/>
    <s v="male"/>
    <n v="25.5"/>
    <n v="1"/>
    <s v="no"/>
    <s v="northeast"/>
    <n v="4333.4290508135618"/>
    <n v="4127.0752864891083"/>
    <n v="0"/>
    <x v="3"/>
  </r>
  <r>
    <n v="34"/>
    <s v="male"/>
    <n v="24.7"/>
    <n v="0"/>
    <s v="no"/>
    <s v="northeast"/>
    <n v="1949.0969687850834"/>
    <n v="2293.0552573942164"/>
    <n v="0"/>
    <x v="1"/>
  </r>
  <r>
    <n v="31"/>
    <s v="male"/>
    <n v="25.9"/>
    <n v="3"/>
    <s v="yes"/>
    <s v="south"/>
    <n v="1935.5434393562218"/>
    <n v="2580.7245858082956"/>
    <n v="1"/>
    <x v="0"/>
  </r>
  <r>
    <n v="27"/>
    <s v="female"/>
    <n v="20.9"/>
    <n v="1"/>
    <s v="no"/>
    <s v="northeast"/>
    <n v="1544.1241027969265"/>
    <n v="1816.6165915257968"/>
    <n v="0"/>
    <x v="1"/>
  </r>
  <r>
    <n v="20"/>
    <s v="male"/>
    <n v="30.1"/>
    <n v="5"/>
    <s v="no"/>
    <s v="northeast"/>
    <n v="2711.1535046164736"/>
    <n v="3614.8713394886313"/>
    <n v="0"/>
    <x v="2"/>
  </r>
  <r>
    <n v="44"/>
    <s v="female"/>
    <n v="25.8"/>
    <n v="1"/>
    <s v="no"/>
    <s v="south"/>
    <n v="4714.7495914632091"/>
    <n v="4490.2377061554389"/>
    <n v="0"/>
    <x v="3"/>
  </r>
  <r>
    <n v="43"/>
    <s v="male"/>
    <n v="30.1"/>
    <n v="3"/>
    <s v="no"/>
    <s v="midwest"/>
    <n v="1541.8078776996376"/>
    <n v="2055.7438369328502"/>
    <n v="0"/>
    <x v="2"/>
  </r>
  <r>
    <n v="45"/>
    <s v="female"/>
    <n v="27.6"/>
    <n v="1"/>
    <s v="no"/>
    <s v="midwest"/>
    <n v="4746.4517061873557"/>
    <n v="4520.4301963689113"/>
    <n v="0"/>
    <x v="3"/>
  </r>
  <r>
    <n v="34"/>
    <s v="male"/>
    <n v="23.5"/>
    <n v="0"/>
    <s v="no"/>
    <s v="northeast"/>
    <n v="2782.6500840160506"/>
    <n v="3273.705981195355"/>
    <n v="0"/>
    <x v="1"/>
  </r>
  <r>
    <n v="24"/>
    <s v="female"/>
    <n v="22.3"/>
    <n v="0"/>
    <s v="yes"/>
    <s v="northeast"/>
    <n v="1912.9603283627137"/>
    <n v="2250.5415627796642"/>
    <n v="1"/>
    <x v="0"/>
  </r>
  <r>
    <n v="26"/>
    <s v="female"/>
    <n v="25"/>
    <n v="1"/>
    <s v="no"/>
    <s v="south"/>
    <n v="1580.3770717384127"/>
    <n v="1859.267143221663"/>
    <n v="0"/>
    <x v="1"/>
  </r>
  <r>
    <n v="38"/>
    <s v="female"/>
    <n v="27.8"/>
    <n v="2"/>
    <s v="no"/>
    <s v="northeast"/>
    <n v="2683.6486679685163"/>
    <n v="3578.1982239580216"/>
    <n v="0"/>
    <x v="2"/>
  </r>
  <r>
    <n v="50"/>
    <s v="female"/>
    <n v="31.6"/>
    <n v="2"/>
    <s v="no"/>
    <s v="south"/>
    <n v="3308.1045286444987"/>
    <n v="4410.8060381926653"/>
    <n v="0"/>
    <x v="2"/>
  </r>
  <r>
    <n v="38"/>
    <s v="male"/>
    <n v="24.1"/>
    <n v="1"/>
    <s v="no"/>
    <s v="southeast"/>
    <n v="2308.0281587687564"/>
    <n v="2715.3272456103027"/>
    <n v="0"/>
    <x v="1"/>
  </r>
  <r>
    <n v="27"/>
    <s v="female"/>
    <n v="20"/>
    <n v="3"/>
    <s v="yes"/>
    <s v="midwest"/>
    <n v="1989.0184627626018"/>
    <n v="2340.021720897179"/>
    <n v="1"/>
    <x v="0"/>
  </r>
  <r>
    <n v="39"/>
    <s v="female"/>
    <n v="23.3"/>
    <n v="3"/>
    <s v="no"/>
    <s v="northeast"/>
    <n v="1657.1696639504903"/>
    <n v="2209.5595519339872"/>
    <n v="0"/>
    <x v="2"/>
  </r>
  <r>
    <n v="39"/>
    <s v="female"/>
    <n v="34.1"/>
    <n v="3"/>
    <s v="no"/>
    <s v="south"/>
    <n v="1181.0489969788791"/>
    <n v="1574.7319959718388"/>
    <n v="0"/>
    <x v="2"/>
  </r>
  <r>
    <n v="63"/>
    <s v="female"/>
    <n v="36.9"/>
    <n v="0"/>
    <s v="no"/>
    <s v="southeast"/>
    <n v="5186.0621042849116"/>
    <n v="4939.1067659856317"/>
    <n v="0"/>
    <x v="3"/>
  </r>
  <r>
    <n v="33"/>
    <s v="female"/>
    <n v="36.299999999999997"/>
    <n v="3"/>
    <s v="no"/>
    <s v="northeast"/>
    <n v="3401.3227753582446"/>
    <n v="4535.0970338109928"/>
    <n v="0"/>
    <x v="2"/>
  </r>
  <r>
    <n v="36"/>
    <s v="female"/>
    <n v="23.5"/>
    <n v="0"/>
    <s v="no"/>
    <s v="midwest"/>
    <n v="2333.9603325552252"/>
    <n v="2745.8356853590894"/>
    <n v="0"/>
    <x v="1"/>
  </r>
  <r>
    <n v="30"/>
    <s v="male"/>
    <n v="23"/>
    <n v="2"/>
    <s v="yes"/>
    <s v="midwest"/>
    <n v="2098.8033475888633"/>
    <n v="2469.1804089280754"/>
    <n v="1"/>
    <x v="0"/>
  </r>
  <r>
    <n v="24"/>
    <s v="male"/>
    <n v="20.5"/>
    <n v="0"/>
    <s v="yes"/>
    <s v="south"/>
    <n v="1268.4097931246001"/>
    <n v="1492.246815440707"/>
    <n v="1"/>
    <x v="0"/>
  </r>
  <r>
    <n v="24"/>
    <s v="male"/>
    <n v="25.5"/>
    <n v="0"/>
    <s v="no"/>
    <s v="south"/>
    <n v="1695.6546636566163"/>
    <n v="1994.8878395960201"/>
    <n v="0"/>
    <x v="1"/>
  </r>
  <r>
    <n v="48"/>
    <s v="male"/>
    <n v="29.6"/>
    <n v="0"/>
    <s v="no"/>
    <s v="south"/>
    <n v="5320.3845464297692"/>
    <n v="5067.0329013616865"/>
    <n v="0"/>
    <x v="3"/>
  </r>
  <r>
    <n v="47"/>
    <s v="male"/>
    <n v="19.2"/>
    <n v="1"/>
    <s v="no"/>
    <s v="northeast"/>
    <n v="1935.3937115740109"/>
    <n v="2276.9337783223668"/>
    <n v="0"/>
    <x v="1"/>
  </r>
  <r>
    <n v="29"/>
    <s v="male"/>
    <n v="31.7"/>
    <n v="2"/>
    <s v="no"/>
    <s v="midwest"/>
    <n v="2314.2275128406818"/>
    <n v="3085.6366837875757"/>
    <n v="0"/>
    <x v="2"/>
  </r>
  <r>
    <n v="28"/>
    <s v="male"/>
    <n v="29.3"/>
    <n v="2"/>
    <s v="no"/>
    <s v="northeast"/>
    <n v="1421.0790174736285"/>
    <n v="1894.7720232981712"/>
    <n v="0"/>
    <x v="2"/>
  </r>
  <r>
    <n v="47"/>
    <s v="male"/>
    <n v="28.2"/>
    <n v="3"/>
    <s v="yes"/>
    <s v="midwest"/>
    <n v="2664.0224870672819"/>
    <n v="3552.0299827563758"/>
    <n v="1"/>
    <x v="0"/>
  </r>
  <r>
    <n v="25"/>
    <s v="male"/>
    <n v="23.7"/>
    <n v="2"/>
    <s v="no"/>
    <s v="northeast"/>
    <n v="1746.54918228015"/>
    <n v="2054.7637438590009"/>
    <n v="0"/>
    <x v="1"/>
  </r>
  <r>
    <n v="51"/>
    <s v="male"/>
    <n v="27.7"/>
    <n v="1"/>
    <s v="no"/>
    <s v="northeast"/>
    <n v="3890.7884461142758"/>
    <n v="3705.5128058231217"/>
    <n v="0"/>
    <x v="3"/>
  </r>
  <r>
    <n v="48"/>
    <s v="female"/>
    <n v="22.8"/>
    <n v="0"/>
    <s v="no"/>
    <s v="south"/>
    <n v="5207.5110378288264"/>
    <n v="4959.5343217417403"/>
    <n v="0"/>
    <x v="3"/>
  </r>
  <r>
    <n v="43"/>
    <s v="male"/>
    <n v="20.100000000000001"/>
    <n v="2"/>
    <s v="yes"/>
    <s v="southeast"/>
    <n v="2224.768234076374"/>
    <n v="2617.3743930310288"/>
    <n v="1"/>
    <x v="0"/>
  </r>
  <r>
    <n v="61"/>
    <s v="female"/>
    <n v="33.299999999999997"/>
    <n v="4"/>
    <s v="no"/>
    <s v="southeast"/>
    <n v="2273.5912449984535"/>
    <n v="3031.454993331271"/>
    <n v="0"/>
    <x v="2"/>
  </r>
  <r>
    <n v="48"/>
    <s v="male"/>
    <n v="32.299999999999997"/>
    <n v="1"/>
    <s v="no"/>
    <s v="midwest"/>
    <n v="5126.5167784026644"/>
    <n v="4882.3969318120626"/>
    <n v="0"/>
    <x v="3"/>
  </r>
  <r>
    <n v="38"/>
    <s v="female"/>
    <n v="25.8"/>
    <n v="0"/>
    <s v="no"/>
    <s v="south"/>
    <n v="2157.869121490523"/>
    <n v="2538.6695546947331"/>
    <n v="0"/>
    <x v="1"/>
  </r>
  <r>
    <n v="59"/>
    <s v="male"/>
    <n v="25.5"/>
    <n v="0"/>
    <s v="no"/>
    <s v="midwest"/>
    <n v="5018.551146310042"/>
    <n v="4779.572520295279"/>
    <n v="0"/>
    <x v="3"/>
  </r>
  <r>
    <n v="19"/>
    <s v="female"/>
    <n v="24.5"/>
    <n v="1"/>
    <s v="no"/>
    <s v="midwest"/>
    <n v="1978.7931035883817"/>
    <n v="2327.9918865745676"/>
    <n v="0"/>
    <x v="1"/>
  </r>
  <r>
    <n v="26"/>
    <s v="female"/>
    <n v="34.200000000000003"/>
    <n v="2"/>
    <s v="no"/>
    <s v="south"/>
    <n v="1427.382058173665"/>
    <n v="1903.1760775648868"/>
    <n v="0"/>
    <x v="2"/>
  </r>
  <r>
    <n v="54"/>
    <s v="female"/>
    <n v="35.799999999999997"/>
    <n v="3"/>
    <s v="no"/>
    <s v="midwest"/>
    <n v="1758.7296583830448"/>
    <n v="2344.9728778440599"/>
    <n v="0"/>
    <x v="2"/>
  </r>
  <r>
    <n v="21"/>
    <s v="female"/>
    <n v="25.8"/>
    <n v="2"/>
    <s v="no"/>
    <s v="midwest"/>
    <n v="1908.962839637974"/>
    <n v="2245.8386348682056"/>
    <n v="0"/>
    <x v="1"/>
  </r>
  <r>
    <n v="51"/>
    <s v="male"/>
    <n v="37"/>
    <n v="0"/>
    <s v="no"/>
    <s v="south"/>
    <n v="5159.5192494242765"/>
    <n v="4913.8278565945511"/>
    <n v="0"/>
    <x v="3"/>
  </r>
  <r>
    <n v="22"/>
    <s v="female"/>
    <n v="31"/>
    <n v="3"/>
    <s v="yes"/>
    <s v="southeast"/>
    <n v="841.87453898069703"/>
    <n v="1122.499385307596"/>
    <n v="1"/>
    <x v="0"/>
  </r>
  <r>
    <n v="47"/>
    <s v="male"/>
    <n v="36.1"/>
    <n v="1"/>
    <s v="yes"/>
    <s v="southeast"/>
    <n v="3559.5862017813324"/>
    <n v="3390.0820969346041"/>
    <n v="1"/>
    <x v="0"/>
  </r>
  <r>
    <n v="18"/>
    <s v="male"/>
    <n v="21.8"/>
    <n v="1"/>
    <s v="no"/>
    <s v="southeast"/>
    <n v="1531.6012863899214"/>
    <n v="1801.8838663410847"/>
    <n v="0"/>
    <x v="1"/>
  </r>
  <r>
    <n v="47"/>
    <s v="female"/>
    <n v="45.3"/>
    <n v="1"/>
    <s v="no"/>
    <s v="southeast"/>
    <n v="5543.7124904623997"/>
    <n v="5279.7261813927626"/>
    <n v="0"/>
    <x v="3"/>
  </r>
  <r>
    <n v="21"/>
    <s v="female"/>
    <n v="22.5"/>
    <n v="0"/>
    <s v="no"/>
    <s v="south"/>
    <n v="1388.7435980028549"/>
    <n v="1633.8159976504182"/>
    <n v="0"/>
    <x v="1"/>
  </r>
  <r>
    <n v="19"/>
    <s v="male"/>
    <n v="20.5"/>
    <n v="1"/>
    <s v="yes"/>
    <s v="midwest"/>
    <n v="1700.7151958853658"/>
    <n v="2000.8414069239604"/>
    <n v="1"/>
    <x v="0"/>
  </r>
  <r>
    <n v="23"/>
    <s v="male"/>
    <n v="25.8"/>
    <n v="0"/>
    <s v="no"/>
    <s v="midwest"/>
    <n v="1515.0842381574853"/>
    <n v="1782.4520448911601"/>
    <n v="0"/>
    <x v="1"/>
  </r>
  <r>
    <n v="54"/>
    <s v="male"/>
    <n v="31.6"/>
    <n v="0"/>
    <s v="no"/>
    <s v="south"/>
    <n v="4093.3640964526735"/>
    <n v="3898.4419966215951"/>
    <n v="0"/>
    <x v="3"/>
  </r>
  <r>
    <n v="37"/>
    <s v="female"/>
    <n v="17.3"/>
    <n v="2"/>
    <s v="no"/>
    <s v="northeast"/>
    <n v="2211.7272888231992"/>
    <n v="2602.0321044978818"/>
    <n v="0"/>
    <x v="1"/>
  </r>
  <r>
    <n v="46"/>
    <s v="female"/>
    <n v="23.7"/>
    <n v="1"/>
    <s v="yes"/>
    <s v="midwest"/>
    <n v="1960.5165556743063"/>
    <n v="2306.4900654991848"/>
    <n v="1"/>
    <x v="0"/>
  </r>
  <r>
    <n v="55"/>
    <s v="female"/>
    <n v="35.200000000000003"/>
    <n v="0"/>
    <s v="yes"/>
    <s v="southeast"/>
    <n v="5030.0204642134659"/>
    <n v="4790.4956802033021"/>
    <n v="1"/>
    <x v="0"/>
  </r>
  <r>
    <n v="30"/>
    <s v="female"/>
    <n v="21.8"/>
    <n v="0"/>
    <s v="no"/>
    <s v="northeast"/>
    <n v="2036.3672938737784"/>
    <n v="2395.726228086799"/>
    <n v="0"/>
    <x v="1"/>
  </r>
  <r>
    <n v="18"/>
    <s v="male"/>
    <n v="25.9"/>
    <n v="0"/>
    <s v="yes"/>
    <s v="northeast"/>
    <n v="2478.1722215728996"/>
    <n v="2915.4967312622357"/>
    <n v="1"/>
    <x v="0"/>
  </r>
  <r>
    <n v="61"/>
    <s v="male"/>
    <n v="38.4"/>
    <n v="0"/>
    <s v="no"/>
    <s v="midwest"/>
    <n v="4748.1390443990495"/>
    <n v="4522.0371851419532"/>
    <n v="0"/>
    <x v="3"/>
  </r>
  <r>
    <n v="54"/>
    <s v="female"/>
    <n v="23"/>
    <n v="3"/>
    <s v="no"/>
    <s v="south"/>
    <n v="1457.5881306508979"/>
    <n v="1943.4508408678639"/>
    <n v="0"/>
    <x v="2"/>
  </r>
  <r>
    <n v="22"/>
    <s v="male"/>
    <n v="37.1"/>
    <n v="2"/>
    <s v="yes"/>
    <s v="southeast"/>
    <n v="1741.7797794669095"/>
    <n v="2322.3730392892126"/>
    <n v="1"/>
    <x v="0"/>
  </r>
  <r>
    <n v="45"/>
    <s v="female"/>
    <n v="30.5"/>
    <n v="1"/>
    <s v="yes"/>
    <s v="midwest"/>
    <n v="4036.0757557225165"/>
    <n v="3843.8816721166841"/>
    <n v="1"/>
    <x v="0"/>
  </r>
  <r>
    <n v="22"/>
    <s v="male"/>
    <n v="23.1"/>
    <n v="0"/>
    <s v="no"/>
    <s v="northeast"/>
    <n v="1683.8623423984259"/>
    <n v="1981.0145204687371"/>
    <n v="0"/>
    <x v="1"/>
  </r>
  <r>
    <n v="19"/>
    <s v="male"/>
    <n v="21.4"/>
    <n v="2"/>
    <s v="no"/>
    <s v="midwest"/>
    <n v="1754.8784640103825"/>
    <n v="2064.5628988357448"/>
    <n v="0"/>
    <x v="1"/>
  </r>
  <r>
    <n v="35"/>
    <s v="female"/>
    <n v="24"/>
    <n v="0"/>
    <s v="yes"/>
    <s v="midwest"/>
    <n v="1598.2892007261344"/>
    <n v="1880.3402361483943"/>
    <n v="1"/>
    <x v="0"/>
  </r>
  <r>
    <n v="18"/>
    <s v="male"/>
    <n v="24.8"/>
    <n v="0"/>
    <s v="no"/>
    <s v="northeast"/>
    <n v="1457.3416037085512"/>
    <n v="1714.5195337747671"/>
    <n v="0"/>
    <x v="1"/>
  </r>
  <r>
    <n v="20"/>
    <s v="male"/>
    <n v="21.9"/>
    <n v="0"/>
    <s v="yes"/>
    <s v="northeast"/>
    <n v="1636.6726650662445"/>
    <n v="1925.4972530191119"/>
    <n v="1"/>
    <x v="0"/>
  </r>
  <r>
    <n v="28"/>
    <s v="female"/>
    <n v="25.9"/>
    <n v="0"/>
    <s v="no"/>
    <s v="south"/>
    <n v="1760.3325038563974"/>
    <n v="2070.979416301645"/>
    <n v="0"/>
    <x v="1"/>
  </r>
  <r>
    <n v="55"/>
    <s v="male"/>
    <n v="35.200000000000003"/>
    <n v="1"/>
    <s v="no"/>
    <s v="northeast"/>
    <n v="5468.5587565672231"/>
    <n v="5208.1511967306906"/>
    <n v="0"/>
    <x v="3"/>
  </r>
  <r>
    <n v="43"/>
    <s v="female"/>
    <n v="24.7"/>
    <n v="2"/>
    <s v="yes"/>
    <s v="midwest"/>
    <n v="1489.3803363185136"/>
    <n v="1985.8404484246848"/>
    <n v="1"/>
    <x v="0"/>
  </r>
  <r>
    <n v="43"/>
    <s v="female"/>
    <n v="25.1"/>
    <n v="0"/>
    <s v="no"/>
    <s v="northeast"/>
    <n v="2103.8070158121673"/>
    <n v="2475.0670774260798"/>
    <n v="0"/>
    <x v="3"/>
  </r>
  <r>
    <n v="22"/>
    <s v="male"/>
    <n v="23.4"/>
    <n v="1"/>
    <s v="yes"/>
    <s v="southeast"/>
    <n v="1403.8974556700741"/>
    <n v="1651.6440654942055"/>
    <n v="1"/>
    <x v="0"/>
  </r>
  <r>
    <n v="25"/>
    <s v="female"/>
    <n v="24.2"/>
    <n v="1"/>
    <s v="no"/>
    <s v="midwest"/>
    <n v="1583.8321306523108"/>
    <n v="1863.3319184144841"/>
    <n v="0"/>
    <x v="1"/>
  </r>
  <r>
    <n v="49"/>
    <s v="male"/>
    <n v="30.9"/>
    <n v="0"/>
    <s v="yes"/>
    <s v="south"/>
    <n v="4670.6446827084419"/>
    <n v="4448.2330311508986"/>
    <n v="1"/>
    <x v="0"/>
  </r>
  <r>
    <n v="44"/>
    <s v="female"/>
    <n v="37"/>
    <n v="1"/>
    <s v="no"/>
    <s v="midwest"/>
    <n v="6035.3364342030563"/>
    <n v="5747.9394611457692"/>
    <n v="0"/>
    <x v="3"/>
  </r>
  <r>
    <n v="64"/>
    <s v="male"/>
    <n v="26.4"/>
    <n v="0"/>
    <s v="no"/>
    <s v="northeast"/>
    <n v="4227.2754731988944"/>
    <n v="4025.9766411418059"/>
    <n v="0"/>
    <x v="3"/>
  </r>
  <r>
    <n v="49"/>
    <s v="male"/>
    <n v="29.8"/>
    <n v="1"/>
    <s v="no"/>
    <s v="northeast"/>
    <n v="5840.448922180859"/>
    <n v="5562.3323068389145"/>
    <n v="0"/>
    <x v="3"/>
  </r>
  <r>
    <n v="47"/>
    <s v="male"/>
    <n v="29.8"/>
    <n v="3"/>
    <s v="yes"/>
    <s v="south"/>
    <n v="1703.2005875176774"/>
    <n v="2270.9341166902364"/>
    <n v="1"/>
    <x v="0"/>
  </r>
  <r>
    <n v="27"/>
    <s v="female"/>
    <n v="22.3"/>
    <n v="0"/>
    <s v="no"/>
    <s v="midwest"/>
    <n v="2291.9274457970755"/>
    <n v="2696.3852303495014"/>
    <n v="0"/>
    <x v="1"/>
  </r>
  <r>
    <n v="55"/>
    <s v="male"/>
    <n v="27.6"/>
    <n v="0"/>
    <s v="no"/>
    <s v="midwest"/>
    <n v="3679.3955930165366"/>
    <n v="3504.1862790633695"/>
    <n v="0"/>
    <x v="3"/>
  </r>
  <r>
    <n v="48"/>
    <s v="female"/>
    <n v="28.9"/>
    <n v="0"/>
    <s v="no"/>
    <s v="south"/>
    <n v="4504.2452876915622"/>
    <n v="4289.7574168491083"/>
    <n v="0"/>
    <x v="3"/>
  </r>
  <r>
    <n v="45"/>
    <s v="female"/>
    <n v="31.8"/>
    <n v="0"/>
    <s v="no"/>
    <s v="southeast"/>
    <n v="5107.7361104540205"/>
    <n v="4864.5105813847822"/>
    <n v="0"/>
    <x v="3"/>
  </r>
  <r>
    <n v="24"/>
    <s v="female"/>
    <n v="24.5"/>
    <n v="0"/>
    <s v="no"/>
    <s v="southeast"/>
    <n v="1523.6591255520352"/>
    <n v="1792.5401477082776"/>
    <n v="0"/>
    <x v="1"/>
  </r>
  <r>
    <n v="32"/>
    <s v="male"/>
    <n v="20.3"/>
    <n v="1"/>
    <s v="no"/>
    <s v="midwest"/>
    <n v="1641.5686871612636"/>
    <n v="1931.2572790132519"/>
    <n v="0"/>
    <x v="1"/>
  </r>
  <r>
    <n v="24"/>
    <s v="male"/>
    <n v="25.1"/>
    <n v="0"/>
    <s v="no"/>
    <s v="southeast"/>
    <n v="1872.0232723000147"/>
    <n v="2202.3803203529592"/>
    <n v="0"/>
    <x v="1"/>
  </r>
  <r>
    <n v="57"/>
    <s v="male"/>
    <n v="27.9"/>
    <n v="1"/>
    <s v="no"/>
    <s v="southeast"/>
    <n v="5019.5994184593956"/>
    <n v="4780.5708747232347"/>
    <n v="0"/>
    <x v="3"/>
  </r>
  <r>
    <n v="59"/>
    <s v="male"/>
    <n v="41.1"/>
    <n v="1"/>
    <s v="yes"/>
    <s v="southeast"/>
    <n v="4519.2535492514589"/>
    <n v="4304.0509992871057"/>
    <n v="1"/>
    <x v="0"/>
  </r>
  <r>
    <n v="36"/>
    <s v="male"/>
    <n v="28.6"/>
    <n v="3"/>
    <s v="no"/>
    <s v="midwest"/>
    <n v="1711.3842855211078"/>
    <n v="2281.8457140281439"/>
    <n v="0"/>
    <x v="2"/>
  </r>
  <r>
    <n v="29"/>
    <s v="female"/>
    <n v="25.6"/>
    <n v="4"/>
    <s v="no"/>
    <s v="south"/>
    <n v="2037.5325546459676"/>
    <n v="2716.71007286129"/>
    <n v="0"/>
    <x v="2"/>
  </r>
  <r>
    <n v="42"/>
    <s v="female"/>
    <n v="25.3"/>
    <n v="1"/>
    <s v="no"/>
    <s v="south"/>
    <n v="2130.9581090674492"/>
    <n v="2507.0095400793525"/>
    <n v="0"/>
    <x v="1"/>
  </r>
  <r>
    <n v="48"/>
    <s v="male"/>
    <n v="37.299999999999997"/>
    <n v="2"/>
    <s v="no"/>
    <s v="southeast"/>
    <n v="1531.1793644389777"/>
    <n v="2041.5724859186369"/>
    <n v="0"/>
    <x v="2"/>
  </r>
  <r>
    <n v="39"/>
    <s v="male"/>
    <n v="42.7"/>
    <n v="0"/>
    <s v="no"/>
    <s v="northeast"/>
    <n v="4032.4108735329005"/>
    <n v="3840.3913081265732"/>
    <n v="0"/>
    <x v="3"/>
  </r>
  <r>
    <n v="63"/>
    <s v="male"/>
    <n v="21.7"/>
    <n v="1"/>
    <s v="no"/>
    <s v="midwest"/>
    <n v="4152.4206232771076"/>
    <n v="3954.686307882961"/>
    <n v="0"/>
    <x v="3"/>
  </r>
  <r>
    <n v="54"/>
    <s v="female"/>
    <n v="31.9"/>
    <n v="1"/>
    <s v="no"/>
    <s v="southeast"/>
    <n v="5570.6653222694995"/>
    <n v="5305.3955450185731"/>
    <n v="0"/>
    <x v="3"/>
  </r>
  <r>
    <n v="37"/>
    <s v="male"/>
    <n v="37.1"/>
    <n v="1"/>
    <s v="yes"/>
    <s v="southeast"/>
    <n v="5427.7938781035227"/>
    <n v="5169.3275029557371"/>
    <n v="1"/>
    <x v="0"/>
  </r>
  <r>
    <n v="63"/>
    <s v="male"/>
    <n v="31.4"/>
    <n v="0"/>
    <s v="no"/>
    <s v="northeast"/>
    <n v="5221.9425605370825"/>
    <n v="4973.2786290829363"/>
    <n v="0"/>
    <x v="3"/>
  </r>
  <r>
    <n v="21"/>
    <s v="male"/>
    <n v="21.5"/>
    <n v="0"/>
    <s v="no"/>
    <s v="midwest"/>
    <n v="1412.0310235780269"/>
    <n v="1661.2129689153267"/>
    <n v="0"/>
    <x v="1"/>
  </r>
  <r>
    <n v="54"/>
    <s v="female"/>
    <n v="28.9"/>
    <n v="2"/>
    <s v="no"/>
    <s v="northeast"/>
    <n v="1919.1017903131349"/>
    <n v="2558.8023870841798"/>
    <n v="0"/>
    <x v="2"/>
  </r>
  <r>
    <n v="60"/>
    <s v="female"/>
    <n v="18.3"/>
    <n v="0"/>
    <s v="no"/>
    <s v="northeast"/>
    <n v="5589.9913769262203"/>
    <n v="5323.8013113583056"/>
    <n v="0"/>
    <x v="3"/>
  </r>
  <r>
    <n v="32"/>
    <s v="female"/>
    <n v="23.8"/>
    <n v="1"/>
    <s v="no"/>
    <s v="southeast"/>
    <n v="1741.8165311944856"/>
    <n v="2049.1959190523366"/>
    <n v="0"/>
    <x v="1"/>
  </r>
  <r>
    <n v="47"/>
    <s v="female"/>
    <n v="32"/>
    <n v="1"/>
    <s v="no"/>
    <s v="south"/>
    <n v="4775.8163899403735"/>
    <n v="4548.396561847977"/>
    <n v="0"/>
    <x v="3"/>
  </r>
  <r>
    <n v="21"/>
    <s v="male"/>
    <n v="24.4"/>
    <n v="0"/>
    <s v="no"/>
    <s v="northeast"/>
    <n v="1596.7062974165797"/>
    <n v="1878.477996960683"/>
    <n v="0"/>
    <x v="1"/>
  </r>
  <r>
    <n v="28"/>
    <s v="male"/>
    <n v="21.1"/>
    <n v="0"/>
    <s v="yes"/>
    <s v="southeast"/>
    <n v="1992.0756758797852"/>
    <n v="2343.618442211513"/>
    <n v="1"/>
    <x v="0"/>
  </r>
  <r>
    <n v="63"/>
    <s v="male"/>
    <n v="33.700000000000003"/>
    <n v="3"/>
    <s v="no"/>
    <s v="southeast"/>
    <n v="3475.1706017141305"/>
    <n v="4633.5608022855076"/>
    <n v="0"/>
    <x v="2"/>
  </r>
  <r>
    <n v="18"/>
    <s v="male"/>
    <n v="25.1"/>
    <n v="2"/>
    <s v="no"/>
    <s v="southeast"/>
    <n v="1524.6047501329999"/>
    <n v="1793.652647215295"/>
    <n v="0"/>
    <x v="1"/>
  </r>
  <r>
    <n v="32"/>
    <s v="male"/>
    <n v="20.3"/>
    <n v="1"/>
    <s v="no"/>
    <s v="midwest"/>
    <n v="2061.749807570864"/>
    <n v="2425.5880089068992"/>
    <n v="0"/>
    <x v="1"/>
  </r>
  <r>
    <n v="38"/>
    <s v="male"/>
    <n v="20.8"/>
    <n v="1"/>
    <s v="no"/>
    <s v="midwest"/>
    <n v="1520.9504873222211"/>
    <n v="1789.3535144967313"/>
    <n v="0"/>
    <x v="1"/>
  </r>
  <r>
    <n v="32"/>
    <s v="male"/>
    <n v="25.8"/>
    <n v="1"/>
    <s v="no"/>
    <s v="south"/>
    <n v="2011.5630690675853"/>
    <n v="2366.5447871383362"/>
    <n v="0"/>
    <x v="1"/>
  </r>
  <r>
    <n v="62"/>
    <s v="female"/>
    <n v="30.5"/>
    <n v="2"/>
    <s v="no"/>
    <s v="midwest"/>
    <n v="3861.7566518788713"/>
    <n v="3677.863477979879"/>
    <n v="0"/>
    <x v="3"/>
  </r>
  <r>
    <n v="39"/>
    <s v="female"/>
    <n v="18.3"/>
    <n v="5"/>
    <s v="yes"/>
    <s v="south"/>
    <n v="1159.0161856990621"/>
    <n v="1545.3549142654163"/>
    <n v="1"/>
    <x v="0"/>
  </r>
  <r>
    <n v="55"/>
    <s v="male"/>
    <n v="29"/>
    <n v="0"/>
    <s v="no"/>
    <s v="northeast"/>
    <n v="5417.4595229667593"/>
    <n v="5159.4852599683436"/>
    <n v="0"/>
    <x v="3"/>
  </r>
  <r>
    <n v="57"/>
    <s v="male"/>
    <n v="31.5"/>
    <n v="0"/>
    <s v="no"/>
    <s v="midwest"/>
    <n v="5588.9963239420467"/>
    <n v="5322.8536418495705"/>
    <n v="0"/>
    <x v="3"/>
  </r>
  <r>
    <n v="52"/>
    <s v="male"/>
    <n v="47.7"/>
    <n v="1"/>
    <s v="no"/>
    <s v="southeast"/>
    <n v="4920.3113204769625"/>
    <n v="4686.0107814066323"/>
    <n v="0"/>
    <x v="3"/>
  </r>
  <r>
    <n v="56"/>
    <s v="male"/>
    <n v="22.1"/>
    <n v="0"/>
    <s v="no"/>
    <s v="south"/>
    <n v="4554.9488794309855"/>
    <n v="4338.0465518390347"/>
    <n v="0"/>
    <x v="3"/>
  </r>
  <r>
    <n v="47"/>
    <s v="male"/>
    <n v="36.200000000000003"/>
    <n v="0"/>
    <s v="yes"/>
    <s v="southeast"/>
    <n v="5152.1519845069624"/>
    <n v="4906.8114138161563"/>
    <n v="1"/>
    <x v="0"/>
  </r>
  <r>
    <n v="55"/>
    <s v="female"/>
    <n v="29.8"/>
    <n v="0"/>
    <s v="no"/>
    <s v="northeast"/>
    <n v="4731.6515357468252"/>
    <n v="4506.3347959493585"/>
    <n v="0"/>
    <x v="3"/>
  </r>
  <r>
    <n v="23"/>
    <s v="male"/>
    <n v="32.700000000000003"/>
    <n v="3"/>
    <s v="no"/>
    <s v="south"/>
    <n v="1076.9622344689758"/>
    <n v="1435.9496459586344"/>
    <n v="0"/>
    <x v="2"/>
  </r>
  <r>
    <n v="22"/>
    <s v="female"/>
    <n v="22.2"/>
    <n v="0"/>
    <s v="yes"/>
    <s v="midwest"/>
    <n v="1972.8371144516482"/>
    <n v="2320.9848405313514"/>
    <n v="1"/>
    <x v="0"/>
  </r>
  <r>
    <n v="50"/>
    <s v="female"/>
    <n v="33.700000000000003"/>
    <n v="4"/>
    <s v="no"/>
    <s v="south"/>
    <n v="1841.1928397445038"/>
    <n v="2454.923786326005"/>
    <n v="0"/>
    <x v="2"/>
  </r>
  <r>
    <n v="18"/>
    <s v="female"/>
    <n v="31.4"/>
    <n v="4"/>
    <s v="no"/>
    <s v="northeast"/>
    <n v="1263.3851748121324"/>
    <n v="1684.5135664161764"/>
    <n v="0"/>
    <x v="2"/>
  </r>
  <r>
    <n v="51"/>
    <s v="female"/>
    <n v="35"/>
    <n v="2"/>
    <s v="yes"/>
    <s v="northeast"/>
    <n v="2525.8093854614881"/>
    <n v="3367.7458472819844"/>
    <n v="1"/>
    <x v="0"/>
  </r>
  <r>
    <n v="22"/>
    <s v="male"/>
    <n v="25.6"/>
    <n v="0"/>
    <s v="no"/>
    <s v="southeast"/>
    <n v="2255.9898903267772"/>
    <n v="2654.1057533256212"/>
    <n v="0"/>
    <x v="1"/>
  </r>
  <r>
    <n v="52"/>
    <s v="female"/>
    <n v="30.9"/>
    <n v="0"/>
    <s v="no"/>
    <s v="northeast"/>
    <n v="5354.3032703448753"/>
    <n v="5099.3364479475003"/>
    <n v="0"/>
    <x v="3"/>
  </r>
  <r>
    <n v="25"/>
    <s v="female"/>
    <n v="21.5"/>
    <n v="1"/>
    <s v="no"/>
    <s v="southeast"/>
    <n v="2036.5188812111187"/>
    <n v="2395.9045661307287"/>
    <n v="0"/>
    <x v="1"/>
  </r>
  <r>
    <n v="33"/>
    <s v="female"/>
    <n v="19.100000000000001"/>
    <n v="2"/>
    <s v="yes"/>
    <s v="northeast"/>
    <n v="2708.81778027357"/>
    <n v="3186.8444473806717"/>
    <n v="1"/>
    <x v="0"/>
  </r>
  <r>
    <n v="53"/>
    <s v="male"/>
    <n v="28.6"/>
    <n v="3"/>
    <s v="no"/>
    <s v="south"/>
    <n v="1207.4768178743359"/>
    <n v="1609.9690904991146"/>
    <n v="0"/>
    <x v="2"/>
  </r>
  <r>
    <n v="29"/>
    <s v="male"/>
    <n v="25.3"/>
    <n v="1"/>
    <s v="no"/>
    <s v="southeast"/>
    <n v="2219.2781174511592"/>
    <n v="2610.9154322954828"/>
    <n v="0"/>
    <x v="1"/>
  </r>
  <r>
    <n v="58"/>
    <s v="male"/>
    <n v="36.1"/>
    <n v="0"/>
    <s v="no"/>
    <s v="southeast"/>
    <n v="6294.8813658228619"/>
    <n v="5995.1251103074892"/>
    <n v="0"/>
    <x v="3"/>
  </r>
  <r>
    <n v="37"/>
    <s v="male"/>
    <n v="21.4"/>
    <n v="0"/>
    <s v="no"/>
    <s v="south"/>
    <n v="1713.0738334346652"/>
    <n v="2015.3809805113715"/>
    <n v="0"/>
    <x v="1"/>
  </r>
  <r>
    <n v="54"/>
    <s v="female"/>
    <n v="31.2"/>
    <n v="0"/>
    <s v="no"/>
    <s v="southeast"/>
    <n v="5261.4683353449973"/>
    <n v="5010.9222241380949"/>
    <n v="0"/>
    <x v="3"/>
  </r>
  <r>
    <n v="49"/>
    <s v="female"/>
    <n v="29.9"/>
    <n v="0"/>
    <s v="no"/>
    <s v="midwest"/>
    <n v="4107.1775954388577"/>
    <n v="3911.5977099417705"/>
    <n v="0"/>
    <x v="3"/>
  </r>
  <r>
    <n v="50"/>
    <s v="female"/>
    <n v="26.2"/>
    <n v="2"/>
    <s v="no"/>
    <s v="midwest"/>
    <n v="2488.1397920585041"/>
    <n v="3317.5197227446724"/>
    <n v="0"/>
    <x v="2"/>
  </r>
  <r>
    <n v="26"/>
    <s v="male"/>
    <n v="25.8"/>
    <n v="1"/>
    <s v="no"/>
    <s v="south"/>
    <n v="2045.3876378739849"/>
    <n v="2406.3383974988064"/>
    <n v="0"/>
    <x v="1"/>
  </r>
  <r>
    <n v="45"/>
    <s v="male"/>
    <n v="20.399999999999999"/>
    <n v="3"/>
    <s v="no"/>
    <s v="southeast"/>
    <n v="1938.199337943601"/>
    <n v="2584.2657839248013"/>
    <n v="0"/>
    <x v="2"/>
  </r>
  <r>
    <n v="54"/>
    <s v="female"/>
    <n v="32.299999999999997"/>
    <n v="1"/>
    <s v="no"/>
    <s v="northeast"/>
    <n v="5065.7206836023925"/>
    <n v="4824.495889145137"/>
    <n v="0"/>
    <x v="3"/>
  </r>
  <r>
    <n v="38"/>
    <s v="male"/>
    <n v="38.4"/>
    <n v="3"/>
    <s v="yes"/>
    <s v="southeast"/>
    <n v="2510.7586824907708"/>
    <n v="3347.6782433210278"/>
    <n v="1"/>
    <x v="0"/>
  </r>
  <r>
    <n v="48"/>
    <s v="female"/>
    <n v="25.9"/>
    <n v="3"/>
    <s v="yes"/>
    <s v="southeast"/>
    <n v="1261.8929327874898"/>
    <n v="1682.5239103833198"/>
    <n v="1"/>
    <x v="0"/>
  </r>
  <r>
    <n v="28"/>
    <s v="female"/>
    <n v="26.3"/>
    <n v="3"/>
    <s v="no"/>
    <s v="midwest"/>
    <n v="1384.4110165028533"/>
    <n v="1845.8813553371378"/>
    <n v="0"/>
    <x v="2"/>
  </r>
  <r>
    <n v="23"/>
    <s v="male"/>
    <n v="24.2"/>
    <n v="0"/>
    <s v="no"/>
    <s v="northeast"/>
    <n v="2158.0564867335152"/>
    <n v="2538.8899843923718"/>
    <n v="0"/>
    <x v="1"/>
  </r>
  <r>
    <n v="55"/>
    <s v="male"/>
    <n v="32.700000000000003"/>
    <n v="1"/>
    <s v="no"/>
    <s v="southeast"/>
    <n v="4656.6803582857274"/>
    <n v="4434.9336745578366"/>
    <n v="0"/>
    <x v="3"/>
  </r>
  <r>
    <n v="41"/>
    <s v="male"/>
    <n v="29.6"/>
    <n v="5"/>
    <s v="no"/>
    <s v="northeast"/>
    <n v="2114.5125599579669"/>
    <n v="2819.3500799439557"/>
    <n v="0"/>
    <x v="2"/>
  </r>
  <r>
    <n v="25"/>
    <s v="male"/>
    <n v="33.299999999999997"/>
    <n v="2"/>
    <s v="yes"/>
    <s v="southeast"/>
    <n v="1069.4044552872585"/>
    <n v="1425.872607049678"/>
    <n v="1"/>
    <x v="0"/>
  </r>
  <r>
    <n v="33"/>
    <s v="male"/>
    <n v="24.1"/>
    <n v="1"/>
    <s v="yes"/>
    <s v="southeast"/>
    <n v="1939.6676792807723"/>
    <n v="2281.9619756244388"/>
    <n v="1"/>
    <x v="0"/>
  </r>
  <r>
    <n v="30"/>
    <s v="female"/>
    <n v="20"/>
    <n v="3"/>
    <s v="no"/>
    <s v="midwest"/>
    <n v="1392.1706165699159"/>
    <n v="1856.2274887598878"/>
    <n v="0"/>
    <x v="2"/>
  </r>
  <r>
    <n v="23"/>
    <s v="female"/>
    <n v="21"/>
    <n v="0"/>
    <s v="yes"/>
    <s v="south"/>
    <n v="1813.54341974317"/>
    <n v="2133.5804938154952"/>
    <n v="1"/>
    <x v="0"/>
  </r>
  <r>
    <n v="46"/>
    <s v="male"/>
    <n v="38.200000000000003"/>
    <n v="2"/>
    <s v="no"/>
    <s v="southeast"/>
    <n v="1632.5003968795218"/>
    <n v="2176.6671958393622"/>
    <n v="0"/>
    <x v="2"/>
  </r>
  <r>
    <n v="53"/>
    <s v="female"/>
    <n v="36.9"/>
    <n v="3"/>
    <s v="yes"/>
    <s v="midwest"/>
    <n v="1748.8271868605361"/>
    <n v="2331.7695824807147"/>
    <n v="1"/>
    <x v="0"/>
  </r>
  <r>
    <n v="27"/>
    <s v="female"/>
    <n v="23.4"/>
    <n v="1"/>
    <s v="no"/>
    <s v="northeast"/>
    <n v="1764.0052041706501"/>
    <n v="2075.300240200766"/>
    <n v="0"/>
    <x v="1"/>
  </r>
  <r>
    <n v="23"/>
    <s v="female"/>
    <n v="22"/>
    <n v="1"/>
    <s v="yes"/>
    <s v="northeast"/>
    <n v="1379.4881747900549"/>
    <n v="1622.9272644588889"/>
    <n v="1"/>
    <x v="0"/>
  </r>
  <r>
    <n v="63"/>
    <s v="female"/>
    <n v="25.1"/>
    <n v="0"/>
    <s v="no"/>
    <s v="midwest"/>
    <n v="4121.9155823878555"/>
    <n v="3925.6338879884361"/>
    <n v="0"/>
    <x v="3"/>
  </r>
  <r>
    <n v="55"/>
    <s v="male"/>
    <n v="29.9"/>
    <n v="0"/>
    <s v="no"/>
    <s v="south"/>
    <n v="4234.8832224391663"/>
    <n v="4033.2221166087315"/>
    <n v="0"/>
    <x v="3"/>
  </r>
  <r>
    <n v="35"/>
    <s v="female"/>
    <n v="35.9"/>
    <n v="2"/>
    <s v="no"/>
    <s v="southeast"/>
    <n v="1229.8167626607212"/>
    <n v="1639.7556835476282"/>
    <n v="0"/>
    <x v="2"/>
  </r>
  <r>
    <n v="34"/>
    <s v="male"/>
    <n v="25"/>
    <n v="1"/>
    <s v="no"/>
    <s v="south"/>
    <n v="2329.0537506827977"/>
    <n v="2740.0632360974096"/>
    <n v="0"/>
    <x v="1"/>
  </r>
  <r>
    <n v="19"/>
    <s v="female"/>
    <n v="21.7"/>
    <n v="0"/>
    <s v="no"/>
    <s v="south"/>
    <n v="1708.5260865149435"/>
    <n v="2010.0306900175813"/>
    <n v="0"/>
    <x v="1"/>
  </r>
  <r>
    <n v="39"/>
    <s v="female"/>
    <n v="23.9"/>
    <n v="5"/>
    <s v="no"/>
    <s v="southeast"/>
    <n v="2747.1692663894464"/>
    <n v="3662.8923551859289"/>
    <n v="0"/>
    <x v="2"/>
  </r>
  <r>
    <n v="27"/>
    <s v="male"/>
    <n v="45.9"/>
    <n v="2"/>
    <s v="no"/>
    <s v="south"/>
    <n v="2565.9316788557485"/>
    <n v="3421.2422384743313"/>
    <n v="0"/>
    <x v="2"/>
  </r>
  <r>
    <n v="57"/>
    <s v="male"/>
    <n v="40.299999999999997"/>
    <n v="0"/>
    <s v="no"/>
    <s v="northeast"/>
    <n v="5120.5655945150756"/>
    <n v="4876.7291376334069"/>
    <n v="0"/>
    <x v="3"/>
  </r>
  <r>
    <n v="52"/>
    <s v="female"/>
    <n v="18.3"/>
    <n v="0"/>
    <s v="no"/>
    <s v="midwest"/>
    <n v="1535.7138035250678"/>
    <n v="1806.7221217941981"/>
    <n v="0"/>
    <x v="1"/>
  </r>
  <r>
    <n v="28"/>
    <s v="male"/>
    <n v="21.4"/>
    <n v="0"/>
    <s v="no"/>
    <s v="midwest"/>
    <n v="1767.0139424303238"/>
    <n v="2078.8399322709702"/>
    <n v="0"/>
    <x v="1"/>
  </r>
  <r>
    <n v="50"/>
    <s v="female"/>
    <n v="28.1"/>
    <n v="3"/>
    <s v="no"/>
    <s v="midwest"/>
    <n v="2149.4353178833599"/>
    <n v="2865.9137571778133"/>
    <n v="0"/>
    <x v="2"/>
  </r>
  <r>
    <n v="44"/>
    <s v="female"/>
    <n v="25"/>
    <n v="1"/>
    <s v="no"/>
    <s v="south"/>
    <n v="2845.831537329037"/>
    <n v="3348.0371027400442"/>
    <n v="0"/>
    <x v="3"/>
  </r>
  <r>
    <n v="26"/>
    <s v="female"/>
    <n v="22.7"/>
    <n v="0"/>
    <s v="no"/>
    <s v="midwest"/>
    <n v="1850.9318882678276"/>
    <n v="2177.5669273739154"/>
    <n v="0"/>
    <x v="1"/>
  </r>
  <r>
    <n v="33"/>
    <s v="male"/>
    <n v="23"/>
    <n v="0"/>
    <s v="no"/>
    <s v="southeast"/>
    <n v="1481.6712773234626"/>
    <n v="1743.1426792040743"/>
    <n v="0"/>
    <x v="1"/>
  </r>
  <r>
    <n v="19"/>
    <s v="female"/>
    <n v="24"/>
    <n v="0"/>
    <s v="yes"/>
    <s v="midwest"/>
    <n v="1806.5192571123414"/>
    <n v="2125.3167730733435"/>
    <n v="1"/>
    <x v="0"/>
  </r>
  <r>
    <n v="50"/>
    <s v="male"/>
    <n v="37.1"/>
    <n v="1"/>
    <s v="no"/>
    <s v="southeast"/>
    <n v="5185.7366379293308"/>
    <n v="4938.7967980279354"/>
    <n v="0"/>
    <x v="3"/>
  </r>
  <r>
    <n v="41"/>
    <s v="female"/>
    <n v="32.6"/>
    <n v="3"/>
    <s v="no"/>
    <s v="south"/>
    <n v="2663.7353035930141"/>
    <n v="3551.647071457352"/>
    <n v="0"/>
    <x v="2"/>
  </r>
  <r>
    <n v="52"/>
    <s v="female"/>
    <n v="24.9"/>
    <n v="0"/>
    <s v="no"/>
    <s v="southeast"/>
    <n v="4078.6933006476384"/>
    <n v="3884.4698101406098"/>
    <n v="0"/>
    <x v="3"/>
  </r>
  <r>
    <n v="39"/>
    <s v="male"/>
    <n v="32.299999999999997"/>
    <n v="2"/>
    <s v="no"/>
    <s v="southeast"/>
    <n v="2905.3350063889629"/>
    <n v="3873.7800085186173"/>
    <n v="0"/>
    <x v="2"/>
  </r>
  <r>
    <n v="50"/>
    <s v="male"/>
    <n v="32.299999999999997"/>
    <n v="2"/>
    <s v="no"/>
    <s v="south"/>
    <n v="1819.2652398905657"/>
    <n v="2425.6869865207541"/>
    <n v="0"/>
    <x v="2"/>
  </r>
  <r>
    <n v="52"/>
    <s v="male"/>
    <n v="32.799999999999997"/>
    <n v="3"/>
    <s v="no"/>
    <s v="midwest"/>
    <n v="2364.427261600662"/>
    <n v="3152.5696821342158"/>
    <n v="0"/>
    <x v="2"/>
  </r>
  <r>
    <n v="60"/>
    <s v="male"/>
    <n v="32.799999999999997"/>
    <n v="0"/>
    <s v="yes"/>
    <s v="south"/>
    <n v="4660.810285309828"/>
    <n v="4438.8669383903134"/>
    <n v="1"/>
    <x v="0"/>
  </r>
  <r>
    <n v="20"/>
    <s v="female"/>
    <n v="24.8"/>
    <n v="0"/>
    <s v="no"/>
    <s v="midwest"/>
    <n v="1614.4057622945957"/>
    <n v="1899.3008968171721"/>
    <n v="0"/>
    <x v="1"/>
  </r>
  <r>
    <n v="55"/>
    <s v="male"/>
    <n v="21.5"/>
    <n v="1"/>
    <s v="no"/>
    <s v="south"/>
    <n v="5018.0355710217291"/>
    <n v="4779.0814962111717"/>
    <n v="0"/>
    <x v="3"/>
  </r>
  <r>
    <n v="42"/>
    <s v="male"/>
    <n v="34.1"/>
    <n v="0"/>
    <s v="no"/>
    <s v="south"/>
    <n v="5142.5321327294587"/>
    <n v="4897.6496502185337"/>
    <n v="0"/>
    <x v="3"/>
  </r>
  <r>
    <n v="18"/>
    <s v="female"/>
    <n v="20.7"/>
    <n v="0"/>
    <s v="no"/>
    <s v="northeast"/>
    <n v="2352.1177029313062"/>
    <n v="2767.1972975662438"/>
    <n v="0"/>
    <x v="1"/>
  </r>
  <r>
    <n v="58"/>
    <s v="female"/>
    <n v="36.5"/>
    <n v="0"/>
    <s v="no"/>
    <s v="midwest"/>
    <n v="4979.4703701468825"/>
    <n v="4742.3527334732235"/>
    <n v="0"/>
    <x v="3"/>
  </r>
  <r>
    <n v="43"/>
    <s v="female"/>
    <n v="32.6"/>
    <n v="3"/>
    <s v="yes"/>
    <s v="southeast"/>
    <n v="1228.7459242733712"/>
    <n v="1638.3278990311617"/>
    <n v="1"/>
    <x v="0"/>
  </r>
  <r>
    <n v="35"/>
    <s v="female"/>
    <n v="22.7"/>
    <n v="1"/>
    <s v="no"/>
    <s v="midwest"/>
    <n v="2175.7755714728737"/>
    <n v="2559.7359664386754"/>
    <n v="0"/>
    <x v="1"/>
  </r>
  <r>
    <n v="48"/>
    <s v="female"/>
    <n v="27.9"/>
    <n v="4"/>
    <s v="no"/>
    <s v="midwest"/>
    <n v="1290.7719709121366"/>
    <n v="1721.0292945495153"/>
    <n v="0"/>
    <x v="2"/>
  </r>
  <r>
    <n v="36"/>
    <s v="female"/>
    <n v="22.1"/>
    <n v="3"/>
    <s v="no"/>
    <s v="northeast"/>
    <n v="2063.0008245412569"/>
    <n v="2750.667766055009"/>
    <n v="0"/>
    <x v="2"/>
  </r>
  <r>
    <n v="19"/>
    <s v="male"/>
    <n v="21.5"/>
    <n v="0"/>
    <s v="yes"/>
    <s v="southeast"/>
    <n v="1487.8344806226792"/>
    <n v="1750.3935066149174"/>
    <n v="1"/>
    <x v="0"/>
  </r>
  <r>
    <n v="23"/>
    <s v="female"/>
    <n v="24.8"/>
    <n v="2"/>
    <s v="no"/>
    <s v="midwest"/>
    <n v="1560.4851024012869"/>
    <n v="1835.864826354456"/>
    <n v="0"/>
    <x v="1"/>
  </r>
  <r>
    <n v="20"/>
    <s v="female"/>
    <n v="21.2"/>
    <n v="0"/>
    <s v="no"/>
    <s v="northeast"/>
    <n v="1562.3453275901929"/>
    <n v="1838.0533265766985"/>
    <n v="0"/>
    <x v="1"/>
  </r>
  <r>
    <n v="32"/>
    <s v="female"/>
    <n v="20.6"/>
    <n v="0"/>
    <s v="no"/>
    <s v="south"/>
    <n v="2055.7311295093596"/>
    <n v="2418.5072111874829"/>
    <n v="0"/>
    <x v="1"/>
  </r>
  <r>
    <n v="43"/>
    <s v="female"/>
    <n v="34.6"/>
    <n v="1"/>
    <s v="no"/>
    <s v="midwest"/>
    <n v="4881.3052814107323"/>
    <n v="4648.8621727721275"/>
    <n v="0"/>
    <x v="3"/>
  </r>
  <r>
    <n v="34"/>
    <s v="male"/>
    <n v="42.1"/>
    <n v="2"/>
    <s v="no"/>
    <s v="southeast"/>
    <n v="3386.1180025179392"/>
    <n v="4514.824003357252"/>
    <n v="0"/>
    <x v="2"/>
  </r>
  <r>
    <n v="30"/>
    <s v="male"/>
    <n v="21.2"/>
    <n v="1"/>
    <s v="no"/>
    <s v="southeast"/>
    <n v="2543.7884064148898"/>
    <n v="2992.6922428410476"/>
    <n v="0"/>
    <x v="1"/>
  </r>
  <r>
    <n v="18"/>
    <s v="female"/>
    <n v="20.5"/>
    <n v="0"/>
    <s v="no"/>
    <s v="northeast"/>
    <n v="1379.225892382198"/>
    <n v="1622.6186969202338"/>
    <n v="0"/>
    <x v="1"/>
  </r>
  <r>
    <n v="41"/>
    <s v="female"/>
    <n v="28.3"/>
    <n v="1"/>
    <s v="no"/>
    <s v="midwest"/>
    <n v="5879.2083576814684"/>
    <n v="5599.2460549347334"/>
    <n v="0"/>
    <x v="3"/>
  </r>
  <r>
    <n v="35"/>
    <s v="female"/>
    <n v="25.8"/>
    <n v="0"/>
    <s v="no"/>
    <s v="northeast"/>
    <n v="1686.8901640235338"/>
    <n v="1984.576663557099"/>
    <n v="0"/>
    <x v="1"/>
  </r>
  <r>
    <n v="57"/>
    <s v="male"/>
    <n v="40.4"/>
    <n v="0"/>
    <s v="no"/>
    <s v="southeast"/>
    <n v="4321.894825598506"/>
    <n v="4116.0903100938167"/>
    <n v="0"/>
    <x v="3"/>
  </r>
  <r>
    <n v="29"/>
    <s v="female"/>
    <n v="24.6"/>
    <n v="2"/>
    <s v="no"/>
    <s v="south"/>
    <n v="1921.5201433241823"/>
    <n v="2260.6119333225683"/>
    <n v="0"/>
    <x v="1"/>
  </r>
  <r>
    <n v="32"/>
    <s v="male"/>
    <n v="35.200000000000003"/>
    <n v="2"/>
    <s v="no"/>
    <s v="south"/>
    <n v="2669.9180098681131"/>
    <n v="3559.890679824151"/>
    <n v="0"/>
    <x v="2"/>
  </r>
  <r>
    <n v="37"/>
    <s v="female"/>
    <n v="20.9"/>
    <n v="1"/>
    <s v="no"/>
    <s v="midwest"/>
    <n v="2010.1798948544103"/>
    <n v="2364.9175233581304"/>
    <n v="0"/>
    <x v="1"/>
  </r>
  <r>
    <n v="18"/>
    <s v="male"/>
    <n v="22.5"/>
    <n v="1"/>
    <s v="yes"/>
    <s v="northeast"/>
    <n v="1283.8903771637515"/>
    <n v="1510.4592672514732"/>
    <n v="1"/>
    <x v="0"/>
  </r>
  <r>
    <n v="43"/>
    <s v="female"/>
    <n v="26.7"/>
    <n v="2"/>
    <s v="yes"/>
    <s v="south"/>
    <n v="1104.8807591803168"/>
    <n v="1473.1743455737558"/>
    <n v="1"/>
    <x v="0"/>
  </r>
  <r>
    <n v="56"/>
    <s v="female"/>
    <n v="41.9"/>
    <n v="0"/>
    <s v="no"/>
    <s v="southeast"/>
    <n v="4392.9191197526416"/>
    <n v="4183.7324950025177"/>
    <n v="0"/>
    <x v="3"/>
  </r>
  <r>
    <n v="38"/>
    <s v="male"/>
    <n v="29.3"/>
    <n v="2"/>
    <s v="no"/>
    <s v="midwest"/>
    <n v="1213.4537369366853"/>
    <n v="1617.9383159155805"/>
    <n v="0"/>
    <x v="2"/>
  </r>
  <r>
    <n v="29"/>
    <s v="male"/>
    <n v="32.1"/>
    <n v="2"/>
    <s v="no"/>
    <s v="midwest"/>
    <n v="1677.5255681699571"/>
    <n v="2236.7007575599428"/>
    <n v="0"/>
    <x v="2"/>
  </r>
  <r>
    <n v="22"/>
    <s v="female"/>
    <n v="23.4"/>
    <n v="0"/>
    <s v="no"/>
    <s v="south"/>
    <n v="1937.6314665148852"/>
    <n v="2279.5664311939831"/>
    <n v="0"/>
    <x v="1"/>
  </r>
  <r>
    <n v="52"/>
    <s v="female"/>
    <n v="24.1"/>
    <n v="1"/>
    <s v="yes"/>
    <s v="midwest"/>
    <n v="4160.3150781130062"/>
    <n v="3962.2048362981027"/>
    <n v="1"/>
    <x v="0"/>
  </r>
  <r>
    <n v="40"/>
    <s v="female"/>
    <n v="23.9"/>
    <n v="1"/>
    <s v="no"/>
    <s v="south"/>
    <n v="1799.7076096806088"/>
    <n v="2117.3030702124815"/>
    <n v="0"/>
    <x v="1"/>
  </r>
  <r>
    <n v="23"/>
    <s v="female"/>
    <n v="21.2"/>
    <n v="0"/>
    <s v="no"/>
    <s v="northeast"/>
    <n v="1857.0839130615625"/>
    <n v="2184.8046036018386"/>
    <n v="0"/>
    <x v="1"/>
  </r>
  <r>
    <n v="31"/>
    <s v="male"/>
    <n v="23.8"/>
    <n v="0"/>
    <s v="yes"/>
    <s v="southeast"/>
    <n v="1713.4848418716367"/>
    <n v="2015.8645198489851"/>
    <n v="1"/>
    <x v="0"/>
  </r>
  <r>
    <n v="42"/>
    <s v="female"/>
    <n v="41.3"/>
    <n v="1"/>
    <s v="no"/>
    <s v="northeast"/>
    <n v="3603.1329133594936"/>
    <n v="3431.5551555804714"/>
    <n v="0"/>
    <x v="3"/>
  </r>
  <r>
    <n v="24"/>
    <s v="female"/>
    <n v="21.8"/>
    <n v="0"/>
    <s v="no"/>
    <s v="midwest"/>
    <n v="2032.5470674782953"/>
    <n v="2391.2318440921126"/>
    <n v="0"/>
    <x v="1"/>
  </r>
  <r>
    <n v="25"/>
    <s v="female"/>
    <n v="24.7"/>
    <n v="0"/>
    <s v="no"/>
    <s v="south"/>
    <n v="1398.0615265311453"/>
    <n v="1644.7782665072307"/>
    <n v="0"/>
    <x v="1"/>
  </r>
  <r>
    <n v="48"/>
    <s v="female"/>
    <n v="27.4"/>
    <n v="1"/>
    <s v="no"/>
    <s v="northeast"/>
    <n v="4571.3446453612487"/>
    <n v="4353.661567010714"/>
    <n v="0"/>
    <x v="3"/>
  </r>
  <r>
    <n v="23"/>
    <s v="female"/>
    <n v="25.9"/>
    <n v="1"/>
    <s v="yes"/>
    <s v="southeast"/>
    <n v="1862.2297811137382"/>
    <n v="2190.8585660161634"/>
    <n v="1"/>
    <x v="0"/>
  </r>
  <r>
    <n v="45"/>
    <s v="male"/>
    <n v="23.6"/>
    <n v="2"/>
    <s v="no"/>
    <s v="northeast"/>
    <n v="1711.4349761890612"/>
    <n v="2281.913301585415"/>
    <n v="0"/>
    <x v="2"/>
  </r>
  <r>
    <n v="20"/>
    <s v="male"/>
    <n v="35.6"/>
    <n v="3"/>
    <s v="yes"/>
    <s v="midwest"/>
    <n v="2141.905254827217"/>
    <n v="2855.8736731029562"/>
    <n v="1"/>
    <x v="0"/>
  </r>
  <r>
    <n v="62"/>
    <s v="female"/>
    <n v="32.700000000000003"/>
    <n v="0"/>
    <s v="no"/>
    <s v="midwest"/>
    <n v="4530.7236717423157"/>
    <n v="4314.9749254688732"/>
    <n v="0"/>
    <x v="3"/>
  </r>
  <r>
    <n v="43"/>
    <s v="female"/>
    <n v="25.3"/>
    <n v="1"/>
    <s v="yes"/>
    <s v="northeast"/>
    <n v="2644.9357599574882"/>
    <n v="3111.6891293617514"/>
    <n v="1"/>
    <x v="0"/>
  </r>
  <r>
    <n v="23"/>
    <s v="female"/>
    <n v="22.4"/>
    <n v="0"/>
    <s v="no"/>
    <s v="south"/>
    <n v="1460.1031324670857"/>
    <n v="1717.7683911377487"/>
    <n v="0"/>
    <x v="1"/>
  </r>
  <r>
    <n v="31"/>
    <s v="female"/>
    <n v="32.799999999999997"/>
    <n v="2"/>
    <s v="no"/>
    <s v="midwest"/>
    <n v="969.78986014282054"/>
    <n v="1293.0531468570941"/>
    <n v="0"/>
    <x v="2"/>
  </r>
  <r>
    <n v="41"/>
    <s v="female"/>
    <n v="21.9"/>
    <n v="1"/>
    <s v="no"/>
    <s v="northeast"/>
    <n v="1882.6226142624273"/>
    <n v="2214.8501344263855"/>
    <n v="0"/>
    <x v="1"/>
  </r>
  <r>
    <n v="58"/>
    <s v="female"/>
    <n v="32.4"/>
    <n v="1"/>
    <s v="no"/>
    <s v="northeast"/>
    <n v="5305.588642902876"/>
    <n v="5052.9415646694069"/>
    <n v="0"/>
    <x v="3"/>
  </r>
  <r>
    <n v="48"/>
    <s v="female"/>
    <n v="36.6"/>
    <n v="0"/>
    <s v="no"/>
    <s v="midwest"/>
    <n v="5316.8821972415144"/>
    <n v="5063.6973307062062"/>
    <n v="0"/>
    <x v="3"/>
  </r>
  <r>
    <n v="31"/>
    <s v="female"/>
    <n v="25.3"/>
    <n v="0"/>
    <s v="no"/>
    <s v="midwest"/>
    <n v="1500.4873812564385"/>
    <n v="1765.2792720663992"/>
    <n v="0"/>
    <x v="1"/>
  </r>
  <r>
    <n v="19"/>
    <s v="female"/>
    <n v="27.9"/>
    <n v="3"/>
    <s v="no"/>
    <s v="midwest"/>
    <n v="1311.2611833139633"/>
    <n v="1748.3482444186177"/>
    <n v="0"/>
    <x v="2"/>
  </r>
  <r>
    <n v="19"/>
    <s v="female"/>
    <n v="22.4"/>
    <n v="0"/>
    <s v="yes"/>
    <s v="midwest"/>
    <n v="1868.7024748123515"/>
    <n v="2198.473499779238"/>
    <n v="1"/>
    <x v="0"/>
  </r>
  <r>
    <n v="41"/>
    <s v="male"/>
    <n v="33.6"/>
    <n v="0"/>
    <s v="no"/>
    <s v="southeast"/>
    <n v="3627.4163266912069"/>
    <n v="3454.6822158963892"/>
    <n v="0"/>
    <x v="3"/>
  </r>
  <r>
    <n v="40"/>
    <s v="male"/>
    <n v="29.4"/>
    <n v="1"/>
    <s v="no"/>
    <s v="midwest"/>
    <n v="5585.1498044315422"/>
    <n v="5319.1902899348033"/>
    <n v="0"/>
    <x v="3"/>
  </r>
  <r>
    <n v="31"/>
    <s v="female"/>
    <n v="25.8"/>
    <n v="2"/>
    <s v="no"/>
    <s v="south"/>
    <n v="1657.8756588650349"/>
    <n v="2210.5008784867132"/>
    <n v="0"/>
    <x v="2"/>
  </r>
  <r>
    <n v="37"/>
    <s v="male"/>
    <n v="24.3"/>
    <n v="2"/>
    <s v="no"/>
    <s v="midwest"/>
    <n v="1963.1052172299878"/>
    <n v="2617.4736229733171"/>
    <n v="0"/>
    <x v="2"/>
  </r>
  <r>
    <n v="46"/>
    <s v="male"/>
    <n v="40.4"/>
    <n v="2"/>
    <s v="no"/>
    <s v="midwest"/>
    <n v="1745.4600207874882"/>
    <n v="2327.2800277166511"/>
    <n v="0"/>
    <x v="2"/>
  </r>
  <r>
    <n v="22"/>
    <s v="male"/>
    <n v="21.7"/>
    <n v="0"/>
    <s v="no"/>
    <s v="midwest"/>
    <n v="2348.5652694676874"/>
    <n v="2763.0179640796327"/>
    <n v="0"/>
    <x v="1"/>
  </r>
  <r>
    <n v="51"/>
    <s v="male"/>
    <n v="32.299999999999997"/>
    <n v="1"/>
    <s v="no"/>
    <s v="northeast"/>
    <n v="3948.8735584114115"/>
    <n v="3760.8319603918217"/>
    <n v="0"/>
    <x v="3"/>
  </r>
  <r>
    <n v="18"/>
    <s v="female"/>
    <n v="27.3"/>
    <n v="3"/>
    <s v="yes"/>
    <s v="southeast"/>
    <n v="1810.8001001406255"/>
    <n v="2414.4001335208341"/>
    <n v="1"/>
    <x v="0"/>
  </r>
  <r>
    <n v="35"/>
    <s v="male"/>
    <n v="21.6"/>
    <n v="1"/>
    <s v="no"/>
    <s v="midwest"/>
    <n v="1828.988299119608"/>
    <n v="2151.750940140716"/>
    <n v="0"/>
    <x v="1"/>
  </r>
  <r>
    <n v="59"/>
    <s v="female"/>
    <n v="34.799999999999997"/>
    <n v="2"/>
    <s v="no"/>
    <s v="south"/>
    <n v="2555.8224991234611"/>
    <n v="3407.7633321646149"/>
    <n v="0"/>
    <x v="2"/>
  </r>
  <r>
    <n v="36"/>
    <s v="male"/>
    <n v="33.4"/>
    <n v="2"/>
    <s v="yes"/>
    <s v="south"/>
    <n v="2266.0159561122045"/>
    <n v="3021.3546081496061"/>
    <n v="1"/>
    <x v="0"/>
  </r>
  <r>
    <n v="37"/>
    <s v="female"/>
    <n v="23"/>
    <n v="1"/>
    <s v="yes"/>
    <s v="northeast"/>
    <n v="1832.1817135156286"/>
    <n v="2155.5078982536816"/>
    <n v="1"/>
    <x v="0"/>
  </r>
  <r>
    <n v="59"/>
    <s v="male"/>
    <n v="37.1"/>
    <n v="1"/>
    <s v="no"/>
    <s v="south"/>
    <n v="4379.3976640953997"/>
    <n v="4170.8549181860963"/>
    <n v="0"/>
    <x v="3"/>
  </r>
  <r>
    <n v="36"/>
    <s v="male"/>
    <n v="22.6"/>
    <n v="1"/>
    <s v="no"/>
    <s v="midwest"/>
    <n v="1491.9192746687613"/>
    <n v="1755.199146669132"/>
    <n v="0"/>
    <x v="1"/>
  </r>
  <r>
    <n v="39"/>
    <s v="male"/>
    <n v="34.1"/>
    <n v="2"/>
    <s v="no"/>
    <s v="southeast"/>
    <n v="2001.4017807551027"/>
    <n v="2668.5357076734704"/>
    <n v="0"/>
    <x v="2"/>
  </r>
  <r>
    <n v="18"/>
    <s v="male"/>
    <n v="24.6"/>
    <n v="0"/>
    <s v="no"/>
    <s v="northeast"/>
    <n v="2176.6435855584259"/>
    <n v="2560.7571594805017"/>
    <n v="0"/>
    <x v="1"/>
  </r>
  <r>
    <n v="52"/>
    <s v="female"/>
    <n v="33.299999999999997"/>
    <n v="2"/>
    <s v="no"/>
    <s v="south"/>
    <n v="1920.8040067875368"/>
    <n v="2561.072009050049"/>
    <n v="0"/>
    <x v="2"/>
  </r>
  <r>
    <n v="27"/>
    <s v="female"/>
    <n v="23"/>
    <n v="1"/>
    <s v="no"/>
    <s v="midwest"/>
    <n v="1671.227122921995"/>
    <n v="1966.1495563788185"/>
    <n v="0"/>
    <x v="1"/>
  </r>
  <r>
    <n v="18"/>
    <s v="male"/>
    <n v="21.1"/>
    <n v="0"/>
    <s v="no"/>
    <s v="northeast"/>
    <n v="1655.4040704556642"/>
    <n v="1947.5342005360762"/>
    <n v="0"/>
    <x v="1"/>
  </r>
  <r>
    <n v="40"/>
    <s v="male"/>
    <n v="20.100000000000001"/>
    <n v="0"/>
    <s v="no"/>
    <s v="southeast"/>
    <n v="1618.4456792630097"/>
    <n v="1904.053740309424"/>
    <n v="0"/>
    <x v="1"/>
  </r>
  <r>
    <n v="29"/>
    <s v="male"/>
    <n v="37.299999999999997"/>
    <n v="2"/>
    <s v="no"/>
    <s v="southeast"/>
    <n v="2011.0520096060466"/>
    <n v="2681.4026794747288"/>
    <n v="0"/>
    <x v="2"/>
  </r>
  <r>
    <n v="46"/>
    <s v="female"/>
    <n v="34.6"/>
    <n v="1"/>
    <s v="yes"/>
    <s v="south"/>
    <n v="3707.1635708559525"/>
    <n v="3530.6319722437656"/>
    <n v="1"/>
    <x v="0"/>
  </r>
  <r>
    <n v="38"/>
    <s v="female"/>
    <n v="30.2"/>
    <n v="3"/>
    <s v="no"/>
    <s v="midwest"/>
    <n v="1880.1009211078481"/>
    <n v="2506.8012281437973"/>
    <n v="0"/>
    <x v="2"/>
  </r>
  <r>
    <n v="30"/>
    <s v="female"/>
    <n v="25.1"/>
    <n v="1"/>
    <s v="no"/>
    <s v="northeast"/>
    <n v="2736.1375313644239"/>
    <n v="3218.9853310169692"/>
    <n v="0"/>
    <x v="1"/>
  </r>
  <r>
    <n v="40"/>
    <s v="male"/>
    <n v="25"/>
    <n v="2"/>
    <s v="no"/>
    <s v="southeast"/>
    <n v="1117.7326595226446"/>
    <n v="1490.3102126968593"/>
    <n v="0"/>
    <x v="2"/>
  </r>
  <r>
    <n v="50"/>
    <s v="male"/>
    <n v="25.3"/>
    <n v="0"/>
    <s v="no"/>
    <s v="southeast"/>
    <n v="5391.6950576562258"/>
    <n v="5134.9476739583115"/>
    <n v="0"/>
    <x v="3"/>
  </r>
  <r>
    <n v="20"/>
    <s v="female"/>
    <n v="23.9"/>
    <n v="0"/>
    <s v="yes"/>
    <s v="southeast"/>
    <n v="1627.5383886655504"/>
    <n v="1914.7510454888836"/>
    <n v="1"/>
    <x v="0"/>
  </r>
  <r>
    <n v="41"/>
    <s v="male"/>
    <n v="20.100000000000001"/>
    <n v="1"/>
    <s v="no"/>
    <s v="northeast"/>
    <n v="1369.6892410862845"/>
    <n v="1611.3991071603355"/>
    <n v="0"/>
    <x v="1"/>
  </r>
  <r>
    <n v="33"/>
    <s v="female"/>
    <n v="22.6"/>
    <n v="1"/>
    <s v="no"/>
    <s v="southeast"/>
    <n v="1806.1645982504888"/>
    <n v="2124.899527353517"/>
    <n v="0"/>
    <x v="1"/>
  </r>
  <r>
    <n v="38"/>
    <s v="male"/>
    <n v="16.8"/>
    <n v="2"/>
    <s v="no"/>
    <s v="northeast"/>
    <n v="2199.8385837487513"/>
    <n v="2588.0453926455907"/>
    <n v="0"/>
    <x v="1"/>
  </r>
  <r>
    <n v="42"/>
    <s v="male"/>
    <n v="37.200000000000003"/>
    <n v="2"/>
    <s v="no"/>
    <s v="southeast"/>
    <n v="1175.3204791098271"/>
    <n v="1567.0939721464363"/>
    <n v="0"/>
    <x v="2"/>
  </r>
  <r>
    <n v="56"/>
    <s v="male"/>
    <n v="34.4"/>
    <n v="0"/>
    <s v="no"/>
    <s v="southeast"/>
    <n v="4093.0231317845573"/>
    <n v="3898.1172683662467"/>
    <n v="0"/>
    <x v="3"/>
  </r>
  <r>
    <n v="58"/>
    <s v="male"/>
    <n v="30.3"/>
    <n v="0"/>
    <s v="no"/>
    <s v="northeast"/>
    <n v="4922.4126190013139"/>
    <n v="4688.0120180964914"/>
    <n v="0"/>
    <x v="3"/>
  </r>
  <r>
    <n v="52"/>
    <s v="male"/>
    <n v="34.5"/>
    <n v="3"/>
    <s v="yes"/>
    <s v="midwest"/>
    <n v="1721.3218755011308"/>
    <n v="2295.0958340015077"/>
    <n v="1"/>
    <x v="0"/>
  </r>
  <r>
    <n v="20"/>
    <s v="female"/>
    <n v="20.100000000000001"/>
    <n v="0"/>
    <s v="yes"/>
    <s v="south"/>
    <n v="1513.8630942320733"/>
    <n v="1781.0154049789107"/>
    <n v="1"/>
    <x v="0"/>
  </r>
  <r>
    <n v="54"/>
    <s v="female"/>
    <n v="24.6"/>
    <n v="3"/>
    <s v="no"/>
    <s v="midwest"/>
    <n v="1657.062372102127"/>
    <n v="2209.4164961361694"/>
    <n v="0"/>
    <x v="2"/>
  </r>
  <r>
    <n v="58"/>
    <s v="male"/>
    <n v="23.3"/>
    <n v="0"/>
    <s v="no"/>
    <s v="south"/>
    <n v="4731.0445013336412"/>
    <n v="4505.7566679368028"/>
    <n v="0"/>
    <x v="3"/>
  </r>
  <r>
    <n v="45"/>
    <s v="female"/>
    <n v="27.8"/>
    <n v="2"/>
    <s v="no"/>
    <s v="southeast"/>
    <n v="2651.2359472051598"/>
    <n v="3534.9812629402131"/>
    <n v="0"/>
    <x v="2"/>
  </r>
  <r>
    <n v="26"/>
    <s v="male"/>
    <n v="25.5"/>
    <n v="0"/>
    <s v="no"/>
    <s v="midwest"/>
    <n v="1595.119225154207"/>
    <n v="1876.6108531225973"/>
    <n v="0"/>
    <x v="1"/>
  </r>
  <r>
    <n v="63"/>
    <s v="female"/>
    <n v="21.7"/>
    <n v="0"/>
    <s v="no"/>
    <s v="northeast"/>
    <n v="5213.4082317937091"/>
    <n v="4965.1506969463908"/>
    <n v="0"/>
    <x v="3"/>
  </r>
  <r>
    <n v="58"/>
    <s v="female"/>
    <n v="28.2"/>
    <n v="0"/>
    <s v="no"/>
    <s v="midwest"/>
    <n v="4472.611400704247"/>
    <n v="4259.6299054326173"/>
    <n v="0"/>
    <x v="3"/>
  </r>
  <r>
    <n v="37"/>
    <s v="male"/>
    <n v="22.7"/>
    <n v="3"/>
    <s v="no"/>
    <s v="northeast"/>
    <n v="2013.1287970207986"/>
    <n v="2684.171729361065"/>
    <n v="0"/>
    <x v="2"/>
  </r>
  <r>
    <n v="25"/>
    <s v="female"/>
    <n v="21.3"/>
    <n v="1"/>
    <s v="no"/>
    <s v="southeast"/>
    <n v="2391.7840681069661"/>
    <n v="2813.8636095376082"/>
    <n v="0"/>
    <x v="1"/>
  </r>
  <r>
    <n v="52"/>
    <s v="male"/>
    <n v="41.8"/>
    <n v="2"/>
    <s v="yes"/>
    <s v="southeast"/>
    <n v="1308.42828043498"/>
    <n v="1744.5710405799734"/>
    <n v="1"/>
    <x v="0"/>
  </r>
  <r>
    <n v="64"/>
    <s v="male"/>
    <n v="37"/>
    <n v="2"/>
    <s v="yes"/>
    <s v="southeast"/>
    <n v="4809.5263616796947"/>
    <n v="4580.5012968378051"/>
    <n v="1"/>
    <x v="0"/>
  </r>
  <r>
    <n v="22"/>
    <s v="female"/>
    <n v="21.3"/>
    <n v="3"/>
    <s v="no"/>
    <s v="midwest"/>
    <n v="1454.1595188348492"/>
    <n v="1710.7759045115879"/>
    <n v="0"/>
    <x v="1"/>
  </r>
  <r>
    <n v="28"/>
    <s v="female"/>
    <n v="20.399999999999999"/>
    <n v="0"/>
    <s v="no"/>
    <s v="southeast"/>
    <n v="2025.7983389055348"/>
    <n v="2383.2921634182771"/>
    <n v="0"/>
    <x v="1"/>
  </r>
  <r>
    <n v="18"/>
    <s v="male"/>
    <n v="21.4"/>
    <n v="0"/>
    <s v="no"/>
    <s v="southeast"/>
    <n v="1582.1007352793411"/>
    <n v="1861.2949826815786"/>
    <n v="0"/>
    <x v="1"/>
  </r>
  <r>
    <n v="28"/>
    <s v="male"/>
    <n v="24.3"/>
    <n v="5"/>
    <s v="no"/>
    <s v="south"/>
    <n v="2480.7026106784474"/>
    <n v="3307.6034809045964"/>
    <n v="0"/>
    <x v="2"/>
  </r>
  <r>
    <n v="45"/>
    <s v="female"/>
    <n v="25.7"/>
    <n v="3"/>
    <s v="no"/>
    <s v="south"/>
    <n v="1671.8129564381181"/>
    <n v="2229.0839419174908"/>
    <n v="0"/>
    <x v="2"/>
  </r>
  <r>
    <n v="33"/>
    <s v="male"/>
    <n v="29.4"/>
    <n v="4"/>
    <s v="no"/>
    <s v="south"/>
    <n v="1704.8333101648452"/>
    <n v="2273.1110802197936"/>
    <n v="0"/>
    <x v="2"/>
  </r>
  <r>
    <n v="18"/>
    <s v="female"/>
    <n v="26"/>
    <n v="0"/>
    <s v="no"/>
    <s v="southeast"/>
    <n v="1901.6744429442617"/>
    <n v="2237.2640505226618"/>
    <n v="0"/>
    <x v="1"/>
  </r>
  <r>
    <n v="32"/>
    <s v="male"/>
    <n v="21.7"/>
    <n v="1"/>
    <s v="yes"/>
    <s v="northeast"/>
    <n v="1772.1820376624241"/>
    <n v="2084.9200443087352"/>
    <n v="1"/>
    <x v="0"/>
  </r>
  <r>
    <n v="24"/>
    <s v="male"/>
    <n v="25.5"/>
    <n v="0"/>
    <s v="yes"/>
    <s v="northeast"/>
    <n v="1867.2030239150915"/>
    <n v="2196.7094399001085"/>
    <n v="1"/>
    <x v="0"/>
  </r>
  <r>
    <n v="19"/>
    <s v="male"/>
    <n v="25.5"/>
    <n v="0"/>
    <s v="no"/>
    <s v="south"/>
    <n v="1802.6059633059999"/>
    <n v="2120.7128980070593"/>
    <n v="0"/>
    <x v="1"/>
  </r>
  <r>
    <n v="20"/>
    <s v="male"/>
    <n v="20.6"/>
    <n v="0"/>
    <s v="yes"/>
    <s v="south"/>
    <n v="1696.2541618961693"/>
    <n v="1995.5931316425529"/>
    <n v="1"/>
    <x v="0"/>
  </r>
  <r>
    <n v="40"/>
    <s v="female"/>
    <n v="29.3"/>
    <n v="4"/>
    <s v="no"/>
    <s v="south"/>
    <n v="2282.8907700958707"/>
    <n v="3043.8543601278279"/>
    <n v="0"/>
    <x v="2"/>
  </r>
  <r>
    <n v="34"/>
    <s v="female"/>
    <n v="22.4"/>
    <n v="0"/>
    <s v="no"/>
    <s v="southeast"/>
    <n v="1667.112915142684"/>
    <n v="1961.3093119325702"/>
    <n v="0"/>
    <x v="1"/>
  </r>
  <r>
    <n v="42"/>
    <s v="female"/>
    <n v="37.9"/>
    <n v="0"/>
    <s v="no"/>
    <s v="south"/>
    <n v="5256.3938820431167"/>
    <n v="5006.0894114696357"/>
    <n v="0"/>
    <x v="3"/>
  </r>
  <r>
    <n v="51"/>
    <s v="female"/>
    <n v="36.4"/>
    <n v="3"/>
    <s v="no"/>
    <s v="midwest"/>
    <n v="1378.0200245154804"/>
    <n v="1837.3600326873072"/>
    <n v="0"/>
    <x v="2"/>
  </r>
  <r>
    <n v="54"/>
    <s v="female"/>
    <n v="27.6"/>
    <n v="1"/>
    <s v="no"/>
    <s v="midwest"/>
    <n v="4483.4063400766518"/>
    <n v="4269.910800073003"/>
    <n v="0"/>
    <x v="3"/>
  </r>
  <r>
    <n v="55"/>
    <s v="male"/>
    <n v="37.700000000000003"/>
    <n v="3"/>
    <s v="no"/>
    <s v="midwest"/>
    <n v="3218.1975594007763"/>
    <n v="4290.9300792010354"/>
    <n v="0"/>
    <x v="2"/>
  </r>
  <r>
    <n v="52"/>
    <s v="female"/>
    <n v="23.2"/>
    <n v="0"/>
    <s v="no"/>
    <s v="northeast"/>
    <n v="4002.0483300688602"/>
    <n v="3811.4746000655828"/>
    <n v="0"/>
    <x v="3"/>
  </r>
  <r>
    <n v="32"/>
    <s v="female"/>
    <n v="24.2"/>
    <n v="0"/>
    <s v="no"/>
    <s v="northeast"/>
    <n v="1796.0321970090831"/>
    <n v="2112.9790553048042"/>
    <n v="0"/>
    <x v="1"/>
  </r>
  <r>
    <n v="28"/>
    <s v="male"/>
    <n v="23.9"/>
    <n v="1"/>
    <s v="no"/>
    <s v="south"/>
    <n v="1950.2814419891849"/>
    <n v="2294.4487552813944"/>
    <n v="0"/>
    <x v="1"/>
  </r>
  <r>
    <n v="41"/>
    <s v="female"/>
    <n v="28.1"/>
    <n v="1"/>
    <s v="no"/>
    <s v="southeast"/>
    <n v="4531.051888680583"/>
    <n v="4315.2875130291286"/>
    <n v="0"/>
    <x v="3"/>
  </r>
  <r>
    <n v="43"/>
    <s v="female"/>
    <n v="29.9"/>
    <n v="1"/>
    <s v="no"/>
    <s v="south"/>
    <n v="5470.2585805715207"/>
    <n v="5209.7700767347833"/>
    <n v="0"/>
    <x v="3"/>
  </r>
  <r>
    <n v="49"/>
    <s v="female"/>
    <n v="33.299999999999997"/>
    <n v="2"/>
    <s v="no"/>
    <s v="northeast"/>
    <n v="2940.2828070675068"/>
    <n v="3920.3770760900093"/>
    <n v="0"/>
    <x v="2"/>
  </r>
  <r>
    <n v="64"/>
    <s v="male"/>
    <n v="23.8"/>
    <n v="0"/>
    <s v="yes"/>
    <s v="southeast"/>
    <n v="3840.0645448038185"/>
    <n v="3657.2043283845906"/>
    <n v="1"/>
    <x v="0"/>
  </r>
  <r>
    <n v="55"/>
    <s v="female"/>
    <n v="30.5"/>
    <n v="0"/>
    <s v="no"/>
    <s v="south"/>
    <n v="5106.2317807826648"/>
    <n v="4863.0778864596823"/>
    <n v="0"/>
    <x v="3"/>
  </r>
  <r>
    <n v="24"/>
    <s v="male"/>
    <n v="23.2"/>
    <n v="0"/>
    <s v="yes"/>
    <s v="northeast"/>
    <n v="1572.6805246042024"/>
    <n v="1850.2123818872976"/>
    <n v="1"/>
    <x v="0"/>
  </r>
  <r>
    <n v="20"/>
    <s v="female"/>
    <n v="25.4"/>
    <n v="0"/>
    <s v="no"/>
    <s v="south"/>
    <n v="1605.0955086742042"/>
    <n v="1888.3476572637703"/>
    <n v="0"/>
    <x v="1"/>
  </r>
  <r>
    <n v="45"/>
    <s v="male"/>
    <n v="27.5"/>
    <n v="3"/>
    <s v="no"/>
    <s v="south"/>
    <n v="2935.0010525239868"/>
    <n v="3913.3347366986491"/>
    <n v="0"/>
    <x v="2"/>
  </r>
  <r>
    <n v="26"/>
    <s v="male"/>
    <n v="22.7"/>
    <n v="1"/>
    <s v="no"/>
    <s v="midwest"/>
    <n v="1848.5103218611544"/>
    <n v="2174.7180257190057"/>
    <n v="0"/>
    <x v="1"/>
  </r>
  <r>
    <n v="25"/>
    <s v="female"/>
    <n v="24.2"/>
    <n v="0"/>
    <s v="no"/>
    <s v="midwest"/>
    <n v="1912.2199961342476"/>
    <n v="2249.6705836873507"/>
    <n v="0"/>
    <x v="1"/>
  </r>
  <r>
    <n v="43"/>
    <s v="male"/>
    <n v="25.5"/>
    <n v="5"/>
    <s v="no"/>
    <s v="southeast"/>
    <n v="2947.2770989008072"/>
    <n v="3929.7027985344098"/>
    <n v="0"/>
    <x v="2"/>
  </r>
  <r>
    <n v="35"/>
    <s v="male"/>
    <n v="25.2"/>
    <n v="1"/>
    <s v="no"/>
    <s v="southeast"/>
    <n v="1727.566067495201"/>
    <n v="2032.4306676414135"/>
    <n v="0"/>
    <x v="1"/>
  </r>
  <r>
    <n v="26"/>
    <s v="male"/>
    <n v="20.5"/>
    <n v="0"/>
    <s v="yes"/>
    <s v="southeast"/>
    <n v="1561.9941246023066"/>
    <n v="1837.6401465909498"/>
    <n v="1"/>
    <x v="0"/>
  </r>
  <r>
    <n v="57"/>
    <s v="male"/>
    <n v="23.7"/>
    <n v="0"/>
    <s v="no"/>
    <s v="south"/>
    <n v="5971.4341003683003"/>
    <n v="5687.080095588859"/>
    <n v="0"/>
    <x v="3"/>
  </r>
  <r>
    <n v="22"/>
    <s v="female"/>
    <n v="23.1"/>
    <n v="0"/>
    <s v="no"/>
    <s v="northeast"/>
    <n v="2266.1935681554864"/>
    <n v="2666.1100801829257"/>
    <n v="0"/>
    <x v="1"/>
  </r>
  <r>
    <n v="32"/>
    <s v="female"/>
    <n v="22.8"/>
    <n v="0"/>
    <s v="no"/>
    <s v="midwest"/>
    <n v="1654.2634890991922"/>
    <n v="1946.1923401166973"/>
    <n v="0"/>
    <x v="1"/>
  </r>
  <r>
    <n v="39"/>
    <s v="male"/>
    <n v="23.8"/>
    <n v="1"/>
    <s v="yes"/>
    <s v="northeast"/>
    <n v="1703.8473752789525"/>
    <n v="2004.5263238575922"/>
    <n v="1"/>
    <x v="0"/>
  </r>
  <r>
    <n v="25"/>
    <s v="female"/>
    <n v="22.4"/>
    <n v="2"/>
    <s v="no"/>
    <s v="midwest"/>
    <n v="1495.9110486863713"/>
    <n v="1759.8953513957317"/>
    <n v="0"/>
    <x v="1"/>
  </r>
  <r>
    <n v="48"/>
    <s v="female"/>
    <n v="33.299999999999997"/>
    <n v="0"/>
    <s v="no"/>
    <s v="southeast"/>
    <n v="5526.7870087418278"/>
    <n v="5263.6066749922184"/>
    <n v="0"/>
    <x v="3"/>
  </r>
  <r>
    <n v="47"/>
    <s v="female"/>
    <n v="27.6"/>
    <n v="2"/>
    <s v="yes"/>
    <s v="midwest"/>
    <n v="1176.8648891736045"/>
    <n v="1569.1531855648061"/>
    <n v="1"/>
    <x v="0"/>
  </r>
  <r>
    <n v="18"/>
    <s v="female"/>
    <n v="24.3"/>
    <n v="0"/>
    <s v="yes"/>
    <s v="northeast"/>
    <n v="1264.7779868591736"/>
    <n v="1487.974102187264"/>
    <n v="1"/>
    <x v="0"/>
  </r>
  <r>
    <n v="18"/>
    <s v="male"/>
    <n v="25.9"/>
    <n v="1"/>
    <s v="no"/>
    <s v="southeast"/>
    <n v="1955.1746236695865"/>
    <n v="2300.2054396112794"/>
    <n v="0"/>
    <x v="1"/>
  </r>
  <r>
    <n v="61"/>
    <s v="male"/>
    <n v="36.299999999999997"/>
    <n v="1"/>
    <s v="yes"/>
    <s v="south"/>
    <n v="5764.1091146938452"/>
    <n v="5489.6277282798537"/>
    <n v="1"/>
    <x v="0"/>
  </r>
  <r>
    <n v="47"/>
    <s v="female"/>
    <n v="24.3"/>
    <n v="0"/>
    <s v="no"/>
    <s v="northeast"/>
    <n v="3576.8055352723632"/>
    <n v="3406.4814621641572"/>
    <n v="0"/>
    <x v="3"/>
  </r>
  <r>
    <n v="28"/>
    <s v="female"/>
    <n v="22.6"/>
    <n v="0"/>
    <s v="no"/>
    <s v="northeast"/>
    <n v="1728.3750891205996"/>
    <n v="2033.3824577889413"/>
    <n v="0"/>
    <x v="1"/>
  </r>
  <r>
    <n v="36"/>
    <s v="female"/>
    <n v="22.8"/>
    <n v="1"/>
    <s v="no"/>
    <s v="south"/>
    <n v="2560.220607490367"/>
    <n v="3012.0242441063156"/>
    <n v="0"/>
    <x v="1"/>
  </r>
  <r>
    <n v="20"/>
    <s v="male"/>
    <n v="39.4"/>
    <n v="2"/>
    <s v="yes"/>
    <s v="south"/>
    <n v="1861.4778477023851"/>
    <n v="2481.9704636031802"/>
    <n v="1"/>
    <x v="0"/>
  </r>
  <r>
    <n v="44"/>
    <s v="male"/>
    <n v="34.299999999999997"/>
    <n v="1"/>
    <s v="no"/>
    <s v="southeast"/>
    <n v="4799.8251709928172"/>
    <n v="4571.2620676122087"/>
    <n v="0"/>
    <x v="3"/>
  </r>
  <r>
    <n v="38"/>
    <s v="female"/>
    <n v="20"/>
    <n v="2"/>
    <s v="no"/>
    <s v="northeast"/>
    <n v="1994.6651291673854"/>
    <n v="2346.6648578439836"/>
    <n v="0"/>
    <x v="1"/>
  </r>
  <r>
    <n v="19"/>
    <s v="male"/>
    <n v="24.3"/>
    <n v="0"/>
    <s v="yes"/>
    <s v="south"/>
    <n v="1387.0384667967342"/>
    <n v="1631.8099609373353"/>
    <n v="1"/>
    <x v="0"/>
  </r>
  <r>
    <n v="21"/>
    <s v="male"/>
    <n v="21.5"/>
    <n v="0"/>
    <s v="no"/>
    <s v="southeast"/>
    <n v="2015.1857724924239"/>
    <n v="2370.8067911675585"/>
    <n v="0"/>
    <x v="1"/>
  </r>
  <r>
    <n v="46"/>
    <s v="male"/>
    <n v="25.7"/>
    <n v="3"/>
    <s v="no"/>
    <s v="midwest"/>
    <n v="1211.8944033461078"/>
    <n v="1615.859204461477"/>
    <n v="0"/>
    <x v="2"/>
  </r>
  <r>
    <n v="58"/>
    <s v="male"/>
    <n v="25.2"/>
    <n v="0"/>
    <s v="no"/>
    <s v="northeast"/>
    <n v="3773.360826959421"/>
    <n v="3593.6769780565928"/>
    <n v="0"/>
    <x v="3"/>
  </r>
  <r>
    <n v="20"/>
    <s v="male"/>
    <n v="25.3"/>
    <n v="1"/>
    <s v="no"/>
    <s v="south"/>
    <n v="1710.5549306252608"/>
    <n v="2012.4175654414842"/>
    <n v="0"/>
    <x v="1"/>
  </r>
  <r>
    <n v="18"/>
    <s v="male"/>
    <n v="20.3"/>
    <n v="0"/>
    <s v="no"/>
    <s v="northeast"/>
    <n v="2230.2911972196266"/>
    <n v="2623.8719967289735"/>
    <n v="0"/>
    <x v="1"/>
  </r>
  <r>
    <n v="28"/>
    <s v="female"/>
    <n v="26.5"/>
    <n v="2"/>
    <s v="no"/>
    <s v="southeast"/>
    <n v="2051.0031612942639"/>
    <n v="2412.9448956403112"/>
    <n v="0"/>
    <x v="1"/>
  </r>
  <r>
    <n v="33"/>
    <s v="male"/>
    <n v="27.5"/>
    <n v="2"/>
    <s v="no"/>
    <s v="midwest"/>
    <n v="1351.4976267823856"/>
    <n v="1801.9968357098476"/>
    <n v="0"/>
    <x v="2"/>
  </r>
  <r>
    <n v="19"/>
    <s v="female"/>
    <n v="21.2"/>
    <n v="1"/>
    <s v="no"/>
    <s v="midwest"/>
    <n v="2148.5207729465064"/>
    <n v="2527.6714975841255"/>
    <n v="0"/>
    <x v="1"/>
  </r>
  <r>
    <n v="45"/>
    <s v="male"/>
    <n v="30.4"/>
    <n v="0"/>
    <s v="yes"/>
    <s v="southeast"/>
    <n v="3810.5434905561442"/>
    <n v="3629.0890386249007"/>
    <n v="1"/>
    <x v="0"/>
  </r>
  <r>
    <n v="62"/>
    <s v="male"/>
    <n v="30.9"/>
    <n v="3"/>
    <s v="yes"/>
    <s v="midwest"/>
    <n v="1265.6618874283959"/>
    <n v="1687.5491832378611"/>
    <n v="1"/>
    <x v="0"/>
  </r>
  <r>
    <n v="25"/>
    <s v="female"/>
    <n v="20"/>
    <n v="1"/>
    <s v="no"/>
    <s v="south"/>
    <n v="2119.5946155861702"/>
    <n v="2493.6407242190248"/>
    <n v="0"/>
    <x v="1"/>
  </r>
  <r>
    <n v="43"/>
    <s v="male"/>
    <n v="27.8"/>
    <n v="0"/>
    <s v="yes"/>
    <s v="south"/>
    <n v="3445.4641765153729"/>
    <n v="3281.3944538241667"/>
    <n v="1"/>
    <x v="0"/>
  </r>
  <r>
    <n v="42"/>
    <s v="male"/>
    <n v="24.6"/>
    <n v="2"/>
    <s v="yes"/>
    <s v="northeast"/>
    <n v="1398.7017584237785"/>
    <n v="1864.9356778983713"/>
    <n v="1"/>
    <x v="0"/>
  </r>
  <r>
    <n v="24"/>
    <s v="female"/>
    <n v="24.6"/>
    <n v="0"/>
    <s v="no"/>
    <s v="southeast"/>
    <n v="2019.2006297609721"/>
    <n v="2375.5301526599678"/>
    <n v="0"/>
    <x v="1"/>
  </r>
  <r>
    <n v="29"/>
    <s v="female"/>
    <n v="23.7"/>
    <n v="0"/>
    <s v="yes"/>
    <s v="northeast"/>
    <n v="1768.7636215074431"/>
    <n v="2080.8983782440514"/>
    <n v="1"/>
    <x v="0"/>
  </r>
  <r>
    <n v="32"/>
    <s v="male"/>
    <n v="28.1"/>
    <n v="4"/>
    <s v="yes"/>
    <s v="midwest"/>
    <n v="1348.2052892373827"/>
    <n v="1797.6070523165104"/>
    <n v="1"/>
    <x v="0"/>
  </r>
  <r>
    <n v="25"/>
    <s v="female"/>
    <n v="24.1"/>
    <n v="0"/>
    <s v="yes"/>
    <s v="south"/>
    <n v="2124.577205773418"/>
    <n v="2499.5025950275513"/>
    <n v="1"/>
    <x v="0"/>
  </r>
  <r>
    <n v="41"/>
    <s v="male"/>
    <n v="32.200000000000003"/>
    <n v="2"/>
    <s v="no"/>
    <s v="south"/>
    <n v="1999.2956346151207"/>
    <n v="2665.7275128201609"/>
    <n v="0"/>
    <x v="2"/>
  </r>
  <r>
    <n v="42"/>
    <s v="male"/>
    <n v="26.3"/>
    <n v="1"/>
    <s v="no"/>
    <s v="midwest"/>
    <n v="3950.1705252053998"/>
    <n v="3762.0671668622872"/>
    <n v="0"/>
    <x v="3"/>
  </r>
  <r>
    <n v="33"/>
    <s v="female"/>
    <n v="25.6"/>
    <n v="0"/>
    <s v="no"/>
    <s v="midwest"/>
    <n v="1640.5426762738005"/>
    <n v="1930.0502073809425"/>
    <n v="0"/>
    <x v="1"/>
  </r>
  <r>
    <n v="34"/>
    <s v="male"/>
    <n v="21"/>
    <n v="1"/>
    <s v="no"/>
    <s v="south"/>
    <n v="1776.1771410090109"/>
    <n v="2089.6201658929549"/>
    <n v="0"/>
    <x v="1"/>
  </r>
  <r>
    <n v="19"/>
    <s v="female"/>
    <n v="23.4"/>
    <n v="2"/>
    <s v="yes"/>
    <s v="south"/>
    <n v="1478.2106000407912"/>
    <n v="1739.0712941656375"/>
    <n v="1"/>
    <x v="0"/>
  </r>
  <r>
    <n v="30"/>
    <s v="female"/>
    <n v="23.7"/>
    <n v="3"/>
    <s v="yes"/>
    <s v="midwest"/>
    <n v="1888.0170130635568"/>
    <n v="2517.3560174180757"/>
    <n v="1"/>
    <x v="0"/>
  </r>
  <r>
    <n v="18"/>
    <s v="male"/>
    <n v="20.6"/>
    <n v="1"/>
    <s v="no"/>
    <s v="northeast"/>
    <n v="1491.2705473244569"/>
    <n v="1754.4359380287735"/>
    <n v="0"/>
    <x v="1"/>
  </r>
  <r>
    <n v="19"/>
    <s v="female"/>
    <n v="22.3"/>
    <n v="0"/>
    <s v="no"/>
    <s v="south"/>
    <n v="1705.5294126252461"/>
    <n v="2006.5051913238196"/>
    <n v="0"/>
    <x v="1"/>
  </r>
  <r>
    <n v="18"/>
    <s v="male"/>
    <n v="20.5"/>
    <n v="0"/>
    <s v="no"/>
    <s v="southeast"/>
    <n v="1824.1986252198471"/>
    <n v="2146.1160296704093"/>
    <n v="0"/>
    <x v="1"/>
  </r>
  <r>
    <n v="35"/>
    <s v="male"/>
    <n v="39.700000000000003"/>
    <n v="4"/>
    <s v="no"/>
    <s v="northeast"/>
    <n v="2375.8641251629683"/>
    <n v="3167.8188335506243"/>
    <n v="0"/>
    <x v="2"/>
  </r>
  <r>
    <n v="39"/>
    <s v="female"/>
    <n v="26.3"/>
    <n v="2"/>
    <s v="no"/>
    <s v="midwest"/>
    <n v="2383.1839075957046"/>
    <n v="3177.5785434609393"/>
    <n v="0"/>
    <x v="2"/>
  </r>
  <r>
    <n v="31"/>
    <s v="male"/>
    <n v="31.1"/>
    <n v="3"/>
    <s v="no"/>
    <s v="midwest"/>
    <n v="2665.2060090063142"/>
    <n v="3553.6080120084189"/>
    <n v="0"/>
    <x v="2"/>
  </r>
  <r>
    <n v="62"/>
    <s v="male"/>
    <n v="26.7"/>
    <n v="0"/>
    <s v="yes"/>
    <s v="northeast"/>
    <n v="5061.8113075114507"/>
    <n v="4820.7726738204301"/>
    <n v="1"/>
    <x v="0"/>
  </r>
  <r>
    <n v="62"/>
    <s v="male"/>
    <n v="38.799999999999997"/>
    <n v="0"/>
    <s v="no"/>
    <s v="southeast"/>
    <n v="4353.6958100269012"/>
    <n v="4146.3769619303839"/>
    <n v="0"/>
    <x v="3"/>
  </r>
  <r>
    <n v="42"/>
    <s v="female"/>
    <n v="40.4"/>
    <n v="2"/>
    <s v="yes"/>
    <s v="southeast"/>
    <n v="1461.434909439623"/>
    <n v="1948.5798792528308"/>
    <n v="1"/>
    <x v="0"/>
  </r>
  <r>
    <n v="31"/>
    <s v="male"/>
    <n v="23.3"/>
    <n v="1"/>
    <s v="no"/>
    <s v="midwest"/>
    <n v="2513.4199804365844"/>
    <n v="2956.9646828665709"/>
    <n v="0"/>
    <x v="1"/>
  </r>
  <r>
    <n v="61"/>
    <s v="male"/>
    <n v="33.5"/>
    <n v="0"/>
    <s v="no"/>
    <s v="northeast"/>
    <n v="5175.645588834107"/>
    <n v="4929.1862750801038"/>
    <n v="0"/>
    <x v="3"/>
  </r>
  <r>
    <n v="42"/>
    <s v="female"/>
    <n v="32.9"/>
    <n v="0"/>
    <s v="no"/>
    <s v="northeast"/>
    <n v="4307.8624723584762"/>
    <n v="4102.7261641509303"/>
    <n v="0"/>
    <x v="3"/>
  </r>
  <r>
    <n v="51"/>
    <s v="male"/>
    <n v="30"/>
    <n v="1"/>
    <s v="no"/>
    <s v="southeast"/>
    <n v="5999.7566188509063"/>
    <n v="5714.0539227151503"/>
    <n v="0"/>
    <x v="3"/>
  </r>
  <r>
    <n v="23"/>
    <s v="female"/>
    <n v="23.1"/>
    <n v="2"/>
    <s v="no"/>
    <s v="northeast"/>
    <n v="1664.7558257186681"/>
    <n v="1958.536265551375"/>
    <n v="0"/>
    <x v="1"/>
  </r>
  <r>
    <n v="52"/>
    <s v="male"/>
    <n v="38.6"/>
    <n v="2"/>
    <s v="no"/>
    <s v="south"/>
    <n v="2796.6926429269611"/>
    <n v="3728.9235239026148"/>
    <n v="0"/>
    <x v="2"/>
  </r>
  <r>
    <n v="57"/>
    <s v="female"/>
    <n v="25.7"/>
    <n v="2"/>
    <s v="no"/>
    <s v="southeast"/>
    <n v="2244.4172875669965"/>
    <n v="2992.5563834226618"/>
    <n v="0"/>
    <x v="2"/>
  </r>
  <r>
    <n v="23"/>
    <s v="female"/>
    <n v="23.1"/>
    <n v="0"/>
    <s v="no"/>
    <s v="south"/>
    <n v="1393.5244478864311"/>
    <n v="1639.4405269252136"/>
    <n v="0"/>
    <x v="1"/>
  </r>
  <r>
    <n v="52"/>
    <s v="female"/>
    <n v="44.7"/>
    <n v="3"/>
    <s v="no"/>
    <s v="south"/>
    <n v="2841.6300226514049"/>
    <n v="3788.8400302018736"/>
    <n v="0"/>
    <x v="2"/>
  </r>
  <r>
    <n v="50"/>
    <s v="male"/>
    <n v="31"/>
    <n v="3"/>
    <s v="no"/>
    <s v="midwest"/>
    <n v="1343.8600558607304"/>
    <n v="1791.8134078143073"/>
    <n v="0"/>
    <x v="2"/>
  </r>
  <r>
    <n v="18"/>
    <s v="female"/>
    <n v="23.5"/>
    <n v="0"/>
    <s v="no"/>
    <s v="northeast"/>
    <n v="1392.0681606856315"/>
    <n v="1637.7272478654495"/>
    <n v="0"/>
    <x v="1"/>
  </r>
  <r>
    <n v="18"/>
    <s v="female"/>
    <n v="25.3"/>
    <n v="0"/>
    <s v="no"/>
    <s v="southeast"/>
    <n v="2118.9857673413871"/>
    <n v="2492.9244321663386"/>
    <n v="0"/>
    <x v="1"/>
  </r>
  <r>
    <n v="21"/>
    <s v="female"/>
    <n v="23.9"/>
    <n v="0"/>
    <s v="no"/>
    <s v="south"/>
    <n v="1431.3380596560185"/>
    <n v="1683.9271290070815"/>
    <n v="0"/>
    <x v="1"/>
  </r>
  <r>
    <n v="61"/>
    <s v="female"/>
    <n v="29.1"/>
    <n v="0"/>
    <s v="yes"/>
    <s v="midwest"/>
    <n v="4541.9019946798235"/>
    <n v="4325.6209473141189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F23A3-C4E7-4894-B76E-73A7DD5411B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8" firstHeaderRow="0" firstDataRow="1" firstDataCol="1"/>
  <pivotFields count="10"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axis="axisRow" showAll="0">
      <items count="5">
        <item x="1"/>
        <item x="3"/>
        <item x="0"/>
        <item x="2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Média de age" fld="0" subtotal="average" baseField="9" baseItem="0"/>
    <dataField name="Média de bmi" fld="2" subtotal="average" baseField="9" baseItem="0"/>
    <dataField name="Média de children" fld="3" subtotal="average" baseField="9" baseItem="0"/>
    <dataField name="Média de discount_eligibility_tratado" fld="8" subtotal="average" baseField="9" baseItem="0"/>
    <dataField name="Média de expenses" fld="6" subtotal="average" baseField="9" baseItem="3" numFmtId="165"/>
    <dataField name="DesvPad de expenses" fld="6" subtotal="stdDev" baseField="9" baseItem="3"/>
    <dataField name="Média de premium" fld="7" subtotal="average" baseField="9" baseItem="3" numFmtId="165"/>
  </dataFields>
  <formats count="3">
    <format dxfId="2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9" count="0"/>
        </references>
      </pivotArea>
    </format>
    <format dxfId="1">
      <pivotArea collapsedLevelsAreSubtotals="1" fieldPosition="0">
        <references count="2">
          <reference field="4294967294" count="2" selected="0">
            <x v="4"/>
            <x v="6"/>
          </reference>
          <reference field="9" count="0"/>
        </references>
      </pivotArea>
    </format>
    <format dxfId="0">
      <pivotArea outline="0" collapsedLevelsAreSubtotals="1" fieldPosition="0">
        <references count="1">
          <reference field="4294967294" count="2" selected="0">
            <x v="4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7FE8C-5FF3-4F7B-A929-9D2DD0687F98}" name="base_clientes" displayName="base_clientes" ref="A1:H1339" totalsRowShown="0" headerRowDxfId="12" tableBorderDxfId="11">
  <autoFilter ref="A1:H1339" xr:uid="{53A7FE8C-5FF3-4F7B-A929-9D2DD0687F98}"/>
  <tableColumns count="8">
    <tableColumn id="1" xr3:uid="{43C73994-CF8C-4C7F-8AFD-71CEBF276BD5}" name="age" dataDxfId="10"/>
    <tableColumn id="2" xr3:uid="{723FF094-59D4-46D7-B771-A88DCD8DEA14}" name="gender" dataDxfId="9"/>
    <tableColumn id="3" xr3:uid="{97B29098-E4D4-4F04-B232-9FBC8AEC6E84}" name="bmi" dataDxfId="8"/>
    <tableColumn id="4" xr3:uid="{02793526-B694-4B33-A16E-1CF082B20927}" name="children" dataDxfId="7"/>
    <tableColumn id="5" xr3:uid="{78F873B6-0D27-4E04-8B26-3EDDB6ED6273}" name="discount_eligibility" dataDxfId="6"/>
    <tableColumn id="6" xr3:uid="{E2924859-042D-4EAE-8158-11F3E63A0B5C}" name="region" dataDxfId="5"/>
    <tableColumn id="7" xr3:uid="{8AE443A2-4A1A-4481-B8E2-9E6D5514BEFF}" name="expenses" dataDxfId="4"/>
    <tableColumn id="8" xr3:uid="{E9353830-CE77-43B7-8363-F7F0E9F87902}" name="premium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849B-E6BD-4AC0-955A-A84B0DFFADA1}">
  <dimension ref="A1:H1339"/>
  <sheetViews>
    <sheetView showGridLines="0" tabSelected="1" zoomScale="130" zoomScaleNormal="130" workbookViewId="0">
      <selection activeCell="M15" sqref="M15"/>
    </sheetView>
  </sheetViews>
  <sheetFormatPr defaultRowHeight="15" x14ac:dyDescent="0.25"/>
  <cols>
    <col min="4" max="4" width="9.5703125" customWidth="1"/>
    <col min="5" max="5" width="18.85546875" customWidth="1"/>
    <col min="6" max="6" width="9.140625" bestFit="1" customWidth="1"/>
    <col min="7" max="7" width="13.42578125" bestFit="1" customWidth="1"/>
    <col min="8" max="8" width="11.85546875" bestFit="1" customWidth="1"/>
  </cols>
  <sheetData>
    <row r="1" spans="1:8" x14ac:dyDescent="0.25">
      <c r="A1" s="1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" t="s">
        <v>7</v>
      </c>
    </row>
    <row r="2" spans="1:8" x14ac:dyDescent="0.25">
      <c r="A2" s="16">
        <v>19</v>
      </c>
      <c r="B2" s="4" t="s">
        <v>8</v>
      </c>
      <c r="C2" s="4">
        <v>24.1</v>
      </c>
      <c r="D2" s="4">
        <v>0</v>
      </c>
      <c r="E2" s="4" t="s">
        <v>9</v>
      </c>
      <c r="F2" s="4" t="s">
        <v>21</v>
      </c>
      <c r="G2" s="14">
        <v>1483.2083438014599</v>
      </c>
      <c r="H2" s="15">
        <v>1744.9509927076006</v>
      </c>
    </row>
    <row r="3" spans="1:8" x14ac:dyDescent="0.25">
      <c r="A3" s="16">
        <v>18</v>
      </c>
      <c r="B3" s="4" t="s">
        <v>11</v>
      </c>
      <c r="C3" s="4">
        <v>23.5</v>
      </c>
      <c r="D3" s="4">
        <v>1</v>
      </c>
      <c r="E3" s="4" t="s">
        <v>12</v>
      </c>
      <c r="F3" s="4" t="s">
        <v>13</v>
      </c>
      <c r="G3" s="14">
        <v>2237.6079336587268</v>
      </c>
      <c r="H3" s="15">
        <v>2632.4799219514439</v>
      </c>
    </row>
    <row r="4" spans="1:8" x14ac:dyDescent="0.25">
      <c r="A4" s="16">
        <v>28</v>
      </c>
      <c r="B4" s="4" t="s">
        <v>11</v>
      </c>
      <c r="C4" s="4">
        <v>33</v>
      </c>
      <c r="D4" s="4">
        <v>3</v>
      </c>
      <c r="E4" s="4" t="s">
        <v>12</v>
      </c>
      <c r="F4" s="4" t="s">
        <v>13</v>
      </c>
      <c r="G4" s="14">
        <v>2046.087155520574</v>
      </c>
      <c r="H4" s="15">
        <v>2728.1162073607652</v>
      </c>
    </row>
    <row r="5" spans="1:8" x14ac:dyDescent="0.25">
      <c r="A5" s="16">
        <v>33</v>
      </c>
      <c r="B5" s="4" t="s">
        <v>11</v>
      </c>
      <c r="C5" s="4">
        <v>23.3</v>
      </c>
      <c r="D5" s="4">
        <v>0</v>
      </c>
      <c r="E5" s="4" t="s">
        <v>12</v>
      </c>
      <c r="F5" s="4" t="s">
        <v>20</v>
      </c>
      <c r="G5" s="14">
        <v>2331.6920440425133</v>
      </c>
      <c r="H5" s="15">
        <v>2743.1671106382519</v>
      </c>
    </row>
    <row r="6" spans="1:8" x14ac:dyDescent="0.25">
      <c r="A6" s="16">
        <v>32</v>
      </c>
      <c r="B6" s="4" t="s">
        <v>11</v>
      </c>
      <c r="C6" s="4">
        <v>23.4</v>
      </c>
      <c r="D6" s="4">
        <v>0</v>
      </c>
      <c r="E6" s="4" t="s">
        <v>12</v>
      </c>
      <c r="F6" s="4" t="s">
        <v>20</v>
      </c>
      <c r="G6" s="14">
        <v>1942.5012513580566</v>
      </c>
      <c r="H6" s="15">
        <v>2285.2955898330083</v>
      </c>
    </row>
    <row r="7" spans="1:8" x14ac:dyDescent="0.25">
      <c r="A7" s="16">
        <v>31</v>
      </c>
      <c r="B7" s="4" t="s">
        <v>8</v>
      </c>
      <c r="C7" s="4">
        <v>22.9</v>
      </c>
      <c r="D7" s="4">
        <v>0</v>
      </c>
      <c r="E7" s="4" t="s">
        <v>12</v>
      </c>
      <c r="F7" s="4" t="s">
        <v>13</v>
      </c>
      <c r="G7" s="14">
        <v>2375.7405441112601</v>
      </c>
      <c r="H7" s="15">
        <v>2794.9888754250128</v>
      </c>
    </row>
    <row r="8" spans="1:8" x14ac:dyDescent="0.25">
      <c r="A8" s="16">
        <v>46</v>
      </c>
      <c r="B8" s="4" t="s">
        <v>8</v>
      </c>
      <c r="C8" s="4">
        <v>33.4</v>
      </c>
      <c r="D8" s="4">
        <v>1</v>
      </c>
      <c r="E8" s="4" t="s">
        <v>12</v>
      </c>
      <c r="F8" s="4" t="s">
        <v>13</v>
      </c>
      <c r="G8" s="14">
        <v>4453.2339258824668</v>
      </c>
      <c r="H8" s="15">
        <v>4241.1751675071127</v>
      </c>
    </row>
    <row r="9" spans="1:8" x14ac:dyDescent="0.25">
      <c r="A9" s="16">
        <v>37</v>
      </c>
      <c r="B9" s="4" t="s">
        <v>8</v>
      </c>
      <c r="C9" s="4">
        <v>27.7</v>
      </c>
      <c r="D9" s="4">
        <v>3</v>
      </c>
      <c r="E9" s="4" t="s">
        <v>12</v>
      </c>
      <c r="F9" s="4" t="s">
        <v>20</v>
      </c>
      <c r="G9" s="14">
        <v>2326.6881657621798</v>
      </c>
      <c r="H9" s="15">
        <v>3102.2508876829061</v>
      </c>
    </row>
    <row r="10" spans="1:8" x14ac:dyDescent="0.25">
      <c r="A10" s="16">
        <v>37</v>
      </c>
      <c r="B10" s="4" t="s">
        <v>11</v>
      </c>
      <c r="C10" s="4">
        <v>29.8</v>
      </c>
      <c r="D10" s="4">
        <v>2</v>
      </c>
      <c r="E10" s="4" t="s">
        <v>12</v>
      </c>
      <c r="F10" s="4" t="s">
        <v>15</v>
      </c>
      <c r="G10" s="14">
        <v>1712.4259783787038</v>
      </c>
      <c r="H10" s="15">
        <v>2283.2346378382717</v>
      </c>
    </row>
    <row r="11" spans="1:8" x14ac:dyDescent="0.25">
      <c r="A11" s="16">
        <v>60</v>
      </c>
      <c r="B11" s="4" t="s">
        <v>8</v>
      </c>
      <c r="C11" s="4">
        <v>25.8</v>
      </c>
      <c r="D11" s="4">
        <v>0</v>
      </c>
      <c r="E11" s="4" t="s">
        <v>12</v>
      </c>
      <c r="F11" s="4" t="s">
        <v>20</v>
      </c>
      <c r="G11" s="14">
        <v>4684.8205889541305</v>
      </c>
      <c r="H11" s="15">
        <v>4461.7338942420301</v>
      </c>
    </row>
    <row r="12" spans="1:8" x14ac:dyDescent="0.25">
      <c r="A12" s="16">
        <v>25</v>
      </c>
      <c r="B12" s="4" t="s">
        <v>11</v>
      </c>
      <c r="C12" s="4">
        <v>20.3</v>
      </c>
      <c r="D12" s="4">
        <v>0</v>
      </c>
      <c r="E12" s="4" t="s">
        <v>12</v>
      </c>
      <c r="F12" s="4" t="s">
        <v>15</v>
      </c>
      <c r="G12" s="14">
        <v>2168.5564914224506</v>
      </c>
      <c r="H12" s="15">
        <v>2551.2429310852363</v>
      </c>
    </row>
    <row r="13" spans="1:8" x14ac:dyDescent="0.25">
      <c r="A13" s="16">
        <v>62</v>
      </c>
      <c r="B13" s="4" t="s">
        <v>8</v>
      </c>
      <c r="C13" s="4">
        <v>26.3</v>
      </c>
      <c r="D13" s="4">
        <v>0</v>
      </c>
      <c r="E13" s="4" t="s">
        <v>9</v>
      </c>
      <c r="F13" s="4" t="s">
        <v>13</v>
      </c>
      <c r="G13" s="14">
        <v>5417.6353024167529</v>
      </c>
      <c r="H13" s="15">
        <v>5159.6526689683369</v>
      </c>
    </row>
    <row r="14" spans="1:8" x14ac:dyDescent="0.25">
      <c r="A14" s="16">
        <v>23</v>
      </c>
      <c r="B14" s="4" t="s">
        <v>11</v>
      </c>
      <c r="C14" s="4">
        <v>21.2</v>
      </c>
      <c r="D14" s="4">
        <v>0</v>
      </c>
      <c r="E14" s="4" t="s">
        <v>12</v>
      </c>
      <c r="F14" s="4" t="s">
        <v>21</v>
      </c>
      <c r="G14" s="14">
        <v>1802.1615009832854</v>
      </c>
      <c r="H14" s="15">
        <v>2120.1900011568073</v>
      </c>
    </row>
    <row r="15" spans="1:8" x14ac:dyDescent="0.25">
      <c r="A15" s="16">
        <v>56</v>
      </c>
      <c r="B15" s="4" t="s">
        <v>8</v>
      </c>
      <c r="C15" s="4">
        <v>39.799999999999997</v>
      </c>
      <c r="D15" s="4">
        <v>0</v>
      </c>
      <c r="E15" s="4" t="s">
        <v>12</v>
      </c>
      <c r="F15" s="4" t="s">
        <v>13</v>
      </c>
      <c r="G15" s="14">
        <v>3641.0645374069709</v>
      </c>
      <c r="H15" s="15">
        <v>3467.6805118161642</v>
      </c>
    </row>
    <row r="16" spans="1:8" x14ac:dyDescent="0.25">
      <c r="A16" s="16">
        <v>27</v>
      </c>
      <c r="B16" s="4" t="s">
        <v>11</v>
      </c>
      <c r="C16" s="4">
        <v>24.2</v>
      </c>
      <c r="D16" s="4">
        <v>0</v>
      </c>
      <c r="E16" s="4" t="s">
        <v>9</v>
      </c>
      <c r="F16" s="4" t="s">
        <v>13</v>
      </c>
      <c r="G16" s="14">
        <v>1460.3167286240553</v>
      </c>
      <c r="H16" s="15">
        <v>1718.0196807341836</v>
      </c>
    </row>
    <row r="17" spans="1:8" x14ac:dyDescent="0.25">
      <c r="A17" s="16">
        <v>19</v>
      </c>
      <c r="B17" s="4" t="s">
        <v>11</v>
      </c>
      <c r="C17" s="4">
        <v>25.8</v>
      </c>
      <c r="D17" s="4">
        <v>1</v>
      </c>
      <c r="E17" s="4" t="s">
        <v>12</v>
      </c>
      <c r="F17" s="4" t="s">
        <v>21</v>
      </c>
      <c r="G17" s="14">
        <v>1680.3079158609976</v>
      </c>
      <c r="H17" s="15">
        <v>1976.8328421894096</v>
      </c>
    </row>
    <row r="18" spans="1:8" x14ac:dyDescent="0.25">
      <c r="A18" s="16">
        <v>52</v>
      </c>
      <c r="B18" s="4" t="s">
        <v>8</v>
      </c>
      <c r="C18" s="4">
        <v>30.8</v>
      </c>
      <c r="D18" s="4">
        <v>1</v>
      </c>
      <c r="E18" s="4" t="s">
        <v>12</v>
      </c>
      <c r="F18" s="4" t="s">
        <v>15</v>
      </c>
      <c r="G18" s="14">
        <v>3924.9201682119551</v>
      </c>
      <c r="H18" s="15">
        <v>3738.0192078209111</v>
      </c>
    </row>
    <row r="19" spans="1:8" x14ac:dyDescent="0.25">
      <c r="A19" s="16">
        <v>23</v>
      </c>
      <c r="B19" s="4" t="s">
        <v>11</v>
      </c>
      <c r="C19" s="4">
        <v>25.8</v>
      </c>
      <c r="D19" s="4">
        <v>0</v>
      </c>
      <c r="E19" s="4" t="s">
        <v>12</v>
      </c>
      <c r="F19" s="4" t="s">
        <v>15</v>
      </c>
      <c r="G19" s="14">
        <v>1787.5454795082733</v>
      </c>
      <c r="H19" s="15">
        <v>2102.9946817744399</v>
      </c>
    </row>
    <row r="20" spans="1:8" x14ac:dyDescent="0.25">
      <c r="A20" s="16">
        <v>56</v>
      </c>
      <c r="B20" s="4" t="s">
        <v>11</v>
      </c>
      <c r="C20" s="4">
        <v>40.299999999999997</v>
      </c>
      <c r="D20" s="4">
        <v>0</v>
      </c>
      <c r="E20" s="4" t="s">
        <v>12</v>
      </c>
      <c r="F20" s="4" t="s">
        <v>21</v>
      </c>
      <c r="G20" s="14">
        <v>4404.9073514532083</v>
      </c>
      <c r="H20" s="15">
        <v>4195.1498585268664</v>
      </c>
    </row>
    <row r="21" spans="1:8" x14ac:dyDescent="0.25">
      <c r="A21" s="16">
        <v>30</v>
      </c>
      <c r="B21" s="4" t="s">
        <v>11</v>
      </c>
      <c r="C21" s="4">
        <v>25.7</v>
      </c>
      <c r="D21" s="4">
        <v>0</v>
      </c>
      <c r="E21" s="4" t="s">
        <v>9</v>
      </c>
      <c r="F21" s="4" t="s">
        <v>21</v>
      </c>
      <c r="G21" s="14">
        <v>1910.2586995687416</v>
      </c>
      <c r="H21" s="15">
        <v>2247.3631759632262</v>
      </c>
    </row>
    <row r="22" spans="1:8" x14ac:dyDescent="0.25">
      <c r="A22" s="16">
        <v>60</v>
      </c>
      <c r="B22" s="4" t="s">
        <v>8</v>
      </c>
      <c r="C22" s="4">
        <v>36</v>
      </c>
      <c r="D22" s="4">
        <v>0</v>
      </c>
      <c r="E22" s="4" t="s">
        <v>12</v>
      </c>
      <c r="F22" s="4" t="s">
        <v>15</v>
      </c>
      <c r="G22" s="14">
        <v>3798.1509253779682</v>
      </c>
      <c r="H22" s="15">
        <v>3617.286595598066</v>
      </c>
    </row>
    <row r="23" spans="1:8" x14ac:dyDescent="0.25">
      <c r="A23" s="16">
        <v>30</v>
      </c>
      <c r="B23" s="4" t="s">
        <v>8</v>
      </c>
      <c r="C23" s="4">
        <v>24.1</v>
      </c>
      <c r="D23" s="4">
        <v>1</v>
      </c>
      <c r="E23" s="4" t="s">
        <v>12</v>
      </c>
      <c r="F23" s="4" t="s">
        <v>21</v>
      </c>
      <c r="G23" s="14">
        <v>1740.5823660346139</v>
      </c>
      <c r="H23" s="15">
        <v>2047.7439600407231</v>
      </c>
    </row>
    <row r="24" spans="1:8" x14ac:dyDescent="0.25">
      <c r="A24" s="16">
        <v>18</v>
      </c>
      <c r="B24" s="4" t="s">
        <v>11</v>
      </c>
      <c r="C24" s="4">
        <v>23</v>
      </c>
      <c r="D24" s="4">
        <v>0</v>
      </c>
      <c r="E24" s="4" t="s">
        <v>12</v>
      </c>
      <c r="F24" s="4" t="s">
        <v>13</v>
      </c>
      <c r="G24" s="14">
        <v>1536.0759965914722</v>
      </c>
      <c r="H24" s="15">
        <v>1807.1482312840858</v>
      </c>
    </row>
    <row r="25" spans="1:8" x14ac:dyDescent="0.25">
      <c r="A25" s="16">
        <v>34</v>
      </c>
      <c r="B25" s="4" t="s">
        <v>8</v>
      </c>
      <c r="C25" s="4">
        <v>23.4</v>
      </c>
      <c r="D25" s="4">
        <v>1</v>
      </c>
      <c r="E25" s="4" t="s">
        <v>9</v>
      </c>
      <c r="F25" s="4" t="s">
        <v>15</v>
      </c>
      <c r="G25" s="14">
        <v>1555.8077274141297</v>
      </c>
      <c r="H25" s="15">
        <v>1830.3620322519178</v>
      </c>
    </row>
    <row r="26" spans="1:8" x14ac:dyDescent="0.25">
      <c r="A26" s="16">
        <v>37</v>
      </c>
      <c r="B26" s="4" t="s">
        <v>11</v>
      </c>
      <c r="C26" s="4">
        <v>28</v>
      </c>
      <c r="D26" s="4">
        <v>2</v>
      </c>
      <c r="E26" s="4" t="s">
        <v>12</v>
      </c>
      <c r="F26" s="4" t="s">
        <v>20</v>
      </c>
      <c r="G26" s="14">
        <v>1093.0780399373862</v>
      </c>
      <c r="H26" s="15">
        <v>1457.4373865831815</v>
      </c>
    </row>
    <row r="27" spans="1:8" x14ac:dyDescent="0.25">
      <c r="A27" s="16">
        <v>59</v>
      </c>
      <c r="B27" s="4" t="s">
        <v>8</v>
      </c>
      <c r="C27" s="4">
        <v>27.7</v>
      </c>
      <c r="D27" s="4">
        <v>3</v>
      </c>
      <c r="E27" s="4" t="s">
        <v>12</v>
      </c>
      <c r="F27" s="4" t="s">
        <v>13</v>
      </c>
      <c r="G27" s="14">
        <v>3087.1134897948969</v>
      </c>
      <c r="H27" s="15">
        <v>4116.1513197265294</v>
      </c>
    </row>
    <row r="28" spans="1:8" x14ac:dyDescent="0.25">
      <c r="A28" s="16">
        <v>63</v>
      </c>
      <c r="B28" s="4" t="s">
        <v>8</v>
      </c>
      <c r="C28" s="4">
        <v>23.1</v>
      </c>
      <c r="D28" s="4">
        <v>0</v>
      </c>
      <c r="E28" s="4" t="s">
        <v>12</v>
      </c>
      <c r="F28" s="4" t="s">
        <v>15</v>
      </c>
      <c r="G28" s="14">
        <v>4919.5069773495661</v>
      </c>
      <c r="H28" s="15">
        <v>4685.2447403329215</v>
      </c>
    </row>
    <row r="29" spans="1:8" x14ac:dyDescent="0.25">
      <c r="A29" s="16">
        <v>55</v>
      </c>
      <c r="B29" s="4" t="s">
        <v>8</v>
      </c>
      <c r="C29" s="4">
        <v>32.799999999999997</v>
      </c>
      <c r="D29" s="4">
        <v>2</v>
      </c>
      <c r="E29" s="4" t="s">
        <v>12</v>
      </c>
      <c r="F29" s="4" t="s">
        <v>20</v>
      </c>
      <c r="G29" s="14">
        <v>2582.8582873001646</v>
      </c>
      <c r="H29" s="15">
        <v>3443.8110497335529</v>
      </c>
    </row>
    <row r="30" spans="1:8" x14ac:dyDescent="0.25">
      <c r="A30" s="16">
        <v>23</v>
      </c>
      <c r="B30" s="4" t="s">
        <v>11</v>
      </c>
      <c r="C30" s="4">
        <v>25.1</v>
      </c>
      <c r="D30" s="4">
        <v>1</v>
      </c>
      <c r="E30" s="4" t="s">
        <v>12</v>
      </c>
      <c r="F30" s="4" t="s">
        <v>20</v>
      </c>
      <c r="G30" s="14">
        <v>1649.6327842520591</v>
      </c>
      <c r="H30" s="15">
        <v>1940.7444520612464</v>
      </c>
    </row>
    <row r="31" spans="1:8" x14ac:dyDescent="0.25">
      <c r="A31" s="16">
        <v>31</v>
      </c>
      <c r="B31" s="4" t="s">
        <v>11</v>
      </c>
      <c r="C31" s="4">
        <v>36.299999999999997</v>
      </c>
      <c r="D31" s="4">
        <v>2</v>
      </c>
      <c r="E31" s="4" t="s">
        <v>9</v>
      </c>
      <c r="F31" s="4" t="s">
        <v>21</v>
      </c>
      <c r="G31" s="14">
        <v>1296.1726470837023</v>
      </c>
      <c r="H31" s="15">
        <v>1728.2301961116029</v>
      </c>
    </row>
    <row r="32" spans="1:8" x14ac:dyDescent="0.25">
      <c r="A32" s="16">
        <v>22</v>
      </c>
      <c r="B32" s="4" t="s">
        <v>11</v>
      </c>
      <c r="C32" s="4">
        <v>25.1</v>
      </c>
      <c r="D32" s="4">
        <v>0</v>
      </c>
      <c r="E32" s="4" t="s">
        <v>9</v>
      </c>
      <c r="F32" s="4" t="s">
        <v>21</v>
      </c>
      <c r="G32" s="14">
        <v>1877.2039853968902</v>
      </c>
      <c r="H32" s="15">
        <v>2208.4752769375186</v>
      </c>
    </row>
    <row r="33" spans="1:8" x14ac:dyDescent="0.25">
      <c r="A33" s="16">
        <v>18</v>
      </c>
      <c r="B33" s="4" t="s">
        <v>8</v>
      </c>
      <c r="C33" s="4">
        <v>22.5</v>
      </c>
      <c r="D33" s="4">
        <v>0</v>
      </c>
      <c r="E33" s="4" t="s">
        <v>12</v>
      </c>
      <c r="F33" s="4" t="s">
        <v>15</v>
      </c>
      <c r="G33" s="14">
        <v>1604.652954234886</v>
      </c>
      <c r="H33" s="15">
        <v>1887.8270049822195</v>
      </c>
    </row>
    <row r="34" spans="1:8" x14ac:dyDescent="0.25">
      <c r="A34" s="16">
        <v>19</v>
      </c>
      <c r="B34" s="4" t="s">
        <v>8</v>
      </c>
      <c r="C34" s="4">
        <v>28.6</v>
      </c>
      <c r="D34" s="4">
        <v>5</v>
      </c>
      <c r="E34" s="4" t="s">
        <v>12</v>
      </c>
      <c r="F34" s="4" t="s">
        <v>21</v>
      </c>
      <c r="G34" s="14">
        <v>1755.0163522779319</v>
      </c>
      <c r="H34" s="15">
        <v>2340.0218030372425</v>
      </c>
    </row>
    <row r="35" spans="1:8" x14ac:dyDescent="0.25">
      <c r="A35" s="16">
        <v>63</v>
      </c>
      <c r="B35" s="4" t="s">
        <v>11</v>
      </c>
      <c r="C35" s="4">
        <v>28.3</v>
      </c>
      <c r="D35" s="4">
        <v>0</v>
      </c>
      <c r="E35" s="4" t="s">
        <v>12</v>
      </c>
      <c r="F35" s="4" t="s">
        <v>20</v>
      </c>
      <c r="G35" s="14">
        <v>4335.0767517388849</v>
      </c>
      <c r="H35" s="15">
        <v>4128.6445254656064</v>
      </c>
    </row>
    <row r="36" spans="1:8" x14ac:dyDescent="0.25">
      <c r="A36" s="16">
        <v>28</v>
      </c>
      <c r="B36" s="4" t="s">
        <v>11</v>
      </c>
      <c r="C36" s="4">
        <v>25.6</v>
      </c>
      <c r="D36" s="4">
        <v>1</v>
      </c>
      <c r="E36" s="4" t="s">
        <v>9</v>
      </c>
      <c r="F36" s="4" t="s">
        <v>21</v>
      </c>
      <c r="G36" s="14">
        <v>1697.8195808138189</v>
      </c>
      <c r="H36" s="15">
        <v>1997.4348009574348</v>
      </c>
    </row>
    <row r="37" spans="1:8" x14ac:dyDescent="0.25">
      <c r="A37" s="16">
        <v>19</v>
      </c>
      <c r="B37" s="4" t="s">
        <v>11</v>
      </c>
      <c r="C37" s="4">
        <v>23.1</v>
      </c>
      <c r="D37" s="4">
        <v>0</v>
      </c>
      <c r="E37" s="4" t="s">
        <v>12</v>
      </c>
      <c r="F37" s="4" t="s">
        <v>20</v>
      </c>
      <c r="G37" s="14">
        <v>1611.3302033011</v>
      </c>
      <c r="H37" s="15">
        <v>1895.6825921189422</v>
      </c>
    </row>
    <row r="38" spans="1:8" x14ac:dyDescent="0.25">
      <c r="A38" s="16">
        <v>62</v>
      </c>
      <c r="B38" s="4" t="s">
        <v>8</v>
      </c>
      <c r="C38" s="4">
        <v>33</v>
      </c>
      <c r="D38" s="4">
        <v>3</v>
      </c>
      <c r="E38" s="4" t="s">
        <v>12</v>
      </c>
      <c r="F38" s="4" t="s">
        <v>20</v>
      </c>
      <c r="G38" s="14">
        <v>2721.6316463543644</v>
      </c>
      <c r="H38" s="15">
        <v>3628.8421951391524</v>
      </c>
    </row>
    <row r="39" spans="1:8" x14ac:dyDescent="0.25">
      <c r="A39" s="16">
        <v>26</v>
      </c>
      <c r="B39" s="4" t="s">
        <v>11</v>
      </c>
      <c r="C39" s="4">
        <v>21.7</v>
      </c>
      <c r="D39" s="4">
        <v>0</v>
      </c>
      <c r="E39" s="4" t="s">
        <v>12</v>
      </c>
      <c r="F39" s="4" t="s">
        <v>21</v>
      </c>
      <c r="G39" s="14">
        <v>2008.3371640795592</v>
      </c>
      <c r="H39" s="15">
        <v>2362.7496047994823</v>
      </c>
    </row>
    <row r="40" spans="1:8" x14ac:dyDescent="0.25">
      <c r="A40" s="16">
        <v>35</v>
      </c>
      <c r="B40" s="4" t="s">
        <v>11</v>
      </c>
      <c r="C40" s="4">
        <v>23.2</v>
      </c>
      <c r="D40" s="4">
        <v>1</v>
      </c>
      <c r="E40" s="4" t="s">
        <v>9</v>
      </c>
      <c r="F40" s="4" t="s">
        <v>15</v>
      </c>
      <c r="G40" s="14">
        <v>2193.7219135449909</v>
      </c>
      <c r="H40" s="15">
        <v>2580.8493100529313</v>
      </c>
    </row>
    <row r="41" spans="1:8" x14ac:dyDescent="0.25">
      <c r="A41" s="16">
        <v>60</v>
      </c>
      <c r="B41" s="4" t="s">
        <v>11</v>
      </c>
      <c r="C41" s="4">
        <v>39.9</v>
      </c>
      <c r="D41" s="4">
        <v>0</v>
      </c>
      <c r="E41" s="4" t="s">
        <v>9</v>
      </c>
      <c r="F41" s="4" t="s">
        <v>21</v>
      </c>
      <c r="G41" s="14">
        <v>5115.4472379346953</v>
      </c>
      <c r="H41" s="15">
        <v>4871.8545123187587</v>
      </c>
    </row>
    <row r="42" spans="1:8" x14ac:dyDescent="0.25">
      <c r="A42" s="16">
        <v>24</v>
      </c>
      <c r="B42" s="4" t="s">
        <v>8</v>
      </c>
      <c r="C42" s="4">
        <v>24.6</v>
      </c>
      <c r="D42" s="4">
        <v>0</v>
      </c>
      <c r="E42" s="4" t="s">
        <v>12</v>
      </c>
      <c r="F42" s="4" t="s">
        <v>15</v>
      </c>
      <c r="G42" s="14">
        <v>2072.8431013415097</v>
      </c>
      <c r="H42" s="15">
        <v>2438.6389427547183</v>
      </c>
    </row>
    <row r="43" spans="1:8" x14ac:dyDescent="0.25">
      <c r="A43" s="16">
        <v>31</v>
      </c>
      <c r="B43" s="4" t="s">
        <v>8</v>
      </c>
      <c r="C43" s="4">
        <v>36.6</v>
      </c>
      <c r="D43" s="4">
        <v>2</v>
      </c>
      <c r="E43" s="4" t="s">
        <v>12</v>
      </c>
      <c r="F43" s="4" t="s">
        <v>13</v>
      </c>
      <c r="G43" s="14">
        <v>1751.7273667869426</v>
      </c>
      <c r="H43" s="15">
        <v>2335.6364890492569</v>
      </c>
    </row>
    <row r="44" spans="1:8" x14ac:dyDescent="0.25">
      <c r="A44" s="16">
        <v>41</v>
      </c>
      <c r="B44" s="4" t="s">
        <v>11</v>
      </c>
      <c r="C44" s="4">
        <v>26</v>
      </c>
      <c r="D44" s="4">
        <v>1</v>
      </c>
      <c r="E44" s="4" t="s">
        <v>12</v>
      </c>
      <c r="F44" s="4" t="s">
        <v>13</v>
      </c>
      <c r="G44" s="14">
        <v>2499.9994280995807</v>
      </c>
      <c r="H44" s="15">
        <v>2941.1757977642133</v>
      </c>
    </row>
    <row r="45" spans="1:8" x14ac:dyDescent="0.25">
      <c r="A45" s="16">
        <v>37</v>
      </c>
      <c r="B45" s="4" t="s">
        <v>8</v>
      </c>
      <c r="C45" s="4">
        <v>30.8</v>
      </c>
      <c r="D45" s="4">
        <v>2</v>
      </c>
      <c r="E45" s="4" t="s">
        <v>12</v>
      </c>
      <c r="F45" s="4" t="s">
        <v>13</v>
      </c>
      <c r="G45" s="14">
        <v>2547.9037535150105</v>
      </c>
      <c r="H45" s="15">
        <v>3397.2050046866807</v>
      </c>
    </row>
    <row r="46" spans="1:8" x14ac:dyDescent="0.25">
      <c r="A46" s="16">
        <v>38</v>
      </c>
      <c r="B46" s="4" t="s">
        <v>11</v>
      </c>
      <c r="C46" s="4">
        <v>37.1</v>
      </c>
      <c r="D46" s="4">
        <v>1</v>
      </c>
      <c r="E46" s="4" t="s">
        <v>12</v>
      </c>
      <c r="F46" s="4" t="s">
        <v>15</v>
      </c>
      <c r="G46" s="14">
        <v>4982.2283606755091</v>
      </c>
      <c r="H46" s="15">
        <v>4744.9793911195338</v>
      </c>
    </row>
    <row r="47" spans="1:8" x14ac:dyDescent="0.25">
      <c r="A47" s="16">
        <v>55</v>
      </c>
      <c r="B47" s="4" t="s">
        <v>11</v>
      </c>
      <c r="C47" s="4">
        <v>37.299999999999997</v>
      </c>
      <c r="D47" s="4">
        <v>0</v>
      </c>
      <c r="E47" s="4" t="s">
        <v>12</v>
      </c>
      <c r="F47" s="4" t="s">
        <v>21</v>
      </c>
      <c r="G47" s="14">
        <v>4668.2767734299141</v>
      </c>
      <c r="H47" s="15">
        <v>4445.977879457063</v>
      </c>
    </row>
    <row r="48" spans="1:8" x14ac:dyDescent="0.25">
      <c r="A48" s="16">
        <v>18</v>
      </c>
      <c r="B48" s="4" t="s">
        <v>8</v>
      </c>
      <c r="C48" s="4">
        <v>20.8</v>
      </c>
      <c r="D48" s="4">
        <v>2</v>
      </c>
      <c r="E48" s="4" t="s">
        <v>12</v>
      </c>
      <c r="F48" s="4" t="s">
        <v>15</v>
      </c>
      <c r="G48" s="14">
        <v>1299.2137487315999</v>
      </c>
      <c r="H48" s="15">
        <v>1528.4867632136479</v>
      </c>
    </row>
    <row r="49" spans="1:8" x14ac:dyDescent="0.25">
      <c r="A49" s="16">
        <v>28</v>
      </c>
      <c r="B49" s="4" t="s">
        <v>8</v>
      </c>
      <c r="C49" s="4">
        <v>21.2</v>
      </c>
      <c r="D49" s="4">
        <v>0</v>
      </c>
      <c r="E49" s="4" t="s">
        <v>12</v>
      </c>
      <c r="F49" s="4" t="s">
        <v>20</v>
      </c>
      <c r="G49" s="14">
        <v>2186.4894001621292</v>
      </c>
      <c r="H49" s="15">
        <v>2572.3404707789764</v>
      </c>
    </row>
    <row r="50" spans="1:8" x14ac:dyDescent="0.25">
      <c r="A50" s="16">
        <v>60</v>
      </c>
      <c r="B50" s="4" t="s">
        <v>8</v>
      </c>
      <c r="C50" s="4">
        <v>24.5</v>
      </c>
      <c r="D50" s="4">
        <v>0</v>
      </c>
      <c r="E50" s="4" t="s">
        <v>12</v>
      </c>
      <c r="F50" s="4" t="s">
        <v>13</v>
      </c>
      <c r="G50" s="14">
        <v>4762.9663886199869</v>
      </c>
      <c r="H50" s="15">
        <v>4536.1584653523696</v>
      </c>
    </row>
    <row r="51" spans="1:8" x14ac:dyDescent="0.25">
      <c r="A51" s="16">
        <v>36</v>
      </c>
      <c r="B51" s="4" t="s">
        <v>11</v>
      </c>
      <c r="C51" s="4">
        <v>24.8</v>
      </c>
      <c r="D51" s="4">
        <v>1</v>
      </c>
      <c r="E51" s="4" t="s">
        <v>9</v>
      </c>
      <c r="F51" s="4" t="s">
        <v>13</v>
      </c>
      <c r="G51" s="14">
        <v>1776.7645457412086</v>
      </c>
      <c r="H51" s="15">
        <v>2090.3112302837753</v>
      </c>
    </row>
    <row r="52" spans="1:8" x14ac:dyDescent="0.25">
      <c r="A52" s="16">
        <v>18</v>
      </c>
      <c r="B52" s="4" t="s">
        <v>8</v>
      </c>
      <c r="C52" s="4">
        <v>20.3</v>
      </c>
      <c r="D52" s="4">
        <v>0</v>
      </c>
      <c r="E52" s="4" t="s">
        <v>12</v>
      </c>
      <c r="F52" s="4" t="s">
        <v>15</v>
      </c>
      <c r="G52" s="14">
        <v>1867.9946703078481</v>
      </c>
      <c r="H52" s="15">
        <v>2197.6407885974691</v>
      </c>
    </row>
    <row r="53" spans="1:8" x14ac:dyDescent="0.25">
      <c r="A53" s="16">
        <v>21</v>
      </c>
      <c r="B53" s="4" t="s">
        <v>8</v>
      </c>
      <c r="C53" s="4">
        <v>21.4</v>
      </c>
      <c r="D53" s="4">
        <v>2</v>
      </c>
      <c r="E53" s="4" t="s">
        <v>12</v>
      </c>
      <c r="F53" s="4" t="s">
        <v>20</v>
      </c>
      <c r="G53" s="14">
        <v>1616.530685607062</v>
      </c>
      <c r="H53" s="15">
        <v>1901.8008065965441</v>
      </c>
    </row>
    <row r="54" spans="1:8" x14ac:dyDescent="0.25">
      <c r="A54" s="16">
        <v>48</v>
      </c>
      <c r="B54" s="4" t="s">
        <v>11</v>
      </c>
      <c r="C54" s="4">
        <v>28</v>
      </c>
      <c r="D54" s="4">
        <v>1</v>
      </c>
      <c r="E54" s="4" t="s">
        <v>9</v>
      </c>
      <c r="F54" s="4" t="s">
        <v>21</v>
      </c>
      <c r="G54" s="14">
        <v>5250.1824531209822</v>
      </c>
      <c r="H54" s="15">
        <v>5000.1737648771277</v>
      </c>
    </row>
    <row r="55" spans="1:8" x14ac:dyDescent="0.25">
      <c r="A55" s="16">
        <v>36</v>
      </c>
      <c r="B55" s="4" t="s">
        <v>11</v>
      </c>
      <c r="C55" s="4">
        <v>21.9</v>
      </c>
      <c r="D55" s="4">
        <v>0</v>
      </c>
      <c r="E55" s="4" t="s">
        <v>9</v>
      </c>
      <c r="F55" s="4" t="s">
        <v>13</v>
      </c>
      <c r="G55" s="14">
        <v>1829.4347356478459</v>
      </c>
      <c r="H55" s="15">
        <v>2152.2761595857014</v>
      </c>
    </row>
    <row r="56" spans="1:8" x14ac:dyDescent="0.25">
      <c r="A56" s="16">
        <v>40</v>
      </c>
      <c r="B56" s="4" t="s">
        <v>8</v>
      </c>
      <c r="C56" s="4">
        <v>28.7</v>
      </c>
      <c r="D56" s="4">
        <v>3</v>
      </c>
      <c r="E56" s="4" t="s">
        <v>12</v>
      </c>
      <c r="F56" s="4" t="s">
        <v>20</v>
      </c>
      <c r="G56" s="14">
        <v>1504.5517626502708</v>
      </c>
      <c r="H56" s="15">
        <v>2006.0690168670278</v>
      </c>
    </row>
    <row r="57" spans="1:8" x14ac:dyDescent="0.25">
      <c r="A57" s="16">
        <v>58</v>
      </c>
      <c r="B57" s="4" t="s">
        <v>11</v>
      </c>
      <c r="C57" s="4">
        <v>37</v>
      </c>
      <c r="D57" s="4">
        <v>2</v>
      </c>
      <c r="E57" s="4" t="s">
        <v>9</v>
      </c>
      <c r="F57" s="4" t="s">
        <v>20</v>
      </c>
      <c r="G57" s="14">
        <v>1819.0250386424214</v>
      </c>
      <c r="H57" s="15">
        <v>2425.366718189895</v>
      </c>
    </row>
    <row r="58" spans="1:8" x14ac:dyDescent="0.25">
      <c r="A58" s="16">
        <v>58</v>
      </c>
      <c r="B58" s="4" t="s">
        <v>8</v>
      </c>
      <c r="C58" s="4">
        <v>31.8</v>
      </c>
      <c r="D58" s="4">
        <v>2</v>
      </c>
      <c r="E58" s="4" t="s">
        <v>12</v>
      </c>
      <c r="F58" s="4" t="s">
        <v>15</v>
      </c>
      <c r="G58" s="14">
        <v>3198.1282518967</v>
      </c>
      <c r="H58" s="15">
        <v>4264.1710025289331</v>
      </c>
    </row>
    <row r="59" spans="1:8" x14ac:dyDescent="0.25">
      <c r="A59" s="16">
        <v>18</v>
      </c>
      <c r="B59" s="4" t="s">
        <v>11</v>
      </c>
      <c r="C59" s="4">
        <v>24.1</v>
      </c>
      <c r="D59" s="4">
        <v>2</v>
      </c>
      <c r="E59" s="4" t="s">
        <v>9</v>
      </c>
      <c r="F59" s="4" t="s">
        <v>13</v>
      </c>
      <c r="G59" s="14">
        <v>1795.2045225438158</v>
      </c>
      <c r="H59" s="15">
        <v>2112.0053206397843</v>
      </c>
    </row>
    <row r="60" spans="1:8" x14ac:dyDescent="0.25">
      <c r="A60" s="16">
        <v>53</v>
      </c>
      <c r="B60" s="4" t="s">
        <v>8</v>
      </c>
      <c r="C60" s="4">
        <v>22.9</v>
      </c>
      <c r="D60" s="4">
        <v>1</v>
      </c>
      <c r="E60" s="4" t="s">
        <v>9</v>
      </c>
      <c r="F60" s="4" t="s">
        <v>13</v>
      </c>
      <c r="G60" s="14">
        <v>4961.2091866083965</v>
      </c>
      <c r="H60" s="15">
        <v>4724.9611301032364</v>
      </c>
    </row>
    <row r="61" spans="1:8" x14ac:dyDescent="0.25">
      <c r="A61" s="16">
        <v>34</v>
      </c>
      <c r="B61" s="4" t="s">
        <v>8</v>
      </c>
      <c r="C61" s="4">
        <v>37.299999999999997</v>
      </c>
      <c r="D61" s="4">
        <v>2</v>
      </c>
      <c r="E61" s="4" t="s">
        <v>12</v>
      </c>
      <c r="F61" s="4" t="s">
        <v>20</v>
      </c>
      <c r="G61" s="14">
        <v>2514.0463149952825</v>
      </c>
      <c r="H61" s="15">
        <v>3352.0617533270433</v>
      </c>
    </row>
    <row r="62" spans="1:8" x14ac:dyDescent="0.25">
      <c r="A62" s="16">
        <v>43</v>
      </c>
      <c r="B62" s="4" t="s">
        <v>11</v>
      </c>
      <c r="C62" s="4">
        <v>27.4</v>
      </c>
      <c r="D62" s="4">
        <v>3</v>
      </c>
      <c r="E62" s="4" t="s">
        <v>12</v>
      </c>
      <c r="F62" s="4" t="s">
        <v>15</v>
      </c>
      <c r="G62" s="14">
        <v>2832.381622210497</v>
      </c>
      <c r="H62" s="15">
        <v>3776.5088296139961</v>
      </c>
    </row>
    <row r="63" spans="1:8" x14ac:dyDescent="0.25">
      <c r="A63" s="16">
        <v>25</v>
      </c>
      <c r="B63" s="4" t="s">
        <v>11</v>
      </c>
      <c r="C63" s="4">
        <v>33.700000000000003</v>
      </c>
      <c r="D63" s="4">
        <v>4</v>
      </c>
      <c r="E63" s="4" t="s">
        <v>12</v>
      </c>
      <c r="F63" s="4" t="s">
        <v>13</v>
      </c>
      <c r="G63" s="14">
        <v>3307.6697586685068</v>
      </c>
      <c r="H63" s="15">
        <v>4410.2263448913427</v>
      </c>
    </row>
    <row r="64" spans="1:8" x14ac:dyDescent="0.25">
      <c r="A64" s="16">
        <v>64</v>
      </c>
      <c r="B64" s="4" t="s">
        <v>11</v>
      </c>
      <c r="C64" s="4">
        <v>24.7</v>
      </c>
      <c r="D64" s="4">
        <v>1</v>
      </c>
      <c r="E64" s="4" t="s">
        <v>12</v>
      </c>
      <c r="F64" s="4" t="s">
        <v>20</v>
      </c>
      <c r="G64" s="14">
        <v>3562.6555957121759</v>
      </c>
      <c r="H64" s="15">
        <v>3393.0053292496932</v>
      </c>
    </row>
    <row r="65" spans="1:8" x14ac:dyDescent="0.25">
      <c r="A65" s="16">
        <v>28</v>
      </c>
      <c r="B65" s="4" t="s">
        <v>8</v>
      </c>
      <c r="C65" s="4">
        <v>22.4</v>
      </c>
      <c r="D65" s="4">
        <v>1</v>
      </c>
      <c r="E65" s="4" t="s">
        <v>12</v>
      </c>
      <c r="F65" s="4" t="s">
        <v>20</v>
      </c>
      <c r="G65" s="14">
        <v>1895.4256918236044</v>
      </c>
      <c r="H65" s="15">
        <v>2229.9125786160062</v>
      </c>
    </row>
    <row r="66" spans="1:8" x14ac:dyDescent="0.25">
      <c r="A66" s="16">
        <v>20</v>
      </c>
      <c r="B66" s="4" t="s">
        <v>8</v>
      </c>
      <c r="C66" s="4">
        <v>21.6</v>
      </c>
      <c r="D66" s="4">
        <v>0</v>
      </c>
      <c r="E66" s="4" t="s">
        <v>9</v>
      </c>
      <c r="F66" s="4" t="s">
        <v>20</v>
      </c>
      <c r="G66" s="14">
        <v>2065.9089867552989</v>
      </c>
      <c r="H66" s="15">
        <v>2430.4811608885875</v>
      </c>
    </row>
    <row r="67" spans="1:8" x14ac:dyDescent="0.25">
      <c r="A67" s="16">
        <v>19</v>
      </c>
      <c r="B67" s="4" t="s">
        <v>8</v>
      </c>
      <c r="C67" s="4">
        <v>20.399999999999999</v>
      </c>
      <c r="D67" s="4">
        <v>0</v>
      </c>
      <c r="E67" s="4" t="s">
        <v>12</v>
      </c>
      <c r="F67" s="4" t="s">
        <v>21</v>
      </c>
      <c r="G67" s="14">
        <v>1629.2647893933795</v>
      </c>
      <c r="H67" s="15">
        <v>1916.7821051686824</v>
      </c>
    </row>
    <row r="68" spans="1:8" x14ac:dyDescent="0.25">
      <c r="A68" s="16">
        <v>61</v>
      </c>
      <c r="B68" s="4" t="s">
        <v>8</v>
      </c>
      <c r="C68" s="4">
        <v>39.1</v>
      </c>
      <c r="D68" s="4">
        <v>2</v>
      </c>
      <c r="E68" s="4" t="s">
        <v>12</v>
      </c>
      <c r="F68" s="4" t="s">
        <v>21</v>
      </c>
      <c r="G68" s="14">
        <v>5013.1239081717858</v>
      </c>
      <c r="H68" s="15">
        <v>4774.4037220683686</v>
      </c>
    </row>
    <row r="69" spans="1:8" x14ac:dyDescent="0.25">
      <c r="A69" s="16">
        <v>40</v>
      </c>
      <c r="B69" s="4" t="s">
        <v>11</v>
      </c>
      <c r="C69" s="4">
        <v>20.9</v>
      </c>
      <c r="D69" s="4">
        <v>1</v>
      </c>
      <c r="E69" s="4" t="s">
        <v>12</v>
      </c>
      <c r="F69" s="4" t="s">
        <v>20</v>
      </c>
      <c r="G69" s="14">
        <v>1669.3929529135407</v>
      </c>
      <c r="H69" s="15">
        <v>1963.9917093100489</v>
      </c>
    </row>
    <row r="70" spans="1:8" x14ac:dyDescent="0.25">
      <c r="A70" s="16">
        <v>40</v>
      </c>
      <c r="B70" s="4" t="s">
        <v>8</v>
      </c>
      <c r="C70" s="4">
        <v>36.200000000000003</v>
      </c>
      <c r="D70" s="4">
        <v>0</v>
      </c>
      <c r="E70" s="4" t="s">
        <v>12</v>
      </c>
      <c r="F70" s="4" t="s">
        <v>13</v>
      </c>
      <c r="G70" s="14">
        <v>3925.3280224449527</v>
      </c>
      <c r="H70" s="15">
        <v>3738.4076404237658</v>
      </c>
    </row>
    <row r="71" spans="1:8" x14ac:dyDescent="0.25">
      <c r="A71" s="16">
        <v>28</v>
      </c>
      <c r="B71" s="4" t="s">
        <v>11</v>
      </c>
      <c r="C71" s="4">
        <v>24</v>
      </c>
      <c r="D71" s="4">
        <v>3</v>
      </c>
      <c r="E71" s="4" t="s">
        <v>9</v>
      </c>
      <c r="F71" s="4" t="s">
        <v>13</v>
      </c>
      <c r="G71" s="14">
        <v>1735.1687744677088</v>
      </c>
      <c r="H71" s="15">
        <v>2313.5583659569452</v>
      </c>
    </row>
    <row r="72" spans="1:8" x14ac:dyDescent="0.25">
      <c r="A72" s="16">
        <v>27</v>
      </c>
      <c r="B72" s="4" t="s">
        <v>8</v>
      </c>
      <c r="C72" s="4">
        <v>24.4</v>
      </c>
      <c r="D72" s="4">
        <v>0</v>
      </c>
      <c r="E72" s="4" t="s">
        <v>9</v>
      </c>
      <c r="F72" s="4" t="s">
        <v>13</v>
      </c>
      <c r="G72" s="14">
        <v>2298.9199001383977</v>
      </c>
      <c r="H72" s="15">
        <v>2704.6116472216449</v>
      </c>
    </row>
    <row r="73" spans="1:8" x14ac:dyDescent="0.25">
      <c r="A73" s="16">
        <v>31</v>
      </c>
      <c r="B73" s="4" t="s">
        <v>11</v>
      </c>
      <c r="C73" s="4">
        <v>28.5</v>
      </c>
      <c r="D73" s="4">
        <v>5</v>
      </c>
      <c r="E73" s="4" t="s">
        <v>12</v>
      </c>
      <c r="F73" s="4" t="s">
        <v>15</v>
      </c>
      <c r="G73" s="14">
        <v>2639.4314364261386</v>
      </c>
      <c r="H73" s="15">
        <v>3519.2419152348516</v>
      </c>
    </row>
    <row r="74" spans="1:8" x14ac:dyDescent="0.25">
      <c r="A74" s="16">
        <v>53</v>
      </c>
      <c r="B74" s="4" t="s">
        <v>8</v>
      </c>
      <c r="C74" s="4">
        <v>28.1</v>
      </c>
      <c r="D74" s="4">
        <v>3</v>
      </c>
      <c r="E74" s="4" t="s">
        <v>12</v>
      </c>
      <c r="F74" s="4" t="s">
        <v>21</v>
      </c>
      <c r="G74" s="14">
        <v>2384.620782474095</v>
      </c>
      <c r="H74" s="15">
        <v>3179.4943766321267</v>
      </c>
    </row>
    <row r="75" spans="1:8" x14ac:dyDescent="0.25">
      <c r="A75" s="16">
        <v>58</v>
      </c>
      <c r="B75" s="4" t="s">
        <v>11</v>
      </c>
      <c r="C75" s="4">
        <v>32</v>
      </c>
      <c r="D75" s="4">
        <v>1</v>
      </c>
      <c r="E75" s="4" t="s">
        <v>12</v>
      </c>
      <c r="F75" s="4" t="s">
        <v>13</v>
      </c>
      <c r="G75" s="14">
        <v>4093.5770448389408</v>
      </c>
      <c r="H75" s="15">
        <v>3898.6448046085166</v>
      </c>
    </row>
    <row r="76" spans="1:8" x14ac:dyDescent="0.25">
      <c r="A76" s="16">
        <v>44</v>
      </c>
      <c r="B76" s="4" t="s">
        <v>11</v>
      </c>
      <c r="C76" s="4">
        <v>27.4</v>
      </c>
      <c r="D76" s="4">
        <v>2</v>
      </c>
      <c r="E76" s="4" t="s">
        <v>12</v>
      </c>
      <c r="F76" s="4" t="s">
        <v>21</v>
      </c>
      <c r="G76" s="14">
        <v>3054.7916269971856</v>
      </c>
      <c r="H76" s="15">
        <v>4073.0555026629145</v>
      </c>
    </row>
    <row r="77" spans="1:8" x14ac:dyDescent="0.25">
      <c r="A77" s="16">
        <v>57</v>
      </c>
      <c r="B77" s="4" t="s">
        <v>11</v>
      </c>
      <c r="C77" s="4">
        <v>34</v>
      </c>
      <c r="D77" s="4">
        <v>0</v>
      </c>
      <c r="E77" s="4" t="s">
        <v>12</v>
      </c>
      <c r="F77" s="4" t="s">
        <v>20</v>
      </c>
      <c r="G77" s="14">
        <v>4520.1796923530137</v>
      </c>
      <c r="H77" s="15">
        <v>4304.9330403362046</v>
      </c>
    </row>
    <row r="78" spans="1:8" x14ac:dyDescent="0.25">
      <c r="A78" s="16">
        <v>29</v>
      </c>
      <c r="B78" s="4" t="s">
        <v>8</v>
      </c>
      <c r="C78" s="4">
        <v>22.4</v>
      </c>
      <c r="D78" s="4">
        <v>1</v>
      </c>
      <c r="E78" s="4" t="s">
        <v>12</v>
      </c>
      <c r="F78" s="4" t="s">
        <v>13</v>
      </c>
      <c r="G78" s="14">
        <v>2198.0489927980111</v>
      </c>
      <c r="H78" s="15">
        <v>2585.9399915270728</v>
      </c>
    </row>
    <row r="79" spans="1:8" x14ac:dyDescent="0.25">
      <c r="A79" s="16">
        <v>21</v>
      </c>
      <c r="B79" s="4" t="s">
        <v>11</v>
      </c>
      <c r="C79" s="4">
        <v>23.1</v>
      </c>
      <c r="D79" s="4">
        <v>0</v>
      </c>
      <c r="E79" s="4" t="s">
        <v>12</v>
      </c>
      <c r="F79" s="4" t="s">
        <v>13</v>
      </c>
      <c r="G79" s="14">
        <v>1654.3787686317801</v>
      </c>
      <c r="H79" s="15">
        <v>1946.3279630962127</v>
      </c>
    </row>
    <row r="80" spans="1:8" x14ac:dyDescent="0.25">
      <c r="A80" s="16">
        <v>22</v>
      </c>
      <c r="B80" s="4" t="s">
        <v>8</v>
      </c>
      <c r="C80" s="4">
        <v>24.8</v>
      </c>
      <c r="D80" s="4">
        <v>0</v>
      </c>
      <c r="E80" s="4" t="s">
        <v>12</v>
      </c>
      <c r="F80" s="4" t="s">
        <v>15</v>
      </c>
      <c r="G80" s="14">
        <v>2131.4700186081218</v>
      </c>
      <c r="H80" s="15">
        <v>2507.6117865977913</v>
      </c>
    </row>
    <row r="81" spans="1:8" x14ac:dyDescent="0.25">
      <c r="A81" s="16">
        <v>41</v>
      </c>
      <c r="B81" s="4" t="s">
        <v>8</v>
      </c>
      <c r="C81" s="4">
        <v>33</v>
      </c>
      <c r="D81" s="4">
        <v>0</v>
      </c>
      <c r="E81" s="4" t="s">
        <v>12</v>
      </c>
      <c r="F81" s="4" t="s">
        <v>20</v>
      </c>
      <c r="G81" s="14">
        <v>4218.2329620094015</v>
      </c>
      <c r="H81" s="15">
        <v>4017.364725723241</v>
      </c>
    </row>
    <row r="82" spans="1:8" x14ac:dyDescent="0.25">
      <c r="A82" s="16">
        <v>31</v>
      </c>
      <c r="B82" s="4" t="s">
        <v>11</v>
      </c>
      <c r="C82" s="4">
        <v>21.9</v>
      </c>
      <c r="D82" s="4">
        <v>1</v>
      </c>
      <c r="E82" s="4" t="s">
        <v>12</v>
      </c>
      <c r="F82" s="4" t="s">
        <v>15</v>
      </c>
      <c r="G82" s="14">
        <v>1852.3027237544995</v>
      </c>
      <c r="H82" s="15">
        <v>2179.1796750052945</v>
      </c>
    </row>
    <row r="83" spans="1:8" x14ac:dyDescent="0.25">
      <c r="A83" s="16">
        <v>45</v>
      </c>
      <c r="B83" s="4" t="s">
        <v>8</v>
      </c>
      <c r="C83" s="4">
        <v>38.299999999999997</v>
      </c>
      <c r="D83" s="4">
        <v>0</v>
      </c>
      <c r="E83" s="4" t="s">
        <v>12</v>
      </c>
      <c r="F83" s="4" t="s">
        <v>15</v>
      </c>
      <c r="G83" s="14">
        <v>5461.0297786820292</v>
      </c>
      <c r="H83" s="15">
        <v>5200.9807416019339</v>
      </c>
    </row>
    <row r="84" spans="1:8" x14ac:dyDescent="0.25">
      <c r="A84" s="16">
        <v>22</v>
      </c>
      <c r="B84" s="4" t="s">
        <v>11</v>
      </c>
      <c r="C84" s="4">
        <v>20.3</v>
      </c>
      <c r="D84" s="4">
        <v>1</v>
      </c>
      <c r="E84" s="4" t="s">
        <v>9</v>
      </c>
      <c r="F84" s="4" t="s">
        <v>13</v>
      </c>
      <c r="G84" s="14">
        <v>2325.2038013019805</v>
      </c>
      <c r="H84" s="15">
        <v>2735.5338838846837</v>
      </c>
    </row>
    <row r="85" spans="1:8" x14ac:dyDescent="0.25">
      <c r="A85" s="16">
        <v>48</v>
      </c>
      <c r="B85" s="4" t="s">
        <v>8</v>
      </c>
      <c r="C85" s="4">
        <v>41.2</v>
      </c>
      <c r="D85" s="4">
        <v>4</v>
      </c>
      <c r="E85" s="4" t="s">
        <v>12</v>
      </c>
      <c r="F85" s="4" t="s">
        <v>20</v>
      </c>
      <c r="G85" s="14">
        <v>1785.2296005369521</v>
      </c>
      <c r="H85" s="15">
        <v>2380.3061340492695</v>
      </c>
    </row>
    <row r="86" spans="1:8" x14ac:dyDescent="0.25">
      <c r="A86" s="16">
        <v>37</v>
      </c>
      <c r="B86" s="4" t="s">
        <v>8</v>
      </c>
      <c r="C86" s="4">
        <v>34.799999999999997</v>
      </c>
      <c r="D86" s="4">
        <v>2</v>
      </c>
      <c r="E86" s="4" t="s">
        <v>9</v>
      </c>
      <c r="F86" s="4" t="s">
        <v>21</v>
      </c>
      <c r="G86" s="14">
        <v>1918.7870407750931</v>
      </c>
      <c r="H86" s="15">
        <v>2558.3827210334575</v>
      </c>
    </row>
    <row r="87" spans="1:8" x14ac:dyDescent="0.25">
      <c r="A87" s="16">
        <v>45</v>
      </c>
      <c r="B87" s="4" t="s">
        <v>11</v>
      </c>
      <c r="C87" s="4">
        <v>22.9</v>
      </c>
      <c r="D87" s="4">
        <v>2</v>
      </c>
      <c r="E87" s="4" t="s">
        <v>9</v>
      </c>
      <c r="F87" s="4" t="s">
        <v>20</v>
      </c>
      <c r="G87" s="14">
        <v>1349.0817945203366</v>
      </c>
      <c r="H87" s="15">
        <v>1798.7757260271155</v>
      </c>
    </row>
    <row r="88" spans="1:8" x14ac:dyDescent="0.25">
      <c r="A88" s="16">
        <v>57</v>
      </c>
      <c r="B88" s="4" t="s">
        <v>8</v>
      </c>
      <c r="C88" s="4">
        <v>31.2</v>
      </c>
      <c r="D88" s="4">
        <v>0</v>
      </c>
      <c r="E88" s="4" t="s">
        <v>9</v>
      </c>
      <c r="F88" s="4" t="s">
        <v>20</v>
      </c>
      <c r="G88" s="14">
        <v>4682.6202892593656</v>
      </c>
      <c r="H88" s="15">
        <v>4459.6383707232062</v>
      </c>
    </row>
    <row r="89" spans="1:8" x14ac:dyDescent="0.25">
      <c r="A89" s="16">
        <v>56</v>
      </c>
      <c r="B89" s="4" t="s">
        <v>8</v>
      </c>
      <c r="C89" s="4">
        <v>27.2</v>
      </c>
      <c r="D89" s="4">
        <v>0</v>
      </c>
      <c r="E89" s="4" t="s">
        <v>12</v>
      </c>
      <c r="F89" s="4" t="s">
        <v>21</v>
      </c>
      <c r="G89" s="14">
        <v>5688.3468893807276</v>
      </c>
      <c r="H89" s="15">
        <v>5417.4732279816471</v>
      </c>
    </row>
    <row r="90" spans="1:8" x14ac:dyDescent="0.25">
      <c r="A90" s="16">
        <v>46</v>
      </c>
      <c r="B90" s="4" t="s">
        <v>8</v>
      </c>
      <c r="C90" s="4">
        <v>27.7</v>
      </c>
      <c r="D90" s="4">
        <v>0</v>
      </c>
      <c r="E90" s="4" t="s">
        <v>12</v>
      </c>
      <c r="F90" s="4" t="s">
        <v>20</v>
      </c>
      <c r="G90" s="14">
        <v>4398.7505345334012</v>
      </c>
      <c r="H90" s="15">
        <v>4189.2862233651458</v>
      </c>
    </row>
    <row r="91" spans="1:8" x14ac:dyDescent="0.25">
      <c r="A91" s="16">
        <v>55</v>
      </c>
      <c r="B91" s="4" t="s">
        <v>8</v>
      </c>
      <c r="C91" s="4">
        <v>27</v>
      </c>
      <c r="D91" s="4">
        <v>0</v>
      </c>
      <c r="E91" s="4" t="s">
        <v>12</v>
      </c>
      <c r="F91" s="4" t="s">
        <v>20</v>
      </c>
      <c r="G91" s="14">
        <v>5388.6136888826732</v>
      </c>
      <c r="H91" s="15">
        <v>5132.013037031119</v>
      </c>
    </row>
    <row r="92" spans="1:8" x14ac:dyDescent="0.25">
      <c r="A92" s="16">
        <v>21</v>
      </c>
      <c r="B92" s="4" t="s">
        <v>8</v>
      </c>
      <c r="C92" s="4">
        <v>20.399999999999999</v>
      </c>
      <c r="D92" s="4">
        <v>0</v>
      </c>
      <c r="E92" s="4" t="s">
        <v>12</v>
      </c>
      <c r="F92" s="4" t="s">
        <v>13</v>
      </c>
      <c r="G92" s="14">
        <v>1985.2144381811302</v>
      </c>
      <c r="H92" s="15">
        <v>2335.5463978601538</v>
      </c>
    </row>
    <row r="93" spans="1:8" x14ac:dyDescent="0.25">
      <c r="A93" s="16">
        <v>53</v>
      </c>
      <c r="B93" s="4" t="s">
        <v>8</v>
      </c>
      <c r="C93" s="4">
        <v>24.8</v>
      </c>
      <c r="D93" s="4">
        <v>1</v>
      </c>
      <c r="E93" s="4" t="s">
        <v>12</v>
      </c>
      <c r="F93" s="4" t="s">
        <v>20</v>
      </c>
      <c r="G93" s="14">
        <v>4468.7099785149176</v>
      </c>
      <c r="H93" s="15">
        <v>4255.9142652523042</v>
      </c>
    </row>
    <row r="94" spans="1:8" x14ac:dyDescent="0.25">
      <c r="A94" s="16">
        <v>59</v>
      </c>
      <c r="B94" s="4" t="s">
        <v>11</v>
      </c>
      <c r="C94" s="4">
        <v>29.8</v>
      </c>
      <c r="D94" s="4">
        <v>3</v>
      </c>
      <c r="E94" s="4" t="s">
        <v>9</v>
      </c>
      <c r="F94" s="4" t="s">
        <v>15</v>
      </c>
      <c r="G94" s="14">
        <v>1979.1236414412906</v>
      </c>
      <c r="H94" s="15">
        <v>2638.8315219217207</v>
      </c>
    </row>
    <row r="95" spans="1:8" x14ac:dyDescent="0.25">
      <c r="A95" s="16">
        <v>35</v>
      </c>
      <c r="B95" s="4" t="s">
        <v>11</v>
      </c>
      <c r="C95" s="4">
        <v>34.799999999999997</v>
      </c>
      <c r="D95" s="4">
        <v>2</v>
      </c>
      <c r="E95" s="4" t="s">
        <v>12</v>
      </c>
      <c r="F95" s="4" t="s">
        <v>20</v>
      </c>
      <c r="G95" s="14">
        <v>1420.8993791965383</v>
      </c>
      <c r="H95" s="15">
        <v>1894.5325055953845</v>
      </c>
    </row>
    <row r="96" spans="1:8" x14ac:dyDescent="0.25">
      <c r="A96" s="16">
        <v>64</v>
      </c>
      <c r="B96" s="4" t="s">
        <v>8</v>
      </c>
      <c r="C96" s="4">
        <v>31.3</v>
      </c>
      <c r="D96" s="4">
        <v>2</v>
      </c>
      <c r="E96" s="4" t="s">
        <v>9</v>
      </c>
      <c r="F96" s="4" t="s">
        <v>21</v>
      </c>
      <c r="G96" s="14">
        <v>4226.0672002939264</v>
      </c>
      <c r="H96" s="15">
        <v>4024.825905041836</v>
      </c>
    </row>
    <row r="97" spans="1:8" x14ac:dyDescent="0.25">
      <c r="A97" s="16">
        <v>28</v>
      </c>
      <c r="B97" s="4" t="s">
        <v>8</v>
      </c>
      <c r="C97" s="4">
        <v>22.3</v>
      </c>
      <c r="D97" s="4">
        <v>1</v>
      </c>
      <c r="E97" s="4" t="s">
        <v>12</v>
      </c>
      <c r="F97" s="4" t="s">
        <v>13</v>
      </c>
      <c r="G97" s="14">
        <v>2491.2687980162623</v>
      </c>
      <c r="H97" s="15">
        <v>2930.9044682544268</v>
      </c>
    </row>
    <row r="98" spans="1:8" x14ac:dyDescent="0.25">
      <c r="A98" s="16">
        <v>54</v>
      </c>
      <c r="B98" s="4" t="s">
        <v>8</v>
      </c>
      <c r="C98" s="4">
        <v>30.8</v>
      </c>
      <c r="D98" s="4">
        <v>3</v>
      </c>
      <c r="E98" s="4" t="s">
        <v>12</v>
      </c>
      <c r="F98" s="4" t="s">
        <v>21</v>
      </c>
      <c r="G98" s="14">
        <v>2714.9978669848169</v>
      </c>
      <c r="H98" s="15">
        <v>3619.9971559797559</v>
      </c>
    </row>
    <row r="99" spans="1:8" x14ac:dyDescent="0.25">
      <c r="A99" s="16">
        <v>55</v>
      </c>
      <c r="B99" s="4" t="s">
        <v>11</v>
      </c>
      <c r="C99" s="4">
        <v>38.299999999999997</v>
      </c>
      <c r="D99" s="4">
        <v>0</v>
      </c>
      <c r="E99" s="4" t="s">
        <v>12</v>
      </c>
      <c r="F99" s="4" t="s">
        <v>13</v>
      </c>
      <c r="G99" s="14">
        <v>4573.8199875381815</v>
      </c>
      <c r="H99" s="15">
        <v>4356.0190357506508</v>
      </c>
    </row>
    <row r="100" spans="1:8" x14ac:dyDescent="0.25">
      <c r="A100" s="16">
        <v>56</v>
      </c>
      <c r="B100" s="4" t="s">
        <v>11</v>
      </c>
      <c r="C100" s="4">
        <v>20</v>
      </c>
      <c r="D100" s="4">
        <v>0</v>
      </c>
      <c r="E100" s="4" t="s">
        <v>9</v>
      </c>
      <c r="F100" s="4" t="s">
        <v>15</v>
      </c>
      <c r="G100" s="14">
        <v>3762.4287431027205</v>
      </c>
      <c r="H100" s="15">
        <v>3583.2654696216405</v>
      </c>
    </row>
    <row r="101" spans="1:8" x14ac:dyDescent="0.25">
      <c r="A101" s="16">
        <v>38</v>
      </c>
      <c r="B101" s="4" t="s">
        <v>11</v>
      </c>
      <c r="C101" s="4">
        <v>24.4</v>
      </c>
      <c r="D101" s="4">
        <v>0</v>
      </c>
      <c r="E101" s="4" t="s">
        <v>9</v>
      </c>
      <c r="F101" s="4" t="s">
        <v>21</v>
      </c>
      <c r="G101" s="14">
        <v>1862.1234597222269</v>
      </c>
      <c r="H101" s="15">
        <v>2190.7334820261499</v>
      </c>
    </row>
    <row r="102" spans="1:8" x14ac:dyDescent="0.25">
      <c r="A102" s="16">
        <v>41</v>
      </c>
      <c r="B102" s="4" t="s">
        <v>8</v>
      </c>
      <c r="C102" s="4">
        <v>31.6</v>
      </c>
      <c r="D102" s="4">
        <v>0</v>
      </c>
      <c r="E102" s="4" t="s">
        <v>12</v>
      </c>
      <c r="F102" s="4" t="s">
        <v>21</v>
      </c>
      <c r="G102" s="14">
        <v>5540.1331975344701</v>
      </c>
      <c r="H102" s="15">
        <v>5276.3173309852109</v>
      </c>
    </row>
    <row r="103" spans="1:8" x14ac:dyDescent="0.25">
      <c r="A103" s="16">
        <v>30</v>
      </c>
      <c r="B103" s="4" t="s">
        <v>11</v>
      </c>
      <c r="C103" s="4">
        <v>24</v>
      </c>
      <c r="D103" s="4">
        <v>0</v>
      </c>
      <c r="E103" s="4" t="s">
        <v>12</v>
      </c>
      <c r="F103" s="4" t="s">
        <v>15</v>
      </c>
      <c r="G103" s="14">
        <v>1725.6873835924328</v>
      </c>
      <c r="H103" s="15">
        <v>2030.2204512852159</v>
      </c>
    </row>
    <row r="104" spans="1:8" x14ac:dyDescent="0.25">
      <c r="A104" s="16">
        <v>18</v>
      </c>
      <c r="B104" s="4" t="s">
        <v>8</v>
      </c>
      <c r="C104" s="4">
        <v>25.8</v>
      </c>
      <c r="D104" s="4">
        <v>0</v>
      </c>
      <c r="E104" s="4" t="s">
        <v>12</v>
      </c>
      <c r="F104" s="4" t="s">
        <v>15</v>
      </c>
      <c r="G104" s="14">
        <v>1676.5324466235249</v>
      </c>
      <c r="H104" s="15">
        <v>1972.3911136747361</v>
      </c>
    </row>
    <row r="105" spans="1:8" x14ac:dyDescent="0.25">
      <c r="A105" s="16">
        <v>61</v>
      </c>
      <c r="B105" s="4" t="s">
        <v>8</v>
      </c>
      <c r="C105" s="4">
        <v>29.9</v>
      </c>
      <c r="D105" s="4">
        <v>3</v>
      </c>
      <c r="E105" s="4" t="s">
        <v>9</v>
      </c>
      <c r="F105" s="4" t="s">
        <v>13</v>
      </c>
      <c r="G105" s="14">
        <v>2065.7567231661196</v>
      </c>
      <c r="H105" s="15">
        <v>2754.3422975548265</v>
      </c>
    </row>
    <row r="106" spans="1:8" x14ac:dyDescent="0.25">
      <c r="A106" s="16">
        <v>34</v>
      </c>
      <c r="B106" s="4" t="s">
        <v>8</v>
      </c>
      <c r="C106" s="4">
        <v>24</v>
      </c>
      <c r="D106" s="4">
        <v>1</v>
      </c>
      <c r="E106" s="4" t="s">
        <v>12</v>
      </c>
      <c r="F106" s="4" t="s">
        <v>21</v>
      </c>
      <c r="G106" s="14">
        <v>1629.5980714431037</v>
      </c>
      <c r="H106" s="15">
        <v>1917.1742016977698</v>
      </c>
    </row>
    <row r="107" spans="1:8" x14ac:dyDescent="0.25">
      <c r="A107" s="16">
        <v>20</v>
      </c>
      <c r="B107" s="4" t="s">
        <v>11</v>
      </c>
      <c r="C107" s="4">
        <v>20.3</v>
      </c>
      <c r="D107" s="4">
        <v>1</v>
      </c>
      <c r="E107" s="4" t="s">
        <v>9</v>
      </c>
      <c r="F107" s="4" t="s">
        <v>20</v>
      </c>
      <c r="G107" s="14">
        <v>1412.5701369134324</v>
      </c>
      <c r="H107" s="15">
        <v>1661.8472198981565</v>
      </c>
    </row>
    <row r="108" spans="1:8" x14ac:dyDescent="0.25">
      <c r="A108" s="16">
        <v>19</v>
      </c>
      <c r="B108" s="4" t="s">
        <v>8</v>
      </c>
      <c r="C108" s="4">
        <v>21.4</v>
      </c>
      <c r="D108" s="4">
        <v>1</v>
      </c>
      <c r="E108" s="4" t="s">
        <v>12</v>
      </c>
      <c r="F108" s="4" t="s">
        <v>21</v>
      </c>
      <c r="G108" s="14">
        <v>1732.0546304830134</v>
      </c>
      <c r="H108" s="15">
        <v>2037.7113299800167</v>
      </c>
    </row>
    <row r="109" spans="1:8" x14ac:dyDescent="0.25">
      <c r="A109" s="16">
        <v>26</v>
      </c>
      <c r="B109" s="4" t="s">
        <v>11</v>
      </c>
      <c r="C109" s="4">
        <v>30.9</v>
      </c>
      <c r="D109" s="4">
        <v>2</v>
      </c>
      <c r="E109" s="4" t="s">
        <v>12</v>
      </c>
      <c r="F109" s="4" t="s">
        <v>20</v>
      </c>
      <c r="G109" s="14">
        <v>2517.0728798476548</v>
      </c>
      <c r="H109" s="15">
        <v>3356.0971731302066</v>
      </c>
    </row>
    <row r="110" spans="1:8" x14ac:dyDescent="0.25">
      <c r="A110" s="16">
        <v>29</v>
      </c>
      <c r="B110" s="4" t="s">
        <v>11</v>
      </c>
      <c r="C110" s="4">
        <v>21</v>
      </c>
      <c r="D110" s="4">
        <v>0</v>
      </c>
      <c r="E110" s="4" t="s">
        <v>12</v>
      </c>
      <c r="F110" s="4" t="s">
        <v>13</v>
      </c>
      <c r="G110" s="14">
        <v>1946.3102372709895</v>
      </c>
      <c r="H110" s="15">
        <v>2289.7767497305767</v>
      </c>
    </row>
    <row r="111" spans="1:8" x14ac:dyDescent="0.25">
      <c r="A111" s="16">
        <v>63</v>
      </c>
      <c r="B111" s="4" t="s">
        <v>11</v>
      </c>
      <c r="C111" s="4">
        <v>35.1</v>
      </c>
      <c r="D111" s="4">
        <v>0</v>
      </c>
      <c r="E111" s="4" t="s">
        <v>9</v>
      </c>
      <c r="F111" s="4" t="s">
        <v>13</v>
      </c>
      <c r="G111" s="14">
        <v>5365.5387078461554</v>
      </c>
      <c r="H111" s="15">
        <v>5110.0368646153875</v>
      </c>
    </row>
    <row r="112" spans="1:8" x14ac:dyDescent="0.25">
      <c r="A112" s="16">
        <v>54</v>
      </c>
      <c r="B112" s="4" t="s">
        <v>11</v>
      </c>
      <c r="C112" s="4">
        <v>33.6</v>
      </c>
      <c r="D112" s="4">
        <v>1</v>
      </c>
      <c r="E112" s="4" t="s">
        <v>12</v>
      </c>
      <c r="F112" s="4" t="s">
        <v>20</v>
      </c>
      <c r="G112" s="14">
        <v>5580.8013011362837</v>
      </c>
      <c r="H112" s="15">
        <v>5315.0488582250346</v>
      </c>
    </row>
    <row r="113" spans="1:8" x14ac:dyDescent="0.25">
      <c r="A113" s="16">
        <v>55</v>
      </c>
      <c r="B113" s="4" t="s">
        <v>8</v>
      </c>
      <c r="C113" s="4">
        <v>29.7</v>
      </c>
      <c r="D113" s="4">
        <v>2</v>
      </c>
      <c r="E113" s="4" t="s">
        <v>12</v>
      </c>
      <c r="F113" s="4" t="s">
        <v>21</v>
      </c>
      <c r="G113" s="14">
        <v>1595.0953825058127</v>
      </c>
      <c r="H113" s="15">
        <v>2126.7938433410836</v>
      </c>
    </row>
    <row r="114" spans="1:8" x14ac:dyDescent="0.25">
      <c r="A114" s="16">
        <v>37</v>
      </c>
      <c r="B114" s="4" t="s">
        <v>11</v>
      </c>
      <c r="C114" s="4">
        <v>20</v>
      </c>
      <c r="D114" s="4">
        <v>0</v>
      </c>
      <c r="E114" s="4" t="s">
        <v>12</v>
      </c>
      <c r="F114" s="4" t="s">
        <v>21</v>
      </c>
      <c r="G114" s="14">
        <v>2231.2468538328712</v>
      </c>
      <c r="H114" s="15">
        <v>2624.9962986269084</v>
      </c>
    </row>
    <row r="115" spans="1:8" x14ac:dyDescent="0.25">
      <c r="A115" s="16">
        <v>21</v>
      </c>
      <c r="B115" s="4" t="s">
        <v>8</v>
      </c>
      <c r="C115" s="4">
        <v>21.4</v>
      </c>
      <c r="D115" s="4">
        <v>0</v>
      </c>
      <c r="E115" s="4" t="s">
        <v>12</v>
      </c>
      <c r="F115" s="4" t="s">
        <v>20</v>
      </c>
      <c r="G115" s="14">
        <v>1634.5056560994026</v>
      </c>
      <c r="H115" s="15">
        <v>1922.9478307051802</v>
      </c>
    </row>
    <row r="116" spans="1:8" x14ac:dyDescent="0.25">
      <c r="A116" s="16">
        <v>52</v>
      </c>
      <c r="B116" s="4" t="s">
        <v>11</v>
      </c>
      <c r="C116" s="4">
        <v>32.200000000000003</v>
      </c>
      <c r="D116" s="4">
        <v>3</v>
      </c>
      <c r="E116" s="4" t="s">
        <v>12</v>
      </c>
      <c r="F116" s="4" t="s">
        <v>15</v>
      </c>
      <c r="G116" s="14">
        <v>1847.5148385060888</v>
      </c>
      <c r="H116" s="15">
        <v>2463.3531180081186</v>
      </c>
    </row>
    <row r="117" spans="1:8" x14ac:dyDescent="0.25">
      <c r="A117" s="16">
        <v>60</v>
      </c>
      <c r="B117" s="4" t="s">
        <v>11</v>
      </c>
      <c r="C117" s="4">
        <v>28.6</v>
      </c>
      <c r="D117" s="4">
        <v>0</v>
      </c>
      <c r="E117" s="4" t="s">
        <v>12</v>
      </c>
      <c r="F117" s="4" t="s">
        <v>15</v>
      </c>
      <c r="G117" s="14">
        <v>3863.1244188612586</v>
      </c>
      <c r="H117" s="15">
        <v>3679.1661132012005</v>
      </c>
    </row>
    <row r="118" spans="1:8" x14ac:dyDescent="0.25">
      <c r="A118" s="16">
        <v>58</v>
      </c>
      <c r="B118" s="4" t="s">
        <v>11</v>
      </c>
      <c r="C118" s="4">
        <v>49.1</v>
      </c>
      <c r="D118" s="4">
        <v>0</v>
      </c>
      <c r="E118" s="4" t="s">
        <v>12</v>
      </c>
      <c r="F118" s="4" t="s">
        <v>13</v>
      </c>
      <c r="G118" s="14">
        <v>4631.2842510199162</v>
      </c>
      <c r="H118" s="15">
        <v>4410.7469057332546</v>
      </c>
    </row>
    <row r="119" spans="1:8" x14ac:dyDescent="0.25">
      <c r="A119" s="16">
        <v>29</v>
      </c>
      <c r="B119" s="4" t="s">
        <v>8</v>
      </c>
      <c r="C119" s="4">
        <v>22.1</v>
      </c>
      <c r="D119" s="4">
        <v>1</v>
      </c>
      <c r="E119" s="4" t="s">
        <v>9</v>
      </c>
      <c r="F119" s="4" t="s">
        <v>13</v>
      </c>
      <c r="G119" s="14">
        <v>1568.6876054440893</v>
      </c>
      <c r="H119" s="15">
        <v>1845.5148299342236</v>
      </c>
    </row>
    <row r="120" spans="1:8" x14ac:dyDescent="0.25">
      <c r="A120" s="16">
        <v>49</v>
      </c>
      <c r="B120" s="4" t="s">
        <v>8</v>
      </c>
      <c r="C120" s="4">
        <v>27.2</v>
      </c>
      <c r="D120" s="4">
        <v>0</v>
      </c>
      <c r="E120" s="4" t="s">
        <v>12</v>
      </c>
      <c r="F120" s="4" t="s">
        <v>13</v>
      </c>
      <c r="G120" s="14">
        <v>5204.7794364033334</v>
      </c>
      <c r="H120" s="15">
        <v>4956.9327965746052</v>
      </c>
    </row>
    <row r="121" spans="1:8" x14ac:dyDescent="0.25">
      <c r="A121" s="16">
        <v>37</v>
      </c>
      <c r="B121" s="4" t="s">
        <v>8</v>
      </c>
      <c r="C121" s="4">
        <v>23.4</v>
      </c>
      <c r="D121" s="4">
        <v>2</v>
      </c>
      <c r="E121" s="4" t="s">
        <v>12</v>
      </c>
      <c r="F121" s="4" t="s">
        <v>20</v>
      </c>
      <c r="G121" s="14">
        <v>2895.0414667981422</v>
      </c>
      <c r="H121" s="15">
        <v>3405.9311374095805</v>
      </c>
    </row>
    <row r="122" spans="1:8" x14ac:dyDescent="0.25">
      <c r="A122" s="16">
        <v>44</v>
      </c>
      <c r="B122" s="4" t="s">
        <v>11</v>
      </c>
      <c r="C122" s="4">
        <v>37.1</v>
      </c>
      <c r="D122" s="4">
        <v>2</v>
      </c>
      <c r="E122" s="4" t="s">
        <v>12</v>
      </c>
      <c r="F122" s="4" t="s">
        <v>21</v>
      </c>
      <c r="G122" s="14">
        <v>1561.2965288556022</v>
      </c>
      <c r="H122" s="15">
        <v>2081.728705140803</v>
      </c>
    </row>
    <row r="123" spans="1:8" x14ac:dyDescent="0.25">
      <c r="A123" s="16">
        <v>18</v>
      </c>
      <c r="B123" s="4" t="s">
        <v>11</v>
      </c>
      <c r="C123" s="4">
        <v>22.6</v>
      </c>
      <c r="D123" s="4">
        <v>0</v>
      </c>
      <c r="E123" s="4" t="s">
        <v>12</v>
      </c>
      <c r="F123" s="4" t="s">
        <v>15</v>
      </c>
      <c r="G123" s="14">
        <v>1580.2486739536644</v>
      </c>
      <c r="H123" s="15">
        <v>1859.1160870043118</v>
      </c>
    </row>
    <row r="124" spans="1:8" x14ac:dyDescent="0.25">
      <c r="A124" s="16">
        <v>20</v>
      </c>
      <c r="B124" s="4" t="s">
        <v>8</v>
      </c>
      <c r="C124" s="4">
        <v>25.7</v>
      </c>
      <c r="D124" s="4">
        <v>0</v>
      </c>
      <c r="E124" s="4" t="s">
        <v>12</v>
      </c>
      <c r="F124" s="4" t="s">
        <v>20</v>
      </c>
      <c r="G124" s="14">
        <v>2042.4378524175274</v>
      </c>
      <c r="H124" s="15">
        <v>2402.8680616676802</v>
      </c>
    </row>
    <row r="125" spans="1:8" x14ac:dyDescent="0.25">
      <c r="A125" s="16">
        <v>44</v>
      </c>
      <c r="B125" s="4" t="s">
        <v>11</v>
      </c>
      <c r="C125" s="4">
        <v>31.4</v>
      </c>
      <c r="D125" s="4">
        <v>1</v>
      </c>
      <c r="E125" s="4" t="s">
        <v>9</v>
      </c>
      <c r="F125" s="4" t="s">
        <v>15</v>
      </c>
      <c r="G125" s="14">
        <v>4791.3637556242538</v>
      </c>
      <c r="H125" s="15">
        <v>4563.2035767850048</v>
      </c>
    </row>
    <row r="126" spans="1:8" x14ac:dyDescent="0.25">
      <c r="A126" s="16">
        <v>47</v>
      </c>
      <c r="B126" s="4" t="s">
        <v>8</v>
      </c>
      <c r="C126" s="4">
        <v>33.9</v>
      </c>
      <c r="D126" s="4">
        <v>3</v>
      </c>
      <c r="E126" s="4" t="s">
        <v>12</v>
      </c>
      <c r="F126" s="4" t="s">
        <v>20</v>
      </c>
      <c r="G126" s="14">
        <v>1950.1737489336697</v>
      </c>
      <c r="H126" s="15">
        <v>2600.2316652448931</v>
      </c>
    </row>
    <row r="127" spans="1:8" x14ac:dyDescent="0.25">
      <c r="A127" s="16">
        <v>26</v>
      </c>
      <c r="B127" s="4" t="s">
        <v>8</v>
      </c>
      <c r="C127" s="4">
        <v>23</v>
      </c>
      <c r="D127" s="4">
        <v>0</v>
      </c>
      <c r="E127" s="4" t="s">
        <v>12</v>
      </c>
      <c r="F127" s="4" t="s">
        <v>15</v>
      </c>
      <c r="G127" s="14">
        <v>1920.7795768585809</v>
      </c>
      <c r="H127" s="15">
        <v>2259.7406786571546</v>
      </c>
    </row>
    <row r="128" spans="1:8" x14ac:dyDescent="0.25">
      <c r="A128" s="16">
        <v>19</v>
      </c>
      <c r="B128" s="4" t="s">
        <v>8</v>
      </c>
      <c r="C128" s="4">
        <v>26</v>
      </c>
      <c r="D128" s="4">
        <v>0</v>
      </c>
      <c r="E128" s="4" t="s">
        <v>9</v>
      </c>
      <c r="F128" s="4" t="s">
        <v>21</v>
      </c>
      <c r="G128" s="14">
        <v>1645.2179587103167</v>
      </c>
      <c r="H128" s="15">
        <v>1935.5505396591968</v>
      </c>
    </row>
    <row r="129" spans="1:8" x14ac:dyDescent="0.25">
      <c r="A129" s="16">
        <v>52</v>
      </c>
      <c r="B129" s="4" t="s">
        <v>8</v>
      </c>
      <c r="C129" s="4">
        <v>37.4</v>
      </c>
      <c r="D129" s="4">
        <v>0</v>
      </c>
      <c r="E129" s="4" t="s">
        <v>12</v>
      </c>
      <c r="F129" s="4" t="s">
        <v>21</v>
      </c>
      <c r="G129" s="14">
        <v>5679.1385772799295</v>
      </c>
      <c r="H129" s="15">
        <v>5408.7034069332676</v>
      </c>
    </row>
    <row r="130" spans="1:8" x14ac:dyDescent="0.25">
      <c r="A130" s="16">
        <v>32</v>
      </c>
      <c r="B130" s="4" t="s">
        <v>8</v>
      </c>
      <c r="C130" s="4">
        <v>17.8</v>
      </c>
      <c r="D130" s="4">
        <v>2</v>
      </c>
      <c r="E130" s="4" t="s">
        <v>9</v>
      </c>
      <c r="F130" s="4" t="s">
        <v>20</v>
      </c>
      <c r="G130" s="14">
        <v>2264.1915777157442</v>
      </c>
      <c r="H130" s="15">
        <v>2663.7547973126411</v>
      </c>
    </row>
    <row r="131" spans="1:8" x14ac:dyDescent="0.25">
      <c r="A131" s="16">
        <v>38</v>
      </c>
      <c r="B131" s="4" t="s">
        <v>11</v>
      </c>
      <c r="C131" s="4">
        <v>34.700000000000003</v>
      </c>
      <c r="D131" s="4">
        <v>2</v>
      </c>
      <c r="E131" s="4" t="s">
        <v>12</v>
      </c>
      <c r="F131" s="4" t="s">
        <v>21</v>
      </c>
      <c r="G131" s="14">
        <v>1977.8061891272491</v>
      </c>
      <c r="H131" s="15">
        <v>2637.074918836332</v>
      </c>
    </row>
    <row r="132" spans="1:8" x14ac:dyDescent="0.25">
      <c r="A132" s="16">
        <v>59</v>
      </c>
      <c r="B132" s="4" t="s">
        <v>8</v>
      </c>
      <c r="C132" s="4">
        <v>26.5</v>
      </c>
      <c r="D132" s="4">
        <v>0</v>
      </c>
      <c r="E132" s="4" t="s">
        <v>12</v>
      </c>
      <c r="F132" s="4" t="s">
        <v>15</v>
      </c>
      <c r="G132" s="14">
        <v>4719.7129221018167</v>
      </c>
      <c r="H132" s="15">
        <v>4494.9646877160176</v>
      </c>
    </row>
    <row r="133" spans="1:8" x14ac:dyDescent="0.25">
      <c r="A133" s="16">
        <v>61</v>
      </c>
      <c r="B133" s="4" t="s">
        <v>8</v>
      </c>
      <c r="C133" s="4">
        <v>22</v>
      </c>
      <c r="D133" s="4">
        <v>0</v>
      </c>
      <c r="E133" s="4" t="s">
        <v>12</v>
      </c>
      <c r="F133" s="4" t="s">
        <v>15</v>
      </c>
      <c r="G133" s="14">
        <v>3987.3824295814588</v>
      </c>
      <c r="H133" s="15">
        <v>3797.5070757918675</v>
      </c>
    </row>
    <row r="134" spans="1:8" x14ac:dyDescent="0.25">
      <c r="A134" s="16">
        <v>53</v>
      </c>
      <c r="B134" s="4" t="s">
        <v>8</v>
      </c>
      <c r="C134" s="4">
        <v>35.9</v>
      </c>
      <c r="D134" s="4">
        <v>2</v>
      </c>
      <c r="E134" s="4" t="s">
        <v>12</v>
      </c>
      <c r="F134" s="4" t="s">
        <v>21</v>
      </c>
      <c r="G134" s="14">
        <v>3558.6247785475998</v>
      </c>
      <c r="H134" s="15">
        <v>4744.8330380634661</v>
      </c>
    </row>
    <row r="135" spans="1:8" x14ac:dyDescent="0.25">
      <c r="A135" s="16">
        <v>19</v>
      </c>
      <c r="B135" s="4" t="s">
        <v>11</v>
      </c>
      <c r="C135" s="4">
        <v>20.100000000000001</v>
      </c>
      <c r="D135" s="4">
        <v>0</v>
      </c>
      <c r="E135" s="4" t="s">
        <v>12</v>
      </c>
      <c r="F135" s="4" t="s">
        <v>20</v>
      </c>
      <c r="G135" s="14">
        <v>1858.7342740920224</v>
      </c>
      <c r="H135" s="15">
        <v>2186.7462048141451</v>
      </c>
    </row>
    <row r="136" spans="1:8" x14ac:dyDescent="0.25">
      <c r="A136" s="16">
        <v>20</v>
      </c>
      <c r="B136" s="4" t="s">
        <v>8</v>
      </c>
      <c r="C136" s="4">
        <v>21.7</v>
      </c>
      <c r="D136" s="4">
        <v>0</v>
      </c>
      <c r="E136" s="4" t="s">
        <v>12</v>
      </c>
      <c r="F136" s="4" t="s">
        <v>15</v>
      </c>
      <c r="G136" s="14">
        <v>1833.3208697567895</v>
      </c>
      <c r="H136" s="15">
        <v>2156.8480820668119</v>
      </c>
    </row>
    <row r="137" spans="1:8" x14ac:dyDescent="0.25">
      <c r="A137" s="16">
        <v>22</v>
      </c>
      <c r="B137" s="4" t="s">
        <v>8</v>
      </c>
      <c r="C137" s="4">
        <v>23.5</v>
      </c>
      <c r="D137" s="4">
        <v>0</v>
      </c>
      <c r="E137" s="4" t="s">
        <v>12</v>
      </c>
      <c r="F137" s="4" t="s">
        <v>13</v>
      </c>
      <c r="G137" s="14">
        <v>1456.024836230511</v>
      </c>
      <c r="H137" s="15">
        <v>1712.9703955653076</v>
      </c>
    </row>
    <row r="138" spans="1:8" x14ac:dyDescent="0.25">
      <c r="A138" s="16">
        <v>19</v>
      </c>
      <c r="B138" s="4" t="s">
        <v>11</v>
      </c>
      <c r="C138" s="4">
        <v>22.3</v>
      </c>
      <c r="D138" s="4">
        <v>0</v>
      </c>
      <c r="E138" s="4" t="s">
        <v>12</v>
      </c>
      <c r="F138" s="4" t="s">
        <v>21</v>
      </c>
      <c r="G138" s="14">
        <v>2228.1163471564914</v>
      </c>
      <c r="H138" s="15">
        <v>2621.3133495958737</v>
      </c>
    </row>
    <row r="139" spans="1:8" x14ac:dyDescent="0.25">
      <c r="A139" s="16">
        <v>22</v>
      </c>
      <c r="B139" s="4" t="s">
        <v>11</v>
      </c>
      <c r="C139" s="4">
        <v>21</v>
      </c>
      <c r="D139" s="4">
        <v>0</v>
      </c>
      <c r="E139" s="4" t="s">
        <v>12</v>
      </c>
      <c r="F139" s="4" t="s">
        <v>20</v>
      </c>
      <c r="G139" s="14">
        <v>2395.8762666556704</v>
      </c>
      <c r="H139" s="15">
        <v>2818.677960771377</v>
      </c>
    </row>
    <row r="140" spans="1:8" x14ac:dyDescent="0.25">
      <c r="A140" s="16">
        <v>54</v>
      </c>
      <c r="B140" s="4" t="s">
        <v>8</v>
      </c>
      <c r="C140" s="4">
        <v>31.9</v>
      </c>
      <c r="D140" s="4">
        <v>3</v>
      </c>
      <c r="E140" s="4" t="s">
        <v>12</v>
      </c>
      <c r="F140" s="4" t="s">
        <v>13</v>
      </c>
      <c r="G140" s="14">
        <v>2233.9484186959216</v>
      </c>
      <c r="H140" s="15">
        <v>2978.597891594562</v>
      </c>
    </row>
    <row r="141" spans="1:8" x14ac:dyDescent="0.25">
      <c r="A141" s="16">
        <v>22</v>
      </c>
      <c r="B141" s="4" t="s">
        <v>8</v>
      </c>
      <c r="C141" s="4">
        <v>21</v>
      </c>
      <c r="D141" s="4">
        <v>0</v>
      </c>
      <c r="E141" s="4" t="s">
        <v>12</v>
      </c>
      <c r="F141" s="4" t="s">
        <v>21</v>
      </c>
      <c r="G141" s="14">
        <v>1586.1094581231841</v>
      </c>
      <c r="H141" s="15">
        <v>1866.011127203747</v>
      </c>
    </row>
    <row r="142" spans="1:8" x14ac:dyDescent="0.25">
      <c r="A142" s="16">
        <v>34</v>
      </c>
      <c r="B142" s="4" t="s">
        <v>11</v>
      </c>
      <c r="C142" s="4">
        <v>22.4</v>
      </c>
      <c r="D142" s="4">
        <v>2</v>
      </c>
      <c r="E142" s="4" t="s">
        <v>12</v>
      </c>
      <c r="F142" s="4" t="s">
        <v>15</v>
      </c>
      <c r="G142" s="14">
        <v>1837.2503410340764</v>
      </c>
      <c r="H142" s="15">
        <v>2161.4709894518555</v>
      </c>
    </row>
    <row r="143" spans="1:8" x14ac:dyDescent="0.25">
      <c r="A143" s="16">
        <v>26</v>
      </c>
      <c r="B143" s="4" t="s">
        <v>11</v>
      </c>
      <c r="C143" s="4">
        <v>20.399999999999999</v>
      </c>
      <c r="D143" s="4">
        <v>1</v>
      </c>
      <c r="E143" s="4" t="s">
        <v>12</v>
      </c>
      <c r="F143" s="4" t="s">
        <v>15</v>
      </c>
      <c r="G143" s="14">
        <v>1945.6550897030884</v>
      </c>
      <c r="H143" s="15">
        <v>2289.005987885987</v>
      </c>
    </row>
    <row r="144" spans="1:8" x14ac:dyDescent="0.25">
      <c r="A144" s="16">
        <v>34</v>
      </c>
      <c r="B144" s="4" t="s">
        <v>11</v>
      </c>
      <c r="C144" s="4">
        <v>25.3</v>
      </c>
      <c r="D144" s="4">
        <v>2</v>
      </c>
      <c r="E144" s="4" t="s">
        <v>9</v>
      </c>
      <c r="F144" s="4" t="s">
        <v>13</v>
      </c>
      <c r="G144" s="14">
        <v>1629.2412772864204</v>
      </c>
      <c r="H144" s="15">
        <v>2172.3217030485607</v>
      </c>
    </row>
    <row r="145" spans="1:8" x14ac:dyDescent="0.25">
      <c r="A145" s="16">
        <v>29</v>
      </c>
      <c r="B145" s="4" t="s">
        <v>11</v>
      </c>
      <c r="C145" s="4">
        <v>29.7</v>
      </c>
      <c r="D145" s="4">
        <v>2</v>
      </c>
      <c r="E145" s="4" t="s">
        <v>12</v>
      </c>
      <c r="F145" s="4" t="s">
        <v>20</v>
      </c>
      <c r="G145" s="14">
        <v>2891.3111819045457</v>
      </c>
      <c r="H145" s="15">
        <v>3855.0815758727276</v>
      </c>
    </row>
    <row r="146" spans="1:8" x14ac:dyDescent="0.25">
      <c r="A146" s="16">
        <v>30</v>
      </c>
      <c r="B146" s="4" t="s">
        <v>11</v>
      </c>
      <c r="C146" s="4">
        <v>28.7</v>
      </c>
      <c r="D146" s="4">
        <v>3</v>
      </c>
      <c r="E146" s="4" t="s">
        <v>9</v>
      </c>
      <c r="F146" s="4" t="s">
        <v>20</v>
      </c>
      <c r="G146" s="14">
        <v>2590.2733457826853</v>
      </c>
      <c r="H146" s="15">
        <v>3453.6977943769134</v>
      </c>
    </row>
    <row r="147" spans="1:8" x14ac:dyDescent="0.25">
      <c r="A147" s="16">
        <v>29</v>
      </c>
      <c r="B147" s="4" t="s">
        <v>8</v>
      </c>
      <c r="C147" s="4">
        <v>38.799999999999997</v>
      </c>
      <c r="D147" s="4">
        <v>3</v>
      </c>
      <c r="E147" s="4" t="s">
        <v>12</v>
      </c>
      <c r="F147" s="4" t="s">
        <v>13</v>
      </c>
      <c r="G147" s="14">
        <v>2261.7282365297101</v>
      </c>
      <c r="H147" s="15">
        <v>3015.6376487062803</v>
      </c>
    </row>
    <row r="148" spans="1:8" x14ac:dyDescent="0.25">
      <c r="A148" s="16">
        <v>46</v>
      </c>
      <c r="B148" s="4" t="s">
        <v>11</v>
      </c>
      <c r="C148" s="4">
        <v>30.5</v>
      </c>
      <c r="D148" s="4">
        <v>3</v>
      </c>
      <c r="E148" s="4" t="s">
        <v>9</v>
      </c>
      <c r="F148" s="4" t="s">
        <v>20</v>
      </c>
      <c r="G148" s="14">
        <v>1910.5681905759989</v>
      </c>
      <c r="H148" s="15">
        <v>2547.4242541013318</v>
      </c>
    </row>
    <row r="149" spans="1:8" x14ac:dyDescent="0.25">
      <c r="A149" s="16">
        <v>51</v>
      </c>
      <c r="B149" s="4" t="s">
        <v>8</v>
      </c>
      <c r="C149" s="4">
        <v>37.700000000000003</v>
      </c>
      <c r="D149" s="4">
        <v>1</v>
      </c>
      <c r="E149" s="4" t="s">
        <v>12</v>
      </c>
      <c r="F149" s="4" t="s">
        <v>13</v>
      </c>
      <c r="G149" s="14">
        <v>4938.578238606071</v>
      </c>
      <c r="H149" s="15">
        <v>4703.4078462914968</v>
      </c>
    </row>
    <row r="150" spans="1:8" x14ac:dyDescent="0.25">
      <c r="A150" s="16">
        <v>53</v>
      </c>
      <c r="B150" s="4" t="s">
        <v>8</v>
      </c>
      <c r="C150" s="4">
        <v>37.4</v>
      </c>
      <c r="D150" s="4">
        <v>1</v>
      </c>
      <c r="E150" s="4" t="s">
        <v>12</v>
      </c>
      <c r="F150" s="4" t="s">
        <v>20</v>
      </c>
      <c r="G150" s="14">
        <v>5538.5560314170389</v>
      </c>
      <c r="H150" s="15">
        <v>5274.8152680162293</v>
      </c>
    </row>
    <row r="151" spans="1:8" x14ac:dyDescent="0.25">
      <c r="A151" s="16">
        <v>19</v>
      </c>
      <c r="B151" s="4" t="s">
        <v>11</v>
      </c>
      <c r="C151" s="4">
        <v>22.5</v>
      </c>
      <c r="D151" s="4">
        <v>1</v>
      </c>
      <c r="E151" s="4" t="s">
        <v>12</v>
      </c>
      <c r="F151" s="4" t="s">
        <v>21</v>
      </c>
      <c r="G151" s="14">
        <v>2236.7287893571156</v>
      </c>
      <c r="H151" s="15">
        <v>2631.4456345377835</v>
      </c>
    </row>
    <row r="152" spans="1:8" x14ac:dyDescent="0.25">
      <c r="A152" s="16">
        <v>35</v>
      </c>
      <c r="B152" s="4" t="s">
        <v>11</v>
      </c>
      <c r="C152" s="4">
        <v>21</v>
      </c>
      <c r="D152" s="4">
        <v>1</v>
      </c>
      <c r="E152" s="4" t="s">
        <v>12</v>
      </c>
      <c r="F152" s="4" t="s">
        <v>20</v>
      </c>
      <c r="G152" s="14">
        <v>2450.5663956051567</v>
      </c>
      <c r="H152" s="15">
        <v>2883.0192889472437</v>
      </c>
    </row>
    <row r="153" spans="1:8" x14ac:dyDescent="0.25">
      <c r="A153" s="16">
        <v>48</v>
      </c>
      <c r="B153" s="4" t="s">
        <v>11</v>
      </c>
      <c r="C153" s="4">
        <v>29.7</v>
      </c>
      <c r="D153" s="4">
        <v>0</v>
      </c>
      <c r="E153" s="4" t="s">
        <v>12</v>
      </c>
      <c r="F153" s="4" t="s">
        <v>13</v>
      </c>
      <c r="G153" s="14">
        <v>4003.8747809567549</v>
      </c>
      <c r="H153" s="15">
        <v>3813.2140771016734</v>
      </c>
    </row>
    <row r="154" spans="1:8" x14ac:dyDescent="0.25">
      <c r="A154" s="16">
        <v>32</v>
      </c>
      <c r="B154" s="4" t="s">
        <v>8</v>
      </c>
      <c r="C154" s="4">
        <v>37.1</v>
      </c>
      <c r="D154" s="4">
        <v>3</v>
      </c>
      <c r="E154" s="4" t="s">
        <v>12</v>
      </c>
      <c r="F154" s="4" t="s">
        <v>15</v>
      </c>
      <c r="G154" s="14">
        <v>2364.3117742857507</v>
      </c>
      <c r="H154" s="15">
        <v>3152.4156990476677</v>
      </c>
    </row>
    <row r="155" spans="1:8" x14ac:dyDescent="0.25">
      <c r="A155" s="16">
        <v>42</v>
      </c>
      <c r="B155" s="4" t="s">
        <v>8</v>
      </c>
      <c r="C155" s="4">
        <v>23.4</v>
      </c>
      <c r="D155" s="4">
        <v>0</v>
      </c>
      <c r="E155" s="4" t="s">
        <v>9</v>
      </c>
      <c r="F155" s="4" t="s">
        <v>15</v>
      </c>
      <c r="G155" s="14">
        <v>1851.1209445254651</v>
      </c>
      <c r="H155" s="15">
        <v>2177.7893465005482</v>
      </c>
    </row>
    <row r="156" spans="1:8" x14ac:dyDescent="0.25">
      <c r="A156" s="16">
        <v>40</v>
      </c>
      <c r="B156" s="4" t="s">
        <v>8</v>
      </c>
      <c r="C156" s="4">
        <v>20.3</v>
      </c>
      <c r="D156" s="4">
        <v>1</v>
      </c>
      <c r="E156" s="4" t="s">
        <v>12</v>
      </c>
      <c r="F156" s="4" t="s">
        <v>15</v>
      </c>
      <c r="G156" s="14">
        <v>1559.9016772221548</v>
      </c>
      <c r="H156" s="15">
        <v>1835.1784437907713</v>
      </c>
    </row>
    <row r="157" spans="1:8" x14ac:dyDescent="0.25">
      <c r="A157" s="16">
        <v>44</v>
      </c>
      <c r="B157" s="4" t="s">
        <v>11</v>
      </c>
      <c r="C157" s="4">
        <v>39.5</v>
      </c>
      <c r="D157" s="4">
        <v>0</v>
      </c>
      <c r="E157" s="4" t="s">
        <v>12</v>
      </c>
      <c r="F157" s="4" t="s">
        <v>20</v>
      </c>
      <c r="G157" s="14">
        <v>5230.8398758897047</v>
      </c>
      <c r="H157" s="15">
        <v>4981.7522627521012</v>
      </c>
    </row>
    <row r="158" spans="1:8" x14ac:dyDescent="0.25">
      <c r="A158" s="16">
        <v>48</v>
      </c>
      <c r="B158" s="4" t="s">
        <v>11</v>
      </c>
      <c r="C158" s="4">
        <v>24.4</v>
      </c>
      <c r="D158" s="4">
        <v>0</v>
      </c>
      <c r="E158" s="4" t="s">
        <v>9</v>
      </c>
      <c r="F158" s="4" t="s">
        <v>13</v>
      </c>
      <c r="G158" s="14">
        <v>4124.8583309055221</v>
      </c>
      <c r="H158" s="15">
        <v>3928.4365056243082</v>
      </c>
    </row>
    <row r="159" spans="1:8" x14ac:dyDescent="0.25">
      <c r="A159" s="16">
        <v>18</v>
      </c>
      <c r="B159" s="4" t="s">
        <v>11</v>
      </c>
      <c r="C159" s="4">
        <v>25.3</v>
      </c>
      <c r="D159" s="4">
        <v>0</v>
      </c>
      <c r="E159" s="4" t="s">
        <v>9</v>
      </c>
      <c r="F159" s="4" t="s">
        <v>15</v>
      </c>
      <c r="G159" s="14">
        <v>1694.5891241033398</v>
      </c>
      <c r="H159" s="15">
        <v>1993.6342636509889</v>
      </c>
    </row>
    <row r="160" spans="1:8" x14ac:dyDescent="0.25">
      <c r="A160" s="16">
        <v>30</v>
      </c>
      <c r="B160" s="4" t="s">
        <v>11</v>
      </c>
      <c r="C160" s="4">
        <v>23.1</v>
      </c>
      <c r="D160" s="4">
        <v>0</v>
      </c>
      <c r="E160" s="4" t="s">
        <v>9</v>
      </c>
      <c r="F160" s="4" t="s">
        <v>13</v>
      </c>
      <c r="G160" s="14">
        <v>1418.3013068628275</v>
      </c>
      <c r="H160" s="15">
        <v>1668.5897727797976</v>
      </c>
    </row>
    <row r="161" spans="1:8" x14ac:dyDescent="0.25">
      <c r="A161" s="16">
        <v>50</v>
      </c>
      <c r="B161" s="4" t="s">
        <v>8</v>
      </c>
      <c r="C161" s="4">
        <v>27.8</v>
      </c>
      <c r="D161" s="4">
        <v>3</v>
      </c>
      <c r="E161" s="4" t="s">
        <v>12</v>
      </c>
      <c r="F161" s="4" t="s">
        <v>13</v>
      </c>
      <c r="G161" s="14">
        <v>3233.2197513930842</v>
      </c>
      <c r="H161" s="15">
        <v>4310.9596685241122</v>
      </c>
    </row>
    <row r="162" spans="1:8" x14ac:dyDescent="0.25">
      <c r="A162" s="16">
        <v>42</v>
      </c>
      <c r="B162" s="4" t="s">
        <v>8</v>
      </c>
      <c r="C162" s="4">
        <v>26.6</v>
      </c>
      <c r="D162" s="4">
        <v>0</v>
      </c>
      <c r="E162" s="4" t="s">
        <v>9</v>
      </c>
      <c r="F162" s="4" t="s">
        <v>20</v>
      </c>
      <c r="G162" s="14">
        <v>5511.826731371003</v>
      </c>
      <c r="H162" s="15">
        <v>5249.3587917819086</v>
      </c>
    </row>
    <row r="163" spans="1:8" x14ac:dyDescent="0.25">
      <c r="A163" s="16">
        <v>18</v>
      </c>
      <c r="B163" s="4" t="s">
        <v>8</v>
      </c>
      <c r="C163" s="4">
        <v>21.6</v>
      </c>
      <c r="D163" s="4">
        <v>0</v>
      </c>
      <c r="E163" s="4" t="s">
        <v>9</v>
      </c>
      <c r="F163" s="4" t="s">
        <v>13</v>
      </c>
      <c r="G163" s="14">
        <v>1317.6795185881097</v>
      </c>
      <c r="H163" s="15">
        <v>1550.2111983389532</v>
      </c>
    </row>
    <row r="164" spans="1:8" x14ac:dyDescent="0.25">
      <c r="A164" s="16">
        <v>54</v>
      </c>
      <c r="B164" s="4" t="s">
        <v>11</v>
      </c>
      <c r="C164" s="4">
        <v>39.6</v>
      </c>
      <c r="D164" s="4">
        <v>1</v>
      </c>
      <c r="E164" s="4" t="s">
        <v>12</v>
      </c>
      <c r="F164" s="4" t="s">
        <v>21</v>
      </c>
      <c r="G164" s="14">
        <v>4050.4650160622559</v>
      </c>
      <c r="H164" s="15">
        <v>3857.585729583102</v>
      </c>
    </row>
    <row r="165" spans="1:8" x14ac:dyDescent="0.25">
      <c r="A165" s="16">
        <v>32</v>
      </c>
      <c r="B165" s="4" t="s">
        <v>8</v>
      </c>
      <c r="C165" s="4">
        <v>29.8</v>
      </c>
      <c r="D165" s="4">
        <v>2</v>
      </c>
      <c r="E165" s="4" t="s">
        <v>12</v>
      </c>
      <c r="F165" s="4" t="s">
        <v>21</v>
      </c>
      <c r="G165" s="14">
        <v>1829.0543833115646</v>
      </c>
      <c r="H165" s="15">
        <v>2438.7391777487528</v>
      </c>
    </row>
    <row r="166" spans="1:8" x14ac:dyDescent="0.25">
      <c r="A166" s="16">
        <v>37</v>
      </c>
      <c r="B166" s="4" t="s">
        <v>11</v>
      </c>
      <c r="C166" s="4">
        <v>23.2</v>
      </c>
      <c r="D166" s="4">
        <v>0</v>
      </c>
      <c r="E166" s="4" t="s">
        <v>12</v>
      </c>
      <c r="F166" s="4" t="s">
        <v>20</v>
      </c>
      <c r="G166" s="14">
        <v>1848.8836691441438</v>
      </c>
      <c r="H166" s="15">
        <v>2175.1572578166406</v>
      </c>
    </row>
    <row r="167" spans="1:8" x14ac:dyDescent="0.25">
      <c r="A167" s="16">
        <v>47</v>
      </c>
      <c r="B167" s="4" t="s">
        <v>11</v>
      </c>
      <c r="C167" s="4">
        <v>28.2</v>
      </c>
      <c r="D167" s="4">
        <v>4</v>
      </c>
      <c r="E167" s="4" t="s">
        <v>12</v>
      </c>
      <c r="F167" s="4" t="s">
        <v>15</v>
      </c>
      <c r="G167" s="14">
        <v>1626.342168451547</v>
      </c>
      <c r="H167" s="15">
        <v>2168.4562246020628</v>
      </c>
    </row>
    <row r="168" spans="1:8" x14ac:dyDescent="0.25">
      <c r="A168" s="16">
        <v>20</v>
      </c>
      <c r="B168" s="4" t="s">
        <v>8</v>
      </c>
      <c r="C168" s="4">
        <v>37</v>
      </c>
      <c r="D168" s="4">
        <v>5</v>
      </c>
      <c r="E168" s="4" t="s">
        <v>12</v>
      </c>
      <c r="F168" s="4" t="s">
        <v>21</v>
      </c>
      <c r="G168" s="14">
        <v>2277.4968096351595</v>
      </c>
      <c r="H168" s="15">
        <v>3036.6624128468793</v>
      </c>
    </row>
    <row r="169" spans="1:8" x14ac:dyDescent="0.25">
      <c r="A169" s="16">
        <v>32</v>
      </c>
      <c r="B169" s="4" t="s">
        <v>8</v>
      </c>
      <c r="C169" s="4">
        <v>33.200000000000003</v>
      </c>
      <c r="D169" s="4">
        <v>3</v>
      </c>
      <c r="E169" s="4" t="s">
        <v>12</v>
      </c>
      <c r="F169" s="4" t="s">
        <v>20</v>
      </c>
      <c r="G169" s="14">
        <v>1687.8582101088291</v>
      </c>
      <c r="H169" s="15">
        <v>2250.4776134784388</v>
      </c>
    </row>
    <row r="170" spans="1:8" x14ac:dyDescent="0.25">
      <c r="A170" s="16">
        <v>19</v>
      </c>
      <c r="B170" s="4" t="s">
        <v>8</v>
      </c>
      <c r="C170" s="4">
        <v>24.1</v>
      </c>
      <c r="D170" s="4">
        <v>1</v>
      </c>
      <c r="E170" s="4" t="s">
        <v>12</v>
      </c>
      <c r="F170" s="4" t="s">
        <v>20</v>
      </c>
      <c r="G170" s="14">
        <v>1763.5697596097079</v>
      </c>
      <c r="H170" s="15">
        <v>2074.78795248201</v>
      </c>
    </row>
    <row r="171" spans="1:8" x14ac:dyDescent="0.25">
      <c r="A171" s="16">
        <v>27</v>
      </c>
      <c r="B171" s="4" t="s">
        <v>11</v>
      </c>
      <c r="C171" s="4">
        <v>18.899999999999999</v>
      </c>
      <c r="D171" s="4">
        <v>3</v>
      </c>
      <c r="E171" s="4" t="s">
        <v>12</v>
      </c>
      <c r="F171" s="4" t="s">
        <v>15</v>
      </c>
      <c r="G171" s="14">
        <v>1700.7868573643609</v>
      </c>
      <c r="H171" s="15">
        <v>2000.9257145463077</v>
      </c>
    </row>
    <row r="172" spans="1:8" x14ac:dyDescent="0.25">
      <c r="A172" s="16">
        <v>63</v>
      </c>
      <c r="B172" s="4" t="s">
        <v>11</v>
      </c>
      <c r="C172" s="4">
        <v>41.5</v>
      </c>
      <c r="D172" s="4">
        <v>0</v>
      </c>
      <c r="E172" s="4" t="s">
        <v>12</v>
      </c>
      <c r="F172" s="4" t="s">
        <v>13</v>
      </c>
      <c r="G172" s="14">
        <v>5597.9751823582556</v>
      </c>
      <c r="H172" s="15">
        <v>5331.4049355792922</v>
      </c>
    </row>
    <row r="173" spans="1:8" x14ac:dyDescent="0.25">
      <c r="A173" s="16">
        <v>49</v>
      </c>
      <c r="B173" s="4" t="s">
        <v>11</v>
      </c>
      <c r="C173" s="4">
        <v>30.3</v>
      </c>
      <c r="D173" s="4">
        <v>0</v>
      </c>
      <c r="E173" s="4" t="s">
        <v>12</v>
      </c>
      <c r="F173" s="4" t="s">
        <v>21</v>
      </c>
      <c r="G173" s="14">
        <v>4933.5168092938457</v>
      </c>
      <c r="H173" s="15">
        <v>4698.5874374227114</v>
      </c>
    </row>
    <row r="174" spans="1:8" x14ac:dyDescent="0.25">
      <c r="A174" s="16">
        <v>18</v>
      </c>
      <c r="B174" s="4" t="s">
        <v>11</v>
      </c>
      <c r="C174" s="4">
        <v>25</v>
      </c>
      <c r="D174" s="4">
        <v>0</v>
      </c>
      <c r="E174" s="4" t="s">
        <v>12</v>
      </c>
      <c r="F174" s="4" t="s">
        <v>15</v>
      </c>
      <c r="G174" s="14">
        <v>1957.8025427339503</v>
      </c>
      <c r="H174" s="15">
        <v>2303.2971090987658</v>
      </c>
    </row>
    <row r="175" spans="1:8" x14ac:dyDescent="0.25">
      <c r="A175" s="16">
        <v>35</v>
      </c>
      <c r="B175" s="4" t="s">
        <v>8</v>
      </c>
      <c r="C175" s="4">
        <v>22.4</v>
      </c>
      <c r="D175" s="4">
        <v>1</v>
      </c>
      <c r="E175" s="4" t="s">
        <v>12</v>
      </c>
      <c r="F175" s="4" t="s">
        <v>21</v>
      </c>
      <c r="G175" s="14">
        <v>2301.0034618048944</v>
      </c>
      <c r="H175" s="15">
        <v>2707.0628962410528</v>
      </c>
    </row>
    <row r="176" spans="1:8" x14ac:dyDescent="0.25">
      <c r="A176" s="16">
        <v>24</v>
      </c>
      <c r="B176" s="4" t="s">
        <v>8</v>
      </c>
      <c r="C176" s="4">
        <v>20.3</v>
      </c>
      <c r="D176" s="4">
        <v>0</v>
      </c>
      <c r="E176" s="4" t="s">
        <v>12</v>
      </c>
      <c r="F176" s="4" t="s">
        <v>20</v>
      </c>
      <c r="G176" s="14">
        <v>1616.802052057833</v>
      </c>
      <c r="H176" s="15">
        <v>1902.1200612445102</v>
      </c>
    </row>
    <row r="177" spans="1:8" x14ac:dyDescent="0.25">
      <c r="A177" s="16">
        <v>63</v>
      </c>
      <c r="B177" s="4" t="s">
        <v>8</v>
      </c>
      <c r="C177" s="4">
        <v>37.700000000000003</v>
      </c>
      <c r="D177" s="4">
        <v>0</v>
      </c>
      <c r="E177" s="4" t="s">
        <v>9</v>
      </c>
      <c r="F177" s="4" t="s">
        <v>21</v>
      </c>
      <c r="G177" s="14">
        <v>6084.078021496347</v>
      </c>
      <c r="H177" s="15">
        <v>5794.3600204727127</v>
      </c>
    </row>
    <row r="178" spans="1:8" x14ac:dyDescent="0.25">
      <c r="A178" s="16">
        <v>38</v>
      </c>
      <c r="B178" s="4" t="s">
        <v>11</v>
      </c>
      <c r="C178" s="4">
        <v>27.8</v>
      </c>
      <c r="D178" s="4">
        <v>2</v>
      </c>
      <c r="E178" s="4" t="s">
        <v>12</v>
      </c>
      <c r="F178" s="4" t="s">
        <v>20</v>
      </c>
      <c r="G178" s="14">
        <v>1025.5731162499164</v>
      </c>
      <c r="H178" s="15">
        <v>1367.4308216665552</v>
      </c>
    </row>
    <row r="179" spans="1:8" x14ac:dyDescent="0.25">
      <c r="A179" s="16">
        <v>54</v>
      </c>
      <c r="B179" s="4" t="s">
        <v>11</v>
      </c>
      <c r="C179" s="4">
        <v>29.2</v>
      </c>
      <c r="D179" s="4">
        <v>1</v>
      </c>
      <c r="E179" s="4" t="s">
        <v>12</v>
      </c>
      <c r="F179" s="4" t="s">
        <v>21</v>
      </c>
      <c r="G179" s="14">
        <v>4058.7901462347809</v>
      </c>
      <c r="H179" s="15">
        <v>3865.5144249855075</v>
      </c>
    </row>
    <row r="180" spans="1:8" x14ac:dyDescent="0.25">
      <c r="A180" s="16">
        <v>46</v>
      </c>
      <c r="B180" s="4" t="s">
        <v>8</v>
      </c>
      <c r="C180" s="4">
        <v>28.9</v>
      </c>
      <c r="D180" s="4">
        <v>2</v>
      </c>
      <c r="E180" s="4" t="s">
        <v>12</v>
      </c>
      <c r="F180" s="4" t="s">
        <v>21</v>
      </c>
      <c r="G180" s="14">
        <v>1882.2778795865493</v>
      </c>
      <c r="H180" s="15">
        <v>2509.7038394487322</v>
      </c>
    </row>
    <row r="181" spans="1:8" x14ac:dyDescent="0.25">
      <c r="A181" s="16">
        <v>41</v>
      </c>
      <c r="B181" s="4" t="s">
        <v>8</v>
      </c>
      <c r="C181" s="4">
        <v>33.200000000000003</v>
      </c>
      <c r="D181" s="4">
        <v>3</v>
      </c>
      <c r="E181" s="4" t="s">
        <v>12</v>
      </c>
      <c r="F181" s="4" t="s">
        <v>15</v>
      </c>
      <c r="G181" s="14">
        <v>1520.6435618697235</v>
      </c>
      <c r="H181" s="15">
        <v>2027.5247491596313</v>
      </c>
    </row>
    <row r="182" spans="1:8" x14ac:dyDescent="0.25">
      <c r="A182" s="16">
        <v>58</v>
      </c>
      <c r="B182" s="4" t="s">
        <v>11</v>
      </c>
      <c r="C182" s="4">
        <v>28.6</v>
      </c>
      <c r="D182" s="4">
        <v>0</v>
      </c>
      <c r="E182" s="4" t="s">
        <v>12</v>
      </c>
      <c r="F182" s="4" t="s">
        <v>20</v>
      </c>
      <c r="G182" s="14">
        <v>4532.5464411925796</v>
      </c>
      <c r="H182" s="15">
        <v>4316.7108963738865</v>
      </c>
    </row>
    <row r="183" spans="1:8" x14ac:dyDescent="0.25">
      <c r="A183" s="16">
        <v>18</v>
      </c>
      <c r="B183" s="4" t="s">
        <v>8</v>
      </c>
      <c r="C183" s="4">
        <v>22.6</v>
      </c>
      <c r="D183" s="4">
        <v>0</v>
      </c>
      <c r="E183" s="4" t="s">
        <v>12</v>
      </c>
      <c r="F183" s="4" t="s">
        <v>13</v>
      </c>
      <c r="G183" s="14">
        <v>1750.8711520464799</v>
      </c>
      <c r="H183" s="15">
        <v>2059.8484141723297</v>
      </c>
    </row>
    <row r="184" spans="1:8" x14ac:dyDescent="0.25">
      <c r="A184" s="16">
        <v>22</v>
      </c>
      <c r="B184" s="4" t="s">
        <v>11</v>
      </c>
      <c r="C184" s="4">
        <v>20</v>
      </c>
      <c r="D184" s="4">
        <v>3</v>
      </c>
      <c r="E184" s="4" t="s">
        <v>12</v>
      </c>
      <c r="F184" s="4" t="s">
        <v>15</v>
      </c>
      <c r="G184" s="14">
        <v>1879.8791937771161</v>
      </c>
      <c r="H184" s="15">
        <v>2211.6225809142552</v>
      </c>
    </row>
    <row r="185" spans="1:8" x14ac:dyDescent="0.25">
      <c r="A185" s="16">
        <v>44</v>
      </c>
      <c r="B185" s="4" t="s">
        <v>8</v>
      </c>
      <c r="C185" s="4">
        <v>26.4</v>
      </c>
      <c r="D185" s="4">
        <v>0</v>
      </c>
      <c r="E185" s="4" t="s">
        <v>12</v>
      </c>
      <c r="F185" s="4" t="s">
        <v>20</v>
      </c>
      <c r="G185" s="14">
        <v>4476.3831103566699</v>
      </c>
      <c r="H185" s="15">
        <v>4263.2220098634971</v>
      </c>
    </row>
    <row r="186" spans="1:8" x14ac:dyDescent="0.25">
      <c r="A186" s="16">
        <v>44</v>
      </c>
      <c r="B186" s="4" t="s">
        <v>11</v>
      </c>
      <c r="C186" s="4">
        <v>30.7</v>
      </c>
      <c r="D186" s="4">
        <v>2</v>
      </c>
      <c r="E186" s="4" t="s">
        <v>12</v>
      </c>
      <c r="F186" s="4" t="s">
        <v>13</v>
      </c>
      <c r="G186" s="14">
        <v>2280.9833671234942</v>
      </c>
      <c r="H186" s="15">
        <v>3041.3111561646588</v>
      </c>
    </row>
    <row r="187" spans="1:8" x14ac:dyDescent="0.25">
      <c r="A187" s="16">
        <v>36</v>
      </c>
      <c r="B187" s="4" t="s">
        <v>11</v>
      </c>
      <c r="C187" s="4">
        <v>41.9</v>
      </c>
      <c r="D187" s="4">
        <v>3</v>
      </c>
      <c r="E187" s="4" t="s">
        <v>9</v>
      </c>
      <c r="F187" s="4" t="s">
        <v>15</v>
      </c>
      <c r="G187" s="14">
        <v>2312.4757375941704</v>
      </c>
      <c r="H187" s="15">
        <v>3083.3009834588938</v>
      </c>
    </row>
    <row r="188" spans="1:8" x14ac:dyDescent="0.25">
      <c r="A188" s="16">
        <v>26</v>
      </c>
      <c r="B188" s="4" t="s">
        <v>8</v>
      </c>
      <c r="C188" s="4">
        <v>29.9</v>
      </c>
      <c r="D188" s="4">
        <v>2</v>
      </c>
      <c r="E188" s="4" t="s">
        <v>12</v>
      </c>
      <c r="F188" s="4" t="s">
        <v>13</v>
      </c>
      <c r="G188" s="14">
        <v>881.68074720814354</v>
      </c>
      <c r="H188" s="15">
        <v>1175.5743296108581</v>
      </c>
    </row>
    <row r="189" spans="1:8" x14ac:dyDescent="0.25">
      <c r="A189" s="16">
        <v>30</v>
      </c>
      <c r="B189" s="4" t="s">
        <v>8</v>
      </c>
      <c r="C189" s="4">
        <v>30.9</v>
      </c>
      <c r="D189" s="4">
        <v>3</v>
      </c>
      <c r="E189" s="4" t="s">
        <v>12</v>
      </c>
      <c r="F189" s="4" t="s">
        <v>21</v>
      </c>
      <c r="G189" s="14">
        <v>3064.5401476940028</v>
      </c>
      <c r="H189" s="15">
        <v>4086.0535302586704</v>
      </c>
    </row>
    <row r="190" spans="1:8" x14ac:dyDescent="0.25">
      <c r="A190" s="16">
        <v>41</v>
      </c>
      <c r="B190" s="4" t="s">
        <v>8</v>
      </c>
      <c r="C190" s="4">
        <v>32.200000000000003</v>
      </c>
      <c r="D190" s="4">
        <v>1</v>
      </c>
      <c r="E190" s="4" t="s">
        <v>12</v>
      </c>
      <c r="F190" s="4" t="s">
        <v>21</v>
      </c>
      <c r="G190" s="14">
        <v>5032.6208874507311</v>
      </c>
      <c r="H190" s="15">
        <v>4792.9722737626016</v>
      </c>
    </row>
    <row r="191" spans="1:8" x14ac:dyDescent="0.25">
      <c r="A191" s="16">
        <v>29</v>
      </c>
      <c r="B191" s="4" t="s">
        <v>8</v>
      </c>
      <c r="C191" s="4">
        <v>32.1</v>
      </c>
      <c r="D191" s="4">
        <v>2</v>
      </c>
      <c r="E191" s="4" t="s">
        <v>12</v>
      </c>
      <c r="F191" s="4" t="s">
        <v>20</v>
      </c>
      <c r="G191" s="14">
        <v>1266.1030498786652</v>
      </c>
      <c r="H191" s="15">
        <v>1688.1373998382203</v>
      </c>
    </row>
    <row r="192" spans="1:8" x14ac:dyDescent="0.25">
      <c r="A192" s="16">
        <v>61</v>
      </c>
      <c r="B192" s="4" t="s">
        <v>11</v>
      </c>
      <c r="C192" s="4">
        <v>31.6</v>
      </c>
      <c r="D192" s="4">
        <v>0</v>
      </c>
      <c r="E192" s="4" t="s">
        <v>12</v>
      </c>
      <c r="F192" s="4" t="s">
        <v>13</v>
      </c>
      <c r="G192" s="14">
        <v>5650.2782969314203</v>
      </c>
      <c r="H192" s="15">
        <v>5381.2174256489734</v>
      </c>
    </row>
    <row r="193" spans="1:8" x14ac:dyDescent="0.25">
      <c r="A193" s="16">
        <v>36</v>
      </c>
      <c r="B193" s="4" t="s">
        <v>8</v>
      </c>
      <c r="C193" s="4">
        <v>20.9</v>
      </c>
      <c r="D193" s="4">
        <v>0</v>
      </c>
      <c r="E193" s="4" t="s">
        <v>12</v>
      </c>
      <c r="F193" s="4" t="s">
        <v>21</v>
      </c>
      <c r="G193" s="14">
        <v>1871.593715814392</v>
      </c>
      <c r="H193" s="15">
        <v>2201.8749597816382</v>
      </c>
    </row>
    <row r="194" spans="1:8" x14ac:dyDescent="0.25">
      <c r="A194" s="16">
        <v>25</v>
      </c>
      <c r="B194" s="4" t="s">
        <v>11</v>
      </c>
      <c r="C194" s="4">
        <v>24.1</v>
      </c>
      <c r="D194" s="4">
        <v>0</v>
      </c>
      <c r="E194" s="4" t="s">
        <v>12</v>
      </c>
      <c r="F194" s="4" t="s">
        <v>13</v>
      </c>
      <c r="G194" s="14">
        <v>2159.5878910743363</v>
      </c>
      <c r="H194" s="15">
        <v>2540.6916365580437</v>
      </c>
    </row>
    <row r="195" spans="1:8" x14ac:dyDescent="0.25">
      <c r="A195" s="16">
        <v>56</v>
      </c>
      <c r="B195" s="4" t="s">
        <v>8</v>
      </c>
      <c r="C195" s="4">
        <v>26.6</v>
      </c>
      <c r="D195" s="4">
        <v>1</v>
      </c>
      <c r="E195" s="4" t="s">
        <v>12</v>
      </c>
      <c r="F195" s="4" t="s">
        <v>20</v>
      </c>
      <c r="G195" s="14">
        <v>4491.1182396027843</v>
      </c>
      <c r="H195" s="15">
        <v>4277.2554662883676</v>
      </c>
    </row>
    <row r="196" spans="1:8" x14ac:dyDescent="0.25">
      <c r="A196" s="16">
        <v>18</v>
      </c>
      <c r="B196" s="4" t="s">
        <v>11</v>
      </c>
      <c r="C196" s="4">
        <v>22.9</v>
      </c>
      <c r="D196" s="4">
        <v>0</v>
      </c>
      <c r="E196" s="4" t="s">
        <v>12</v>
      </c>
      <c r="F196" s="4" t="s">
        <v>13</v>
      </c>
      <c r="G196" s="14">
        <v>1701.1841159027517</v>
      </c>
      <c r="H196" s="15">
        <v>2001.3930775326498</v>
      </c>
    </row>
    <row r="197" spans="1:8" x14ac:dyDescent="0.25">
      <c r="A197" s="16">
        <v>19</v>
      </c>
      <c r="B197" s="4" t="s">
        <v>11</v>
      </c>
      <c r="C197" s="4">
        <v>24</v>
      </c>
      <c r="D197" s="4">
        <v>0</v>
      </c>
      <c r="E197" s="4" t="s">
        <v>12</v>
      </c>
      <c r="F197" s="4" t="s">
        <v>20</v>
      </c>
      <c r="G197" s="14">
        <v>2075.6090322175382</v>
      </c>
      <c r="H197" s="15">
        <v>2441.8929790794573</v>
      </c>
    </row>
    <row r="198" spans="1:8" x14ac:dyDescent="0.25">
      <c r="A198" s="16">
        <v>39</v>
      </c>
      <c r="B198" s="4" t="s">
        <v>8</v>
      </c>
      <c r="C198" s="4">
        <v>32.799999999999997</v>
      </c>
      <c r="D198" s="4">
        <v>0</v>
      </c>
      <c r="E198" s="4" t="s">
        <v>12</v>
      </c>
      <c r="F198" s="4" t="s">
        <v>21</v>
      </c>
      <c r="G198" s="14">
        <v>4359.8215796193836</v>
      </c>
      <c r="H198" s="15">
        <v>4152.2110282089388</v>
      </c>
    </row>
    <row r="199" spans="1:8" x14ac:dyDescent="0.25">
      <c r="A199" s="16">
        <v>45</v>
      </c>
      <c r="B199" s="4" t="s">
        <v>8</v>
      </c>
      <c r="C199" s="4">
        <v>28.6</v>
      </c>
      <c r="D199" s="4">
        <v>2</v>
      </c>
      <c r="E199" s="4" t="s">
        <v>12</v>
      </c>
      <c r="F199" s="4" t="s">
        <v>13</v>
      </c>
      <c r="G199" s="14">
        <v>1692.8985486601821</v>
      </c>
      <c r="H199" s="15">
        <v>2257.1980648802428</v>
      </c>
    </row>
    <row r="200" spans="1:8" x14ac:dyDescent="0.25">
      <c r="A200" s="16">
        <v>51</v>
      </c>
      <c r="B200" s="4" t="s">
        <v>8</v>
      </c>
      <c r="C200" s="4">
        <v>18.100000000000001</v>
      </c>
      <c r="D200" s="4">
        <v>0</v>
      </c>
      <c r="E200" s="4" t="s">
        <v>12</v>
      </c>
      <c r="F200" s="4" t="s">
        <v>20</v>
      </c>
      <c r="G200" s="14">
        <v>2237.2492180679405</v>
      </c>
      <c r="H200" s="15">
        <v>2632.0579036093427</v>
      </c>
    </row>
    <row r="201" spans="1:8" x14ac:dyDescent="0.25">
      <c r="A201" s="16">
        <v>64</v>
      </c>
      <c r="B201" s="4" t="s">
        <v>8</v>
      </c>
      <c r="C201" s="4">
        <v>39.299999999999997</v>
      </c>
      <c r="D201" s="4">
        <v>0</v>
      </c>
      <c r="E201" s="4" t="s">
        <v>12</v>
      </c>
      <c r="F201" s="4" t="s">
        <v>15</v>
      </c>
      <c r="G201" s="14">
        <v>4130.1982629749527</v>
      </c>
      <c r="H201" s="15">
        <v>3933.522155214242</v>
      </c>
    </row>
    <row r="202" spans="1:8" x14ac:dyDescent="0.25">
      <c r="A202" s="16">
        <v>19</v>
      </c>
      <c r="B202" s="4" t="s">
        <v>8</v>
      </c>
      <c r="C202" s="4">
        <v>23.1</v>
      </c>
      <c r="D202" s="4">
        <v>0</v>
      </c>
      <c r="E202" s="4" t="s">
        <v>12</v>
      </c>
      <c r="F202" s="4" t="s">
        <v>20</v>
      </c>
      <c r="G202" s="14">
        <v>2045.0786561708117</v>
      </c>
      <c r="H202" s="15">
        <v>2405.9748896127203</v>
      </c>
    </row>
    <row r="203" spans="1:8" x14ac:dyDescent="0.25">
      <c r="A203" s="16">
        <v>48</v>
      </c>
      <c r="B203" s="4" t="s">
        <v>8</v>
      </c>
      <c r="C203" s="4">
        <v>32.200000000000003</v>
      </c>
      <c r="D203" s="4">
        <v>1</v>
      </c>
      <c r="E203" s="4" t="s">
        <v>12</v>
      </c>
      <c r="F203" s="4" t="s">
        <v>13</v>
      </c>
      <c r="G203" s="14">
        <v>5402.9525447644046</v>
      </c>
      <c r="H203" s="15">
        <v>5145.6690902518158</v>
      </c>
    </row>
    <row r="204" spans="1:8" x14ac:dyDescent="0.25">
      <c r="A204" s="16">
        <v>60</v>
      </c>
      <c r="B204" s="4" t="s">
        <v>8</v>
      </c>
      <c r="C204" s="4">
        <v>24</v>
      </c>
      <c r="D204" s="4">
        <v>0</v>
      </c>
      <c r="E204" s="4" t="s">
        <v>12</v>
      </c>
      <c r="F204" s="4" t="s">
        <v>20</v>
      </c>
      <c r="G204" s="14">
        <v>3897.7315321782989</v>
      </c>
      <c r="H204" s="15">
        <v>3712.1252687412384</v>
      </c>
    </row>
    <row r="205" spans="1:8" x14ac:dyDescent="0.25">
      <c r="A205" s="16">
        <v>27</v>
      </c>
      <c r="B205" s="4" t="s">
        <v>8</v>
      </c>
      <c r="C205" s="4">
        <v>23.2</v>
      </c>
      <c r="D205" s="4">
        <v>0</v>
      </c>
      <c r="E205" s="4" t="s">
        <v>9</v>
      </c>
      <c r="F205" s="4" t="s">
        <v>13</v>
      </c>
      <c r="G205" s="14">
        <v>1746.3861754104666</v>
      </c>
      <c r="H205" s="15">
        <v>2054.5719710711378</v>
      </c>
    </row>
    <row r="206" spans="1:8" x14ac:dyDescent="0.25">
      <c r="A206" s="16">
        <v>46</v>
      </c>
      <c r="B206" s="4" t="s">
        <v>11</v>
      </c>
      <c r="C206" s="4">
        <v>22.3</v>
      </c>
      <c r="D206" s="4">
        <v>0</v>
      </c>
      <c r="E206" s="4" t="s">
        <v>12</v>
      </c>
      <c r="F206" s="4" t="s">
        <v>21</v>
      </c>
      <c r="G206" s="14">
        <v>1510.3061279524916</v>
      </c>
      <c r="H206" s="15">
        <v>1776.830738767638</v>
      </c>
    </row>
    <row r="207" spans="1:8" x14ac:dyDescent="0.25">
      <c r="A207" s="16">
        <v>28</v>
      </c>
      <c r="B207" s="4" t="s">
        <v>8</v>
      </c>
      <c r="C207" s="4">
        <v>21</v>
      </c>
      <c r="D207" s="4">
        <v>1</v>
      </c>
      <c r="E207" s="4" t="s">
        <v>12</v>
      </c>
      <c r="F207" s="4" t="s">
        <v>15</v>
      </c>
      <c r="G207" s="14">
        <v>2343.3566315236467</v>
      </c>
      <c r="H207" s="15">
        <v>2756.8901547337027</v>
      </c>
    </row>
    <row r="208" spans="1:8" x14ac:dyDescent="0.25">
      <c r="A208" s="16">
        <v>59</v>
      </c>
      <c r="B208" s="4" t="s">
        <v>11</v>
      </c>
      <c r="C208" s="4">
        <v>26.4</v>
      </c>
      <c r="D208" s="4">
        <v>0</v>
      </c>
      <c r="E208" s="4" t="s">
        <v>12</v>
      </c>
      <c r="F208" s="4" t="s">
        <v>13</v>
      </c>
      <c r="G208" s="14">
        <v>6051.3719088374319</v>
      </c>
      <c r="H208" s="15">
        <v>5763.2113417499359</v>
      </c>
    </row>
    <row r="209" spans="1:8" x14ac:dyDescent="0.25">
      <c r="A209" s="16">
        <v>35</v>
      </c>
      <c r="B209" s="4" t="s">
        <v>11</v>
      </c>
      <c r="C209" s="4">
        <v>27.7</v>
      </c>
      <c r="D209" s="4">
        <v>2</v>
      </c>
      <c r="E209" s="4" t="s">
        <v>9</v>
      </c>
      <c r="F209" s="4" t="s">
        <v>15</v>
      </c>
      <c r="G209" s="14">
        <v>848.18601641632051</v>
      </c>
      <c r="H209" s="15">
        <v>1130.914688555094</v>
      </c>
    </row>
    <row r="210" spans="1:8" x14ac:dyDescent="0.25">
      <c r="A210" s="16">
        <v>63</v>
      </c>
      <c r="B210" s="4" t="s">
        <v>8</v>
      </c>
      <c r="C210" s="4">
        <v>31.8</v>
      </c>
      <c r="D210" s="4">
        <v>0</v>
      </c>
      <c r="E210" s="4" t="s">
        <v>12</v>
      </c>
      <c r="F210" s="4" t="s">
        <v>21</v>
      </c>
      <c r="G210" s="14">
        <v>5624.9067544344052</v>
      </c>
      <c r="H210" s="15">
        <v>5357.0540518422913</v>
      </c>
    </row>
    <row r="211" spans="1:8" x14ac:dyDescent="0.25">
      <c r="A211" s="16">
        <v>40</v>
      </c>
      <c r="B211" s="4" t="s">
        <v>11</v>
      </c>
      <c r="C211" s="4">
        <v>41.2</v>
      </c>
      <c r="D211" s="4">
        <v>1</v>
      </c>
      <c r="E211" s="4" t="s">
        <v>12</v>
      </c>
      <c r="F211" s="4" t="s">
        <v>15</v>
      </c>
      <c r="G211" s="14">
        <v>4258.6245869923941</v>
      </c>
      <c r="H211" s="15">
        <v>4055.8329399927579</v>
      </c>
    </row>
    <row r="212" spans="1:8" x14ac:dyDescent="0.25">
      <c r="A212" s="16">
        <v>20</v>
      </c>
      <c r="B212" s="4" t="s">
        <v>11</v>
      </c>
      <c r="C212" s="4">
        <v>22.9</v>
      </c>
      <c r="D212" s="4">
        <v>1</v>
      </c>
      <c r="E212" s="4" t="s">
        <v>12</v>
      </c>
      <c r="F212" s="4" t="s">
        <v>21</v>
      </c>
      <c r="G212" s="14">
        <v>1726.3275422841214</v>
      </c>
      <c r="H212" s="15">
        <v>2030.9735791577905</v>
      </c>
    </row>
    <row r="213" spans="1:8" x14ac:dyDescent="0.25">
      <c r="A213" s="16">
        <v>40</v>
      </c>
      <c r="B213" s="4" t="s">
        <v>11</v>
      </c>
      <c r="C213" s="4">
        <v>30.9</v>
      </c>
      <c r="D213" s="4">
        <v>4</v>
      </c>
      <c r="E213" s="4" t="s">
        <v>12</v>
      </c>
      <c r="F213" s="4" t="s">
        <v>20</v>
      </c>
      <c r="G213" s="14">
        <v>2164.1328442501817</v>
      </c>
      <c r="H213" s="15">
        <v>2885.510459000242</v>
      </c>
    </row>
    <row r="214" spans="1:8" x14ac:dyDescent="0.25">
      <c r="A214" s="16">
        <v>24</v>
      </c>
      <c r="B214" s="4" t="s">
        <v>11</v>
      </c>
      <c r="C214" s="4">
        <v>24.5</v>
      </c>
      <c r="D214" s="4">
        <v>2</v>
      </c>
      <c r="E214" s="4" t="s">
        <v>12</v>
      </c>
      <c r="F214" s="4" t="s">
        <v>20</v>
      </c>
      <c r="G214" s="14">
        <v>2863.7255677819567</v>
      </c>
      <c r="H214" s="15">
        <v>3369.088903272891</v>
      </c>
    </row>
    <row r="215" spans="1:8" x14ac:dyDescent="0.25">
      <c r="A215" s="16">
        <v>34</v>
      </c>
      <c r="B215" s="4" t="s">
        <v>8</v>
      </c>
      <c r="C215" s="4">
        <v>21.2</v>
      </c>
      <c r="D215" s="4">
        <v>1</v>
      </c>
      <c r="E215" s="4" t="s">
        <v>12</v>
      </c>
      <c r="F215" s="4" t="s">
        <v>13</v>
      </c>
      <c r="G215" s="14">
        <v>2058.4208878984177</v>
      </c>
      <c r="H215" s="15">
        <v>2421.6716328216689</v>
      </c>
    </row>
    <row r="216" spans="1:8" x14ac:dyDescent="0.25">
      <c r="A216" s="16">
        <v>45</v>
      </c>
      <c r="B216" s="4" t="s">
        <v>8</v>
      </c>
      <c r="C216" s="4">
        <v>30.9</v>
      </c>
      <c r="D216" s="4">
        <v>2</v>
      </c>
      <c r="E216" s="4" t="s">
        <v>12</v>
      </c>
      <c r="F216" s="4" t="s">
        <v>21</v>
      </c>
      <c r="G216" s="14">
        <v>1688.7906650789728</v>
      </c>
      <c r="H216" s="15">
        <v>2251.7208867719637</v>
      </c>
    </row>
    <row r="217" spans="1:8" x14ac:dyDescent="0.25">
      <c r="A217" s="16">
        <v>41</v>
      </c>
      <c r="B217" s="4" t="s">
        <v>8</v>
      </c>
      <c r="C217" s="4">
        <v>37.1</v>
      </c>
      <c r="D217" s="4">
        <v>2</v>
      </c>
      <c r="E217" s="4" t="s">
        <v>12</v>
      </c>
      <c r="F217" s="4" t="s">
        <v>21</v>
      </c>
      <c r="G217" s="14">
        <v>1515.0812868256578</v>
      </c>
      <c r="H217" s="15">
        <v>2020.1083824342104</v>
      </c>
    </row>
    <row r="218" spans="1:8" x14ac:dyDescent="0.25">
      <c r="A218" s="16">
        <v>53</v>
      </c>
      <c r="B218" s="4" t="s">
        <v>8</v>
      </c>
      <c r="C218" s="4">
        <v>26.6</v>
      </c>
      <c r="D218" s="4">
        <v>0</v>
      </c>
      <c r="E218" s="4" t="s">
        <v>12</v>
      </c>
      <c r="F218" s="4" t="s">
        <v>20</v>
      </c>
      <c r="G218" s="14">
        <v>4621.910954154102</v>
      </c>
      <c r="H218" s="15">
        <v>4401.8199563372409</v>
      </c>
    </row>
    <row r="219" spans="1:8" x14ac:dyDescent="0.25">
      <c r="A219" s="16">
        <v>27</v>
      </c>
      <c r="B219" s="4" t="s">
        <v>11</v>
      </c>
      <c r="C219" s="4">
        <v>22.5</v>
      </c>
      <c r="D219" s="4">
        <v>0</v>
      </c>
      <c r="E219" s="4" t="s">
        <v>12</v>
      </c>
      <c r="F219" s="4" t="s">
        <v>13</v>
      </c>
      <c r="G219" s="14">
        <v>1871.0752806256</v>
      </c>
      <c r="H219" s="15">
        <v>2201.2650360301186</v>
      </c>
    </row>
    <row r="220" spans="1:8" x14ac:dyDescent="0.25">
      <c r="A220" s="16">
        <v>26</v>
      </c>
      <c r="B220" s="4" t="s">
        <v>8</v>
      </c>
      <c r="C220" s="4">
        <v>23</v>
      </c>
      <c r="D220" s="4">
        <v>1</v>
      </c>
      <c r="E220" s="4" t="s">
        <v>12</v>
      </c>
      <c r="F220" s="4" t="s">
        <v>13</v>
      </c>
      <c r="G220" s="14">
        <v>2487.4977097495671</v>
      </c>
      <c r="H220" s="15">
        <v>2926.4678938230213</v>
      </c>
    </row>
    <row r="221" spans="1:8" x14ac:dyDescent="0.25">
      <c r="A221" s="16">
        <v>24</v>
      </c>
      <c r="B221" s="4" t="s">
        <v>8</v>
      </c>
      <c r="C221" s="4">
        <v>25</v>
      </c>
      <c r="D221" s="4">
        <v>0</v>
      </c>
      <c r="E221" s="4" t="s">
        <v>12</v>
      </c>
      <c r="F221" s="4" t="s">
        <v>13</v>
      </c>
      <c r="G221" s="14">
        <v>1668.1985603501566</v>
      </c>
      <c r="H221" s="15">
        <v>1962.58654158842</v>
      </c>
    </row>
    <row r="222" spans="1:8" x14ac:dyDescent="0.25">
      <c r="A222" s="16">
        <v>34</v>
      </c>
      <c r="B222" s="4" t="s">
        <v>8</v>
      </c>
      <c r="C222" s="4">
        <v>25.8</v>
      </c>
      <c r="D222" s="4">
        <v>1</v>
      </c>
      <c r="E222" s="4" t="s">
        <v>12</v>
      </c>
      <c r="F222" s="4" t="s">
        <v>21</v>
      </c>
      <c r="G222" s="14">
        <v>1633.3749622372356</v>
      </c>
      <c r="H222" s="15">
        <v>1921.6176026320427</v>
      </c>
    </row>
    <row r="223" spans="1:8" x14ac:dyDescent="0.25">
      <c r="A223" s="16">
        <v>53</v>
      </c>
      <c r="B223" s="4" t="s">
        <v>8</v>
      </c>
      <c r="C223" s="4">
        <v>33.299999999999997</v>
      </c>
      <c r="D223" s="4">
        <v>0</v>
      </c>
      <c r="E223" s="4" t="s">
        <v>12</v>
      </c>
      <c r="F223" s="4" t="s">
        <v>15</v>
      </c>
      <c r="G223" s="14">
        <v>3740.2731651152167</v>
      </c>
      <c r="H223" s="15">
        <v>3562.1649191573506</v>
      </c>
    </row>
    <row r="224" spans="1:8" x14ac:dyDescent="0.25">
      <c r="A224" s="16">
        <v>32</v>
      </c>
      <c r="B224" s="4" t="s">
        <v>11</v>
      </c>
      <c r="C224" s="4">
        <v>30.8</v>
      </c>
      <c r="D224" s="4">
        <v>3</v>
      </c>
      <c r="E224" s="4" t="s">
        <v>12</v>
      </c>
      <c r="F224" s="4" t="s">
        <v>21</v>
      </c>
      <c r="G224" s="14">
        <v>2674.407145905061</v>
      </c>
      <c r="H224" s="15">
        <v>3565.8761945400811</v>
      </c>
    </row>
    <row r="225" spans="1:8" x14ac:dyDescent="0.25">
      <c r="A225" s="16">
        <v>19</v>
      </c>
      <c r="B225" s="4" t="s">
        <v>11</v>
      </c>
      <c r="C225" s="4">
        <v>24</v>
      </c>
      <c r="D225" s="4">
        <v>0</v>
      </c>
      <c r="E225" s="4" t="s">
        <v>9</v>
      </c>
      <c r="F225" s="4" t="s">
        <v>21</v>
      </c>
      <c r="G225" s="14">
        <v>2219.2073066477078</v>
      </c>
      <c r="H225" s="15">
        <v>2610.8321254678926</v>
      </c>
    </row>
    <row r="226" spans="1:8" x14ac:dyDescent="0.25">
      <c r="A226" s="16">
        <v>42</v>
      </c>
      <c r="B226" s="4" t="s">
        <v>11</v>
      </c>
      <c r="C226" s="4">
        <v>24.6</v>
      </c>
      <c r="D226" s="4">
        <v>0</v>
      </c>
      <c r="E226" s="4" t="s">
        <v>9</v>
      </c>
      <c r="F226" s="4" t="s">
        <v>13</v>
      </c>
      <c r="G226" s="14">
        <v>1855.9439104159846</v>
      </c>
      <c r="H226" s="15">
        <v>2183.4634240188066</v>
      </c>
    </row>
    <row r="227" spans="1:8" x14ac:dyDescent="0.25">
      <c r="A227" s="16">
        <v>55</v>
      </c>
      <c r="B227" s="4" t="s">
        <v>11</v>
      </c>
      <c r="C227" s="4">
        <v>33.9</v>
      </c>
      <c r="D227" s="4">
        <v>3</v>
      </c>
      <c r="E227" s="4" t="s">
        <v>12</v>
      </c>
      <c r="F227" s="4" t="s">
        <v>13</v>
      </c>
      <c r="G227" s="14">
        <v>1680.3570135453585</v>
      </c>
      <c r="H227" s="15">
        <v>2240.4760180604781</v>
      </c>
    </row>
    <row r="228" spans="1:8" x14ac:dyDescent="0.25">
      <c r="A228" s="16">
        <v>28</v>
      </c>
      <c r="B228" s="4" t="s">
        <v>11</v>
      </c>
      <c r="C228" s="4">
        <v>22.6</v>
      </c>
      <c r="D228" s="4">
        <v>0</v>
      </c>
      <c r="E228" s="4" t="s">
        <v>12</v>
      </c>
      <c r="F228" s="4" t="s">
        <v>13</v>
      </c>
      <c r="G228" s="14">
        <v>1310.4139232379407</v>
      </c>
      <c r="H228" s="15">
        <v>1541.6634391034604</v>
      </c>
    </row>
    <row r="229" spans="1:8" x14ac:dyDescent="0.25">
      <c r="A229" s="16">
        <v>58</v>
      </c>
      <c r="B229" s="4" t="s">
        <v>8</v>
      </c>
      <c r="C229" s="4">
        <v>41.9</v>
      </c>
      <c r="D229" s="4">
        <v>0</v>
      </c>
      <c r="E229" s="4" t="s">
        <v>12</v>
      </c>
      <c r="F229" s="4" t="s">
        <v>13</v>
      </c>
      <c r="G229" s="14">
        <v>4103.6410442475262</v>
      </c>
      <c r="H229" s="15">
        <v>3908.2295659500264</v>
      </c>
    </row>
    <row r="230" spans="1:8" x14ac:dyDescent="0.25">
      <c r="A230" s="16">
        <v>41</v>
      </c>
      <c r="B230" s="4" t="s">
        <v>8</v>
      </c>
      <c r="C230" s="4">
        <v>31.6</v>
      </c>
      <c r="D230" s="4">
        <v>1</v>
      </c>
      <c r="E230" s="4" t="s">
        <v>12</v>
      </c>
      <c r="F230" s="4" t="s">
        <v>15</v>
      </c>
      <c r="G230" s="14">
        <v>4486.0052569578365</v>
      </c>
      <c r="H230" s="15">
        <v>4272.3859590074644</v>
      </c>
    </row>
    <row r="231" spans="1:8" x14ac:dyDescent="0.25">
      <c r="A231" s="16">
        <v>47</v>
      </c>
      <c r="B231" s="4" t="s">
        <v>11</v>
      </c>
      <c r="C231" s="4">
        <v>25.5</v>
      </c>
      <c r="D231" s="4">
        <v>2</v>
      </c>
      <c r="E231" s="4" t="s">
        <v>12</v>
      </c>
      <c r="F231" s="4" t="s">
        <v>15</v>
      </c>
      <c r="G231" s="14">
        <v>3055.832565856248</v>
      </c>
      <c r="H231" s="15">
        <v>4074.4434211416637</v>
      </c>
    </row>
    <row r="232" spans="1:8" x14ac:dyDescent="0.25">
      <c r="A232" s="16">
        <v>42</v>
      </c>
      <c r="B232" s="4" t="s">
        <v>8</v>
      </c>
      <c r="C232" s="4">
        <v>36.200000000000003</v>
      </c>
      <c r="D232" s="4">
        <v>1</v>
      </c>
      <c r="E232" s="4" t="s">
        <v>12</v>
      </c>
      <c r="F232" s="4" t="s">
        <v>20</v>
      </c>
      <c r="G232" s="14">
        <v>4421.9852066417152</v>
      </c>
      <c r="H232" s="15">
        <v>4211.4144825159201</v>
      </c>
    </row>
    <row r="233" spans="1:8" x14ac:dyDescent="0.25">
      <c r="A233" s="16">
        <v>59</v>
      </c>
      <c r="B233" s="4" t="s">
        <v>8</v>
      </c>
      <c r="C233" s="4">
        <v>27.8</v>
      </c>
      <c r="D233" s="4">
        <v>3</v>
      </c>
      <c r="E233" s="4" t="s">
        <v>12</v>
      </c>
      <c r="F233" s="4" t="s">
        <v>13</v>
      </c>
      <c r="G233" s="14">
        <v>3611.7647452514766</v>
      </c>
      <c r="H233" s="15">
        <v>4815.6863270019685</v>
      </c>
    </row>
    <row r="234" spans="1:8" x14ac:dyDescent="0.25">
      <c r="A234" s="16">
        <v>19</v>
      </c>
      <c r="B234" s="4" t="s">
        <v>8</v>
      </c>
      <c r="C234" s="4">
        <v>20.100000000000001</v>
      </c>
      <c r="D234" s="4">
        <v>0</v>
      </c>
      <c r="E234" s="4" t="s">
        <v>12</v>
      </c>
      <c r="F234" s="4" t="s">
        <v>21</v>
      </c>
      <c r="G234" s="14">
        <v>1610.7892486189119</v>
      </c>
      <c r="H234" s="15">
        <v>1895.0461748457794</v>
      </c>
    </row>
    <row r="235" spans="1:8" x14ac:dyDescent="0.25">
      <c r="A235" s="16">
        <v>59</v>
      </c>
      <c r="B235" s="4" t="s">
        <v>11</v>
      </c>
      <c r="C235" s="4">
        <v>27.5</v>
      </c>
      <c r="D235" s="4">
        <v>1</v>
      </c>
      <c r="E235" s="4" t="s">
        <v>12</v>
      </c>
      <c r="F235" s="4" t="s">
        <v>21</v>
      </c>
      <c r="G235" s="14">
        <v>4323.8900063519059</v>
      </c>
      <c r="H235" s="15">
        <v>4117.9904822399121</v>
      </c>
    </row>
    <row r="236" spans="1:8" x14ac:dyDescent="0.25">
      <c r="A236" s="16">
        <v>39</v>
      </c>
      <c r="B236" s="4" t="s">
        <v>11</v>
      </c>
      <c r="C236" s="4">
        <v>24.5</v>
      </c>
      <c r="D236" s="4">
        <v>2</v>
      </c>
      <c r="E236" s="4" t="s">
        <v>12</v>
      </c>
      <c r="F236" s="4" t="s">
        <v>20</v>
      </c>
      <c r="G236" s="14">
        <v>1435.6395704770975</v>
      </c>
      <c r="H236" s="15">
        <v>1914.1860939694634</v>
      </c>
    </row>
    <row r="237" spans="1:8" x14ac:dyDescent="0.25">
      <c r="A237" s="16">
        <v>40</v>
      </c>
      <c r="B237" s="4" t="s">
        <v>8</v>
      </c>
      <c r="C237" s="4">
        <v>22.2</v>
      </c>
      <c r="D237" s="4">
        <v>2</v>
      </c>
      <c r="E237" s="4" t="s">
        <v>9</v>
      </c>
      <c r="F237" s="4" t="s">
        <v>13</v>
      </c>
      <c r="G237" s="14">
        <v>1757.6045394790262</v>
      </c>
      <c r="H237" s="15">
        <v>2067.770046445914</v>
      </c>
    </row>
    <row r="238" spans="1:8" x14ac:dyDescent="0.25">
      <c r="A238" s="16">
        <v>18</v>
      </c>
      <c r="B238" s="4" t="s">
        <v>8</v>
      </c>
      <c r="C238" s="4">
        <v>23.8</v>
      </c>
      <c r="D238" s="4">
        <v>0</v>
      </c>
      <c r="E238" s="4" t="s">
        <v>12</v>
      </c>
      <c r="F238" s="4" t="s">
        <v>13</v>
      </c>
      <c r="G238" s="14">
        <v>1726.3650583258659</v>
      </c>
      <c r="H238" s="15">
        <v>2031.0177156774901</v>
      </c>
    </row>
    <row r="239" spans="1:8" x14ac:dyDescent="0.25">
      <c r="A239" s="16">
        <v>31</v>
      </c>
      <c r="B239" s="4" t="s">
        <v>11</v>
      </c>
      <c r="C239" s="4">
        <v>38.4</v>
      </c>
      <c r="D239" s="4">
        <v>2</v>
      </c>
      <c r="E239" s="4" t="s">
        <v>12</v>
      </c>
      <c r="F239" s="4" t="s">
        <v>13</v>
      </c>
      <c r="G239" s="14">
        <v>1511.5799677102475</v>
      </c>
      <c r="H239" s="15">
        <v>2015.4399569469967</v>
      </c>
    </row>
    <row r="240" spans="1:8" x14ac:dyDescent="0.25">
      <c r="A240" s="16">
        <v>19</v>
      </c>
      <c r="B240" s="4" t="s">
        <v>11</v>
      </c>
      <c r="C240" s="4">
        <v>24.5</v>
      </c>
      <c r="D240" s="4">
        <v>0</v>
      </c>
      <c r="E240" s="4" t="s">
        <v>9</v>
      </c>
      <c r="F240" s="4" t="s">
        <v>20</v>
      </c>
      <c r="G240" s="14">
        <v>2293.922628434661</v>
      </c>
      <c r="H240" s="15">
        <v>2698.7325040407782</v>
      </c>
    </row>
    <row r="241" spans="1:8" x14ac:dyDescent="0.25">
      <c r="A241" s="16">
        <v>44</v>
      </c>
      <c r="B241" s="4" t="s">
        <v>11</v>
      </c>
      <c r="C241" s="4">
        <v>38.1</v>
      </c>
      <c r="D241" s="4">
        <v>1</v>
      </c>
      <c r="E241" s="4" t="s">
        <v>12</v>
      </c>
      <c r="F241" s="4" t="s">
        <v>13</v>
      </c>
      <c r="G241" s="14">
        <v>5134.6551669969049</v>
      </c>
      <c r="H241" s="15">
        <v>4890.1477780922924</v>
      </c>
    </row>
    <row r="242" spans="1:8" x14ac:dyDescent="0.25">
      <c r="A242" s="16">
        <v>23</v>
      </c>
      <c r="B242" s="4" t="s">
        <v>8</v>
      </c>
      <c r="C242" s="4">
        <v>36.700000000000003</v>
      </c>
      <c r="D242" s="4">
        <v>2</v>
      </c>
      <c r="E242" s="4" t="s">
        <v>9</v>
      </c>
      <c r="F242" s="4" t="s">
        <v>15</v>
      </c>
      <c r="G242" s="14">
        <v>993.70311077674023</v>
      </c>
      <c r="H242" s="15">
        <v>1324.9374810356537</v>
      </c>
    </row>
    <row r="243" spans="1:8" x14ac:dyDescent="0.25">
      <c r="A243" s="16">
        <v>33</v>
      </c>
      <c r="B243" s="4" t="s">
        <v>8</v>
      </c>
      <c r="C243" s="4">
        <v>23.5</v>
      </c>
      <c r="D243" s="4">
        <v>1</v>
      </c>
      <c r="E243" s="4" t="s">
        <v>12</v>
      </c>
      <c r="F243" s="4" t="s">
        <v>15</v>
      </c>
      <c r="G243" s="14">
        <v>2104.5684586962007</v>
      </c>
      <c r="H243" s="15">
        <v>2475.962892583766</v>
      </c>
    </row>
    <row r="244" spans="1:8" x14ac:dyDescent="0.25">
      <c r="A244" s="16">
        <v>55</v>
      </c>
      <c r="B244" s="4" t="s">
        <v>8</v>
      </c>
      <c r="C244" s="4">
        <v>26.8</v>
      </c>
      <c r="D244" s="4">
        <v>1</v>
      </c>
      <c r="E244" s="4" t="s">
        <v>12</v>
      </c>
      <c r="F244" s="4" t="s">
        <v>21</v>
      </c>
      <c r="G244" s="14">
        <v>3822.5014396624001</v>
      </c>
      <c r="H244" s="15">
        <v>3640.4775615832395</v>
      </c>
    </row>
    <row r="245" spans="1:8" x14ac:dyDescent="0.25">
      <c r="A245" s="16">
        <v>40</v>
      </c>
      <c r="B245" s="4" t="s">
        <v>11</v>
      </c>
      <c r="C245" s="4">
        <v>35.299999999999997</v>
      </c>
      <c r="D245" s="4">
        <v>3</v>
      </c>
      <c r="E245" s="4" t="s">
        <v>12</v>
      </c>
      <c r="F245" s="4" t="s">
        <v>21</v>
      </c>
      <c r="G245" s="14">
        <v>2871.9106915635125</v>
      </c>
      <c r="H245" s="15">
        <v>3829.2142554180168</v>
      </c>
    </row>
    <row r="246" spans="1:8" x14ac:dyDescent="0.25">
      <c r="A246" s="16">
        <v>63</v>
      </c>
      <c r="B246" s="4" t="s">
        <v>8</v>
      </c>
      <c r="C246" s="4">
        <v>27.7</v>
      </c>
      <c r="D246" s="4">
        <v>0</v>
      </c>
      <c r="E246" s="4" t="s">
        <v>9</v>
      </c>
      <c r="F246" s="4" t="s">
        <v>15</v>
      </c>
      <c r="G246" s="14">
        <v>5702.3174588026241</v>
      </c>
      <c r="H246" s="15">
        <v>5430.7785321929759</v>
      </c>
    </row>
    <row r="247" spans="1:8" x14ac:dyDescent="0.25">
      <c r="A247" s="16">
        <v>54</v>
      </c>
      <c r="B247" s="4" t="s">
        <v>11</v>
      </c>
      <c r="C247" s="4">
        <v>30</v>
      </c>
      <c r="D247" s="4">
        <v>0</v>
      </c>
      <c r="E247" s="4" t="s">
        <v>12</v>
      </c>
      <c r="F247" s="4" t="s">
        <v>20</v>
      </c>
      <c r="G247" s="14">
        <v>4780.1823583978103</v>
      </c>
      <c r="H247" s="15">
        <v>4552.5546270455352</v>
      </c>
    </row>
    <row r="248" spans="1:8" x14ac:dyDescent="0.25">
      <c r="A248" s="16">
        <v>60</v>
      </c>
      <c r="B248" s="4" t="s">
        <v>8</v>
      </c>
      <c r="C248" s="4">
        <v>38.1</v>
      </c>
      <c r="D248" s="4">
        <v>0</v>
      </c>
      <c r="E248" s="4" t="s">
        <v>12</v>
      </c>
      <c r="F248" s="4" t="s">
        <v>13</v>
      </c>
      <c r="G248" s="14">
        <v>4611.3545717565994</v>
      </c>
      <c r="H248" s="15">
        <v>4391.76625881581</v>
      </c>
    </row>
    <row r="249" spans="1:8" x14ac:dyDescent="0.25">
      <c r="A249" s="16">
        <v>24</v>
      </c>
      <c r="B249" s="4" t="s">
        <v>11</v>
      </c>
      <c r="C249" s="4">
        <v>25.7</v>
      </c>
      <c r="D249" s="4">
        <v>0</v>
      </c>
      <c r="E249" s="4" t="s">
        <v>12</v>
      </c>
      <c r="F249" s="4" t="s">
        <v>13</v>
      </c>
      <c r="G249" s="14">
        <v>1962.5784826432321</v>
      </c>
      <c r="H249" s="15">
        <v>2308.9158619332152</v>
      </c>
    </row>
    <row r="250" spans="1:8" x14ac:dyDescent="0.25">
      <c r="A250" s="16">
        <v>19</v>
      </c>
      <c r="B250" s="4" t="s">
        <v>11</v>
      </c>
      <c r="C250" s="4">
        <v>23.6</v>
      </c>
      <c r="D250" s="4">
        <v>1</v>
      </c>
      <c r="E250" s="4" t="s">
        <v>12</v>
      </c>
      <c r="F250" s="4" t="s">
        <v>21</v>
      </c>
      <c r="G250" s="14">
        <v>2000.4099827288355</v>
      </c>
      <c r="H250" s="15">
        <v>2353.4235090927482</v>
      </c>
    </row>
    <row r="251" spans="1:8" x14ac:dyDescent="0.25">
      <c r="A251" s="16">
        <v>29</v>
      </c>
      <c r="B251" s="4" t="s">
        <v>11</v>
      </c>
      <c r="C251" s="4">
        <v>21.9</v>
      </c>
      <c r="D251" s="4">
        <v>1</v>
      </c>
      <c r="E251" s="4" t="s">
        <v>12</v>
      </c>
      <c r="F251" s="4" t="s">
        <v>15</v>
      </c>
      <c r="G251" s="14">
        <v>1920.5331582527567</v>
      </c>
      <c r="H251" s="15">
        <v>2259.4507744150087</v>
      </c>
    </row>
    <row r="252" spans="1:8" x14ac:dyDescent="0.25">
      <c r="A252" s="16">
        <v>18</v>
      </c>
      <c r="B252" s="4" t="s">
        <v>11</v>
      </c>
      <c r="C252" s="4">
        <v>24.6</v>
      </c>
      <c r="D252" s="4">
        <v>2</v>
      </c>
      <c r="E252" s="4" t="s">
        <v>9</v>
      </c>
      <c r="F252" s="4" t="s">
        <v>15</v>
      </c>
      <c r="G252" s="14">
        <v>1630.3923343612914</v>
      </c>
      <c r="H252" s="15">
        <v>1918.1086286603434</v>
      </c>
    </row>
    <row r="253" spans="1:8" x14ac:dyDescent="0.25">
      <c r="A253" s="16">
        <v>63</v>
      </c>
      <c r="B253" s="4" t="s">
        <v>8</v>
      </c>
      <c r="C253" s="4">
        <v>32.200000000000003</v>
      </c>
      <c r="D253" s="4">
        <v>2</v>
      </c>
      <c r="E253" s="4" t="s">
        <v>9</v>
      </c>
      <c r="F253" s="4" t="s">
        <v>21</v>
      </c>
      <c r="G253" s="14">
        <v>4235.3579532476415</v>
      </c>
      <c r="H253" s="15">
        <v>4033.6742411882315</v>
      </c>
    </row>
    <row r="254" spans="1:8" x14ac:dyDescent="0.25">
      <c r="A254" s="16">
        <v>54</v>
      </c>
      <c r="B254" s="4" t="s">
        <v>11</v>
      </c>
      <c r="C254" s="4">
        <v>34.200000000000003</v>
      </c>
      <c r="D254" s="4">
        <v>2</v>
      </c>
      <c r="E254" s="4" t="s">
        <v>9</v>
      </c>
      <c r="F254" s="4" t="s">
        <v>13</v>
      </c>
      <c r="G254" s="14">
        <v>2027.2472149566938</v>
      </c>
      <c r="H254" s="15">
        <v>2702.9962866089249</v>
      </c>
    </row>
    <row r="255" spans="1:8" x14ac:dyDescent="0.25">
      <c r="A255" s="16">
        <v>27</v>
      </c>
      <c r="B255" s="4" t="s">
        <v>11</v>
      </c>
      <c r="C255" s="4">
        <v>30.3</v>
      </c>
      <c r="D255" s="4">
        <v>3</v>
      </c>
      <c r="E255" s="4" t="s">
        <v>12</v>
      </c>
      <c r="F255" s="4" t="s">
        <v>21</v>
      </c>
      <c r="G255" s="14">
        <v>1393.3229298499409</v>
      </c>
      <c r="H255" s="15">
        <v>1857.763906466588</v>
      </c>
    </row>
    <row r="256" spans="1:8" x14ac:dyDescent="0.25">
      <c r="A256" s="16">
        <v>50</v>
      </c>
      <c r="B256" s="4" t="s">
        <v>11</v>
      </c>
      <c r="C256" s="4">
        <v>31.8</v>
      </c>
      <c r="D256" s="4">
        <v>0</v>
      </c>
      <c r="E256" s="4" t="s">
        <v>9</v>
      </c>
      <c r="F256" s="4" t="s">
        <v>15</v>
      </c>
      <c r="G256" s="14">
        <v>4704.4102630349707</v>
      </c>
      <c r="H256" s="15">
        <v>4480.390726699974</v>
      </c>
    </row>
    <row r="257" spans="1:8" x14ac:dyDescent="0.25">
      <c r="A257" s="16">
        <v>55</v>
      </c>
      <c r="B257" s="4" t="s">
        <v>8</v>
      </c>
      <c r="C257" s="4">
        <v>25.4</v>
      </c>
      <c r="D257" s="4">
        <v>3</v>
      </c>
      <c r="E257" s="4" t="s">
        <v>12</v>
      </c>
      <c r="F257" s="4" t="s">
        <v>15</v>
      </c>
      <c r="G257" s="14">
        <v>2963.7545342791341</v>
      </c>
      <c r="H257" s="15">
        <v>3951.6727123721789</v>
      </c>
    </row>
    <row r="258" spans="1:8" x14ac:dyDescent="0.25">
      <c r="A258" s="16">
        <v>56</v>
      </c>
      <c r="B258" s="4" t="s">
        <v>11</v>
      </c>
      <c r="C258" s="4">
        <v>33.6</v>
      </c>
      <c r="D258" s="4">
        <v>0</v>
      </c>
      <c r="E258" s="4" t="s">
        <v>9</v>
      </c>
      <c r="F258" s="4" t="s">
        <v>20</v>
      </c>
      <c r="G258" s="14">
        <v>4925.2183144071541</v>
      </c>
      <c r="H258" s="15">
        <v>4690.6841089591962</v>
      </c>
    </row>
    <row r="259" spans="1:8" x14ac:dyDescent="0.25">
      <c r="A259" s="16">
        <v>38</v>
      </c>
      <c r="B259" s="4" t="s">
        <v>8</v>
      </c>
      <c r="C259" s="4">
        <v>40.200000000000003</v>
      </c>
      <c r="D259" s="4">
        <v>0</v>
      </c>
      <c r="E259" s="4" t="s">
        <v>12</v>
      </c>
      <c r="F259" s="4" t="s">
        <v>13</v>
      </c>
      <c r="G259" s="14">
        <v>4437.4292913248055</v>
      </c>
      <c r="H259" s="15">
        <v>4226.1231345950546</v>
      </c>
    </row>
    <row r="260" spans="1:8" x14ac:dyDescent="0.25">
      <c r="A260" s="16">
        <v>51</v>
      </c>
      <c r="B260" s="4" t="s">
        <v>11</v>
      </c>
      <c r="C260" s="4">
        <v>24.4</v>
      </c>
      <c r="D260" s="4">
        <v>4</v>
      </c>
      <c r="E260" s="4" t="s">
        <v>12</v>
      </c>
      <c r="F260" s="4" t="s">
        <v>20</v>
      </c>
      <c r="G260" s="14">
        <v>2888.8867893812385</v>
      </c>
      <c r="H260" s="15">
        <v>3851.849052508318</v>
      </c>
    </row>
    <row r="261" spans="1:8" x14ac:dyDescent="0.25">
      <c r="A261" s="16">
        <v>19</v>
      </c>
      <c r="B261" s="4" t="s">
        <v>11</v>
      </c>
      <c r="C261" s="4">
        <v>23.4</v>
      </c>
      <c r="D261" s="4">
        <v>0</v>
      </c>
      <c r="E261" s="4" t="s">
        <v>9</v>
      </c>
      <c r="F261" s="4" t="s">
        <v>20</v>
      </c>
      <c r="G261" s="14">
        <v>1596.3130294625093</v>
      </c>
      <c r="H261" s="15">
        <v>1878.0153287794235</v>
      </c>
    </row>
    <row r="262" spans="1:8" x14ac:dyDescent="0.25">
      <c r="A262" s="16">
        <v>58</v>
      </c>
      <c r="B262" s="4" t="s">
        <v>8</v>
      </c>
      <c r="C262" s="4">
        <v>25.2</v>
      </c>
      <c r="D262" s="4">
        <v>0</v>
      </c>
      <c r="E262" s="4" t="s">
        <v>12</v>
      </c>
      <c r="F262" s="4" t="s">
        <v>21</v>
      </c>
      <c r="G262" s="14">
        <v>5384.5278724630443</v>
      </c>
      <c r="H262" s="15">
        <v>5128.1217832981383</v>
      </c>
    </row>
    <row r="263" spans="1:8" x14ac:dyDescent="0.25">
      <c r="A263" s="16">
        <v>20</v>
      </c>
      <c r="B263" s="4" t="s">
        <v>8</v>
      </c>
      <c r="C263" s="4">
        <v>23.5</v>
      </c>
      <c r="D263" s="4">
        <v>1</v>
      </c>
      <c r="E263" s="4" t="s">
        <v>9</v>
      </c>
      <c r="F263" s="4" t="s">
        <v>13</v>
      </c>
      <c r="G263" s="14">
        <v>1672.5348281054803</v>
      </c>
      <c r="H263" s="15">
        <v>1967.6880330652716</v>
      </c>
    </row>
    <row r="264" spans="1:8" x14ac:dyDescent="0.25">
      <c r="A264" s="16">
        <v>52</v>
      </c>
      <c r="B264" s="4" t="s">
        <v>11</v>
      </c>
      <c r="C264" s="4">
        <v>24.3</v>
      </c>
      <c r="D264" s="4">
        <v>3</v>
      </c>
      <c r="E264" s="4" t="s">
        <v>9</v>
      </c>
      <c r="F264" s="4" t="s">
        <v>15</v>
      </c>
      <c r="G264" s="14">
        <v>1597.2327923961661</v>
      </c>
      <c r="H264" s="15">
        <v>2129.643723194888</v>
      </c>
    </row>
    <row r="265" spans="1:8" x14ac:dyDescent="0.25">
      <c r="A265" s="16">
        <v>19</v>
      </c>
      <c r="B265" s="4" t="s">
        <v>11</v>
      </c>
      <c r="C265" s="4">
        <v>20.8</v>
      </c>
      <c r="D265" s="4">
        <v>0</v>
      </c>
      <c r="E265" s="4" t="s">
        <v>9</v>
      </c>
      <c r="F265" s="4" t="s">
        <v>20</v>
      </c>
      <c r="G265" s="14">
        <v>1989.6723872002519</v>
      </c>
      <c r="H265" s="15">
        <v>2340.791043765003</v>
      </c>
    </row>
    <row r="266" spans="1:8" x14ac:dyDescent="0.25">
      <c r="A266" s="16">
        <v>53</v>
      </c>
      <c r="B266" s="4" t="s">
        <v>8</v>
      </c>
      <c r="C266" s="4">
        <v>38.1</v>
      </c>
      <c r="D266" s="4">
        <v>3</v>
      </c>
      <c r="E266" s="4" t="s">
        <v>12</v>
      </c>
      <c r="F266" s="4" t="s">
        <v>13</v>
      </c>
      <c r="G266" s="14">
        <v>3509.1646687873053</v>
      </c>
      <c r="H266" s="15">
        <v>4678.8862250497405</v>
      </c>
    </row>
    <row r="267" spans="1:8" x14ac:dyDescent="0.25">
      <c r="A267" s="16">
        <v>46</v>
      </c>
      <c r="B267" s="4" t="s">
        <v>11</v>
      </c>
      <c r="C267" s="4">
        <v>42.4</v>
      </c>
      <c r="D267" s="4">
        <v>3</v>
      </c>
      <c r="E267" s="4" t="s">
        <v>9</v>
      </c>
      <c r="F267" s="4" t="s">
        <v>13</v>
      </c>
      <c r="G267" s="14">
        <v>2304.5210619811392</v>
      </c>
      <c r="H267" s="15">
        <v>3072.6947493081857</v>
      </c>
    </row>
    <row r="268" spans="1:8" x14ac:dyDescent="0.25">
      <c r="A268" s="16">
        <v>40</v>
      </c>
      <c r="B268" s="4" t="s">
        <v>11</v>
      </c>
      <c r="C268" s="4">
        <v>25.8</v>
      </c>
      <c r="D268" s="4">
        <v>1</v>
      </c>
      <c r="E268" s="4" t="s">
        <v>9</v>
      </c>
      <c r="F268" s="4" t="s">
        <v>13</v>
      </c>
      <c r="G268" s="14">
        <v>2086.7508242685512</v>
      </c>
      <c r="H268" s="15">
        <v>2455.0009697277083</v>
      </c>
    </row>
    <row r="269" spans="1:8" x14ac:dyDescent="0.25">
      <c r="A269" s="16">
        <v>59</v>
      </c>
      <c r="B269" s="4" t="s">
        <v>8</v>
      </c>
      <c r="C269" s="4">
        <v>32.4</v>
      </c>
      <c r="D269" s="4">
        <v>3</v>
      </c>
      <c r="E269" s="4" t="s">
        <v>12</v>
      </c>
      <c r="F269" s="4" t="s">
        <v>15</v>
      </c>
      <c r="G269" s="14">
        <v>3301.7597851266487</v>
      </c>
      <c r="H269" s="15">
        <v>4402.3463801688649</v>
      </c>
    </row>
    <row r="270" spans="1:8" x14ac:dyDescent="0.25">
      <c r="A270" s="16">
        <v>45</v>
      </c>
      <c r="B270" s="4" t="s">
        <v>11</v>
      </c>
      <c r="C270" s="4">
        <v>30.2</v>
      </c>
      <c r="D270" s="4">
        <v>1</v>
      </c>
      <c r="E270" s="4" t="s">
        <v>12</v>
      </c>
      <c r="F270" s="4" t="s">
        <v>21</v>
      </c>
      <c r="G270" s="14">
        <v>4385.7999846143657</v>
      </c>
      <c r="H270" s="15">
        <v>4176.952366299397</v>
      </c>
    </row>
    <row r="271" spans="1:8" x14ac:dyDescent="0.25">
      <c r="A271" s="16">
        <v>49</v>
      </c>
      <c r="B271" s="4" t="s">
        <v>11</v>
      </c>
      <c r="C271" s="4">
        <v>25.8</v>
      </c>
      <c r="D271" s="4">
        <v>1</v>
      </c>
      <c r="E271" s="4" t="s">
        <v>12</v>
      </c>
      <c r="F271" s="4" t="s">
        <v>15</v>
      </c>
      <c r="G271" s="14">
        <v>5301.2430280992203</v>
      </c>
      <c r="H271" s="15">
        <v>5048.8028839040217</v>
      </c>
    </row>
    <row r="272" spans="1:8" x14ac:dyDescent="0.25">
      <c r="A272" s="16">
        <v>18</v>
      </c>
      <c r="B272" s="4" t="s">
        <v>11</v>
      </c>
      <c r="C272" s="4">
        <v>23.6</v>
      </c>
      <c r="D272" s="4">
        <v>1</v>
      </c>
      <c r="E272" s="4" t="s">
        <v>12</v>
      </c>
      <c r="F272" s="4" t="s">
        <v>13</v>
      </c>
      <c r="G272" s="14">
        <v>2265.5020841342966</v>
      </c>
      <c r="H272" s="15">
        <v>2665.2965695697612</v>
      </c>
    </row>
    <row r="273" spans="1:8" x14ac:dyDescent="0.25">
      <c r="A273" s="16">
        <v>50</v>
      </c>
      <c r="B273" s="4" t="s">
        <v>11</v>
      </c>
      <c r="C273" s="4">
        <v>34.200000000000003</v>
      </c>
      <c r="D273" s="4">
        <v>2</v>
      </c>
      <c r="E273" s="4" t="s">
        <v>9</v>
      </c>
      <c r="F273" s="4" t="s">
        <v>21</v>
      </c>
      <c r="G273" s="14">
        <v>2217.5984802531066</v>
      </c>
      <c r="H273" s="15">
        <v>2956.7979736708085</v>
      </c>
    </row>
    <row r="274" spans="1:8" x14ac:dyDescent="0.25">
      <c r="A274" s="16">
        <v>41</v>
      </c>
      <c r="B274" s="4" t="s">
        <v>11</v>
      </c>
      <c r="C274" s="4">
        <v>37.1</v>
      </c>
      <c r="D274" s="4">
        <v>2</v>
      </c>
      <c r="E274" s="4" t="s">
        <v>12</v>
      </c>
      <c r="F274" s="4" t="s">
        <v>20</v>
      </c>
      <c r="G274" s="14">
        <v>2942.9063544309497</v>
      </c>
      <c r="H274" s="15">
        <v>3923.8751392412664</v>
      </c>
    </row>
    <row r="275" spans="1:8" x14ac:dyDescent="0.25">
      <c r="A275" s="16">
        <v>50</v>
      </c>
      <c r="B275" s="4" t="s">
        <v>11</v>
      </c>
      <c r="C275" s="4">
        <v>27.5</v>
      </c>
      <c r="D275" s="4">
        <v>1</v>
      </c>
      <c r="E275" s="4" t="s">
        <v>12</v>
      </c>
      <c r="F275" s="4" t="s">
        <v>15</v>
      </c>
      <c r="G275" s="14">
        <v>3810.8908370019217</v>
      </c>
      <c r="H275" s="15">
        <v>3629.4198447637364</v>
      </c>
    </row>
    <row r="276" spans="1:8" x14ac:dyDescent="0.25">
      <c r="A276" s="16">
        <v>25</v>
      </c>
      <c r="B276" s="4" t="s">
        <v>11</v>
      </c>
      <c r="C276" s="4">
        <v>24.6</v>
      </c>
      <c r="D276" s="4">
        <v>0</v>
      </c>
      <c r="E276" s="4" t="s">
        <v>12</v>
      </c>
      <c r="F276" s="4" t="s">
        <v>20</v>
      </c>
      <c r="G276" s="14">
        <v>2027.3372360645233</v>
      </c>
      <c r="H276" s="15">
        <v>2385.1026306641456</v>
      </c>
    </row>
    <row r="277" spans="1:8" x14ac:dyDescent="0.25">
      <c r="A277" s="16">
        <v>47</v>
      </c>
      <c r="B277" s="4" t="s">
        <v>8</v>
      </c>
      <c r="C277" s="4">
        <v>26.6</v>
      </c>
      <c r="D277" s="4">
        <v>2</v>
      </c>
      <c r="E277" s="4" t="s">
        <v>12</v>
      </c>
      <c r="F277" s="4" t="s">
        <v>15</v>
      </c>
      <c r="G277" s="14">
        <v>1371.1892131619093</v>
      </c>
      <c r="H277" s="15">
        <v>1828.2522842158789</v>
      </c>
    </row>
    <row r="278" spans="1:8" x14ac:dyDescent="0.25">
      <c r="A278" s="16">
        <v>19</v>
      </c>
      <c r="B278" s="4" t="s">
        <v>11</v>
      </c>
      <c r="C278" s="4">
        <v>23.2</v>
      </c>
      <c r="D278" s="4">
        <v>2</v>
      </c>
      <c r="E278" s="4" t="s">
        <v>12</v>
      </c>
      <c r="F278" s="4" t="s">
        <v>20</v>
      </c>
      <c r="G278" s="14">
        <v>1686.202836775135</v>
      </c>
      <c r="H278" s="15">
        <v>1983.7680432648654</v>
      </c>
    </row>
    <row r="279" spans="1:8" x14ac:dyDescent="0.25">
      <c r="A279" s="16">
        <v>22</v>
      </c>
      <c r="B279" s="4" t="s">
        <v>8</v>
      </c>
      <c r="C279" s="4">
        <v>22.6</v>
      </c>
      <c r="D279" s="4">
        <v>0</v>
      </c>
      <c r="E279" s="4" t="s">
        <v>12</v>
      </c>
      <c r="F279" s="4" t="s">
        <v>21</v>
      </c>
      <c r="G279" s="14">
        <v>1945.1792283344764</v>
      </c>
      <c r="H279" s="15">
        <v>2288.4461509817379</v>
      </c>
    </row>
    <row r="280" spans="1:8" x14ac:dyDescent="0.25">
      <c r="A280" s="16">
        <v>59</v>
      </c>
      <c r="B280" s="4" t="s">
        <v>11</v>
      </c>
      <c r="C280" s="4">
        <v>31.8</v>
      </c>
      <c r="D280" s="4">
        <v>2</v>
      </c>
      <c r="E280" s="4" t="s">
        <v>12</v>
      </c>
      <c r="F280" s="4" t="s">
        <v>13</v>
      </c>
      <c r="G280" s="14">
        <v>2657.0872801050332</v>
      </c>
      <c r="H280" s="15">
        <v>3542.7830401400442</v>
      </c>
    </row>
    <row r="281" spans="1:8" x14ac:dyDescent="0.25">
      <c r="A281" s="16">
        <v>51</v>
      </c>
      <c r="B281" s="4" t="s">
        <v>8</v>
      </c>
      <c r="C281" s="4">
        <v>21.6</v>
      </c>
      <c r="D281" s="4">
        <v>1</v>
      </c>
      <c r="E281" s="4" t="s">
        <v>12</v>
      </c>
      <c r="F281" s="4" t="s">
        <v>13</v>
      </c>
      <c r="G281" s="14">
        <v>3783.877145875138</v>
      </c>
      <c r="H281" s="15">
        <v>3603.692519881085</v>
      </c>
    </row>
    <row r="282" spans="1:8" x14ac:dyDescent="0.25">
      <c r="A282" s="16">
        <v>40</v>
      </c>
      <c r="B282" s="4" t="s">
        <v>8</v>
      </c>
      <c r="C282" s="4">
        <v>23.1</v>
      </c>
      <c r="D282" s="4">
        <v>1</v>
      </c>
      <c r="E282" s="4" t="s">
        <v>9</v>
      </c>
      <c r="F282" s="4" t="s">
        <v>15</v>
      </c>
      <c r="G282" s="14">
        <v>2607.6074390258159</v>
      </c>
      <c r="H282" s="15">
        <v>3067.7734576774315</v>
      </c>
    </row>
    <row r="283" spans="1:8" x14ac:dyDescent="0.25">
      <c r="A283" s="16">
        <v>54</v>
      </c>
      <c r="B283" s="4" t="s">
        <v>11</v>
      </c>
      <c r="C283" s="4">
        <v>40.6</v>
      </c>
      <c r="D283" s="4">
        <v>3</v>
      </c>
      <c r="E283" s="4" t="s">
        <v>9</v>
      </c>
      <c r="F283" s="4" t="s">
        <v>15</v>
      </c>
      <c r="G283" s="14">
        <v>3007.3943157178537</v>
      </c>
      <c r="H283" s="15">
        <v>4009.859087623805</v>
      </c>
    </row>
    <row r="284" spans="1:8" x14ac:dyDescent="0.25">
      <c r="A284" s="16">
        <v>30</v>
      </c>
      <c r="B284" s="4" t="s">
        <v>11</v>
      </c>
      <c r="C284" s="4">
        <v>25</v>
      </c>
      <c r="D284" s="4">
        <v>1</v>
      </c>
      <c r="E284" s="4" t="s">
        <v>12</v>
      </c>
      <c r="F284" s="4" t="s">
        <v>15</v>
      </c>
      <c r="G284" s="14">
        <v>2302.2221007951284</v>
      </c>
      <c r="H284" s="15">
        <v>2708.4965891707398</v>
      </c>
    </row>
    <row r="285" spans="1:8" x14ac:dyDescent="0.25">
      <c r="A285" s="16">
        <v>55</v>
      </c>
      <c r="B285" s="4" t="s">
        <v>8</v>
      </c>
      <c r="C285" s="4">
        <v>32.4</v>
      </c>
      <c r="D285" s="4">
        <v>1</v>
      </c>
      <c r="E285" s="4" t="s">
        <v>12</v>
      </c>
      <c r="F285" s="4" t="s">
        <v>15</v>
      </c>
      <c r="G285" s="14">
        <v>4382.4910833418035</v>
      </c>
      <c r="H285" s="15">
        <v>4173.8010317541011</v>
      </c>
    </row>
    <row r="286" spans="1:8" x14ac:dyDescent="0.25">
      <c r="A286" s="16">
        <v>52</v>
      </c>
      <c r="B286" s="4" t="s">
        <v>8</v>
      </c>
      <c r="C286" s="4">
        <v>31.2</v>
      </c>
      <c r="D286" s="4">
        <v>0</v>
      </c>
      <c r="E286" s="4" t="s">
        <v>12</v>
      </c>
      <c r="F286" s="4" t="s">
        <v>21</v>
      </c>
      <c r="G286" s="14">
        <v>3673.0570975703913</v>
      </c>
      <c r="H286" s="15">
        <v>3498.1496167337077</v>
      </c>
    </row>
    <row r="287" spans="1:8" x14ac:dyDescent="0.25">
      <c r="A287" s="16">
        <v>46</v>
      </c>
      <c r="B287" s="4" t="s">
        <v>11</v>
      </c>
      <c r="C287" s="4">
        <v>26.6</v>
      </c>
      <c r="D287" s="4">
        <v>1</v>
      </c>
      <c r="E287" s="4" t="s">
        <v>12</v>
      </c>
      <c r="F287" s="4" t="s">
        <v>13</v>
      </c>
      <c r="G287" s="14">
        <v>5652.2488150001054</v>
      </c>
      <c r="H287" s="15">
        <v>5383.0941095239123</v>
      </c>
    </row>
    <row r="288" spans="1:8" x14ac:dyDescent="0.25">
      <c r="A288" s="16">
        <v>46</v>
      </c>
      <c r="B288" s="4" t="s">
        <v>8</v>
      </c>
      <c r="C288" s="4">
        <v>48.1</v>
      </c>
      <c r="D288" s="4">
        <v>2</v>
      </c>
      <c r="E288" s="4" t="s">
        <v>12</v>
      </c>
      <c r="F288" s="4" t="s">
        <v>15</v>
      </c>
      <c r="G288" s="14">
        <v>1593.4845530367152</v>
      </c>
      <c r="H288" s="15">
        <v>2124.6460707156202</v>
      </c>
    </row>
    <row r="289" spans="1:8" x14ac:dyDescent="0.25">
      <c r="A289" s="16">
        <v>63</v>
      </c>
      <c r="B289" s="4" t="s">
        <v>8</v>
      </c>
      <c r="C289" s="4">
        <v>26.2</v>
      </c>
      <c r="D289" s="4">
        <v>0</v>
      </c>
      <c r="E289" s="4" t="s">
        <v>12</v>
      </c>
      <c r="F289" s="4" t="s">
        <v>20</v>
      </c>
      <c r="G289" s="14">
        <v>5142.5292281064494</v>
      </c>
      <c r="H289" s="15">
        <v>4897.6468839109057</v>
      </c>
    </row>
    <row r="290" spans="1:8" x14ac:dyDescent="0.25">
      <c r="A290" s="16">
        <v>59</v>
      </c>
      <c r="B290" s="4" t="s">
        <v>8</v>
      </c>
      <c r="C290" s="4">
        <v>36.799999999999997</v>
      </c>
      <c r="D290" s="4">
        <v>1</v>
      </c>
      <c r="E290" s="4" t="s">
        <v>9</v>
      </c>
      <c r="F290" s="4" t="s">
        <v>15</v>
      </c>
      <c r="G290" s="14">
        <v>6158.8639826358176</v>
      </c>
      <c r="H290" s="15">
        <v>5865.5847453674469</v>
      </c>
    </row>
    <row r="291" spans="1:8" x14ac:dyDescent="0.25">
      <c r="A291" s="16">
        <v>52</v>
      </c>
      <c r="B291" s="4" t="s">
        <v>11</v>
      </c>
      <c r="C291" s="4">
        <v>26.4</v>
      </c>
      <c r="D291" s="4">
        <v>3</v>
      </c>
      <c r="E291" s="4" t="s">
        <v>12</v>
      </c>
      <c r="F291" s="4" t="s">
        <v>13</v>
      </c>
      <c r="G291" s="14">
        <v>1450.2762412980765</v>
      </c>
      <c r="H291" s="15">
        <v>1933.7016550641019</v>
      </c>
    </row>
    <row r="292" spans="1:8" x14ac:dyDescent="0.25">
      <c r="A292" s="16">
        <v>28</v>
      </c>
      <c r="B292" s="4" t="s">
        <v>8</v>
      </c>
      <c r="C292" s="4">
        <v>26</v>
      </c>
      <c r="D292" s="4">
        <v>0</v>
      </c>
      <c r="E292" s="4" t="s">
        <v>12</v>
      </c>
      <c r="F292" s="4" t="s">
        <v>21</v>
      </c>
      <c r="G292" s="14">
        <v>1753.9269466765281</v>
      </c>
      <c r="H292" s="15">
        <v>2063.443466678269</v>
      </c>
    </row>
    <row r="293" spans="1:8" x14ac:dyDescent="0.25">
      <c r="A293" s="16">
        <v>29</v>
      </c>
      <c r="B293" s="4" t="s">
        <v>11</v>
      </c>
      <c r="C293" s="4">
        <v>20.399999999999999</v>
      </c>
      <c r="D293" s="4">
        <v>1</v>
      </c>
      <c r="E293" s="4" t="s">
        <v>12</v>
      </c>
      <c r="F293" s="4" t="s">
        <v>15</v>
      </c>
      <c r="G293" s="14">
        <v>1928.9706916389505</v>
      </c>
      <c r="H293" s="15">
        <v>2269.377284281119</v>
      </c>
    </row>
    <row r="294" spans="1:8" x14ac:dyDescent="0.25">
      <c r="A294" s="16">
        <v>25</v>
      </c>
      <c r="B294" s="4" t="s">
        <v>11</v>
      </c>
      <c r="C294" s="4">
        <v>45.5</v>
      </c>
      <c r="D294" s="4">
        <v>2</v>
      </c>
      <c r="E294" s="4" t="s">
        <v>9</v>
      </c>
      <c r="F294" s="4" t="s">
        <v>13</v>
      </c>
      <c r="G294" s="14">
        <v>1770.7073592617362</v>
      </c>
      <c r="H294" s="15">
        <v>2360.9431456823149</v>
      </c>
    </row>
    <row r="295" spans="1:8" x14ac:dyDescent="0.25">
      <c r="A295" s="16">
        <v>22</v>
      </c>
      <c r="B295" s="4" t="s">
        <v>8</v>
      </c>
      <c r="C295" s="4">
        <v>24.2</v>
      </c>
      <c r="D295" s="4">
        <v>0</v>
      </c>
      <c r="E295" s="4" t="s">
        <v>12</v>
      </c>
      <c r="F295" s="4" t="s">
        <v>13</v>
      </c>
      <c r="G295" s="14">
        <v>1658.9813515706737</v>
      </c>
      <c r="H295" s="15">
        <v>1951.7427665537346</v>
      </c>
    </row>
    <row r="296" spans="1:8" x14ac:dyDescent="0.25">
      <c r="A296" s="16">
        <v>25</v>
      </c>
      <c r="B296" s="4" t="s">
        <v>11</v>
      </c>
      <c r="C296" s="4">
        <v>26.8</v>
      </c>
      <c r="D296" s="4">
        <v>3</v>
      </c>
      <c r="E296" s="4" t="s">
        <v>12</v>
      </c>
      <c r="F296" s="4" t="s">
        <v>21</v>
      </c>
      <c r="G296" s="14">
        <v>1744.8087172591167</v>
      </c>
      <c r="H296" s="15">
        <v>2326.4116230121558</v>
      </c>
    </row>
    <row r="297" spans="1:8" x14ac:dyDescent="0.25">
      <c r="A297" s="16">
        <v>18</v>
      </c>
      <c r="B297" s="4" t="s">
        <v>11</v>
      </c>
      <c r="C297" s="4">
        <v>22</v>
      </c>
      <c r="D297" s="4">
        <v>0</v>
      </c>
      <c r="E297" s="4" t="s">
        <v>12</v>
      </c>
      <c r="F297" s="4" t="s">
        <v>15</v>
      </c>
      <c r="G297" s="14">
        <v>2305.0483959076892</v>
      </c>
      <c r="H297" s="15">
        <v>2711.8216422443406</v>
      </c>
    </row>
    <row r="298" spans="1:8" x14ac:dyDescent="0.25">
      <c r="A298" s="16">
        <v>19</v>
      </c>
      <c r="B298" s="4" t="s">
        <v>11</v>
      </c>
      <c r="C298" s="4">
        <v>23.9</v>
      </c>
      <c r="D298" s="4">
        <v>0</v>
      </c>
      <c r="E298" s="4" t="s">
        <v>9</v>
      </c>
      <c r="F298" s="4" t="s">
        <v>21</v>
      </c>
      <c r="G298" s="14">
        <v>1391.4651585861143</v>
      </c>
      <c r="H298" s="15">
        <v>1637.0178336307235</v>
      </c>
    </row>
    <row r="299" spans="1:8" x14ac:dyDescent="0.25">
      <c r="A299" s="16">
        <v>47</v>
      </c>
      <c r="B299" s="4" t="s">
        <v>11</v>
      </c>
      <c r="C299" s="4">
        <v>25.4</v>
      </c>
      <c r="D299" s="4">
        <v>1</v>
      </c>
      <c r="E299" s="4" t="s">
        <v>9</v>
      </c>
      <c r="F299" s="4" t="s">
        <v>13</v>
      </c>
      <c r="G299" s="14">
        <v>3832.9713382593973</v>
      </c>
      <c r="H299" s="15">
        <v>3650.4488935803802</v>
      </c>
    </row>
    <row r="300" spans="1:8" x14ac:dyDescent="0.25">
      <c r="A300" s="16">
        <v>31</v>
      </c>
      <c r="B300" s="4" t="s">
        <v>11</v>
      </c>
      <c r="C300" s="4">
        <v>34.4</v>
      </c>
      <c r="D300" s="4">
        <v>3</v>
      </c>
      <c r="E300" s="4" t="s">
        <v>9</v>
      </c>
      <c r="F300" s="4" t="s">
        <v>20</v>
      </c>
      <c r="G300" s="14">
        <v>2569.804759799154</v>
      </c>
      <c r="H300" s="15">
        <v>3426.4063463988718</v>
      </c>
    </row>
    <row r="301" spans="1:8" x14ac:dyDescent="0.25">
      <c r="A301" s="16">
        <v>48</v>
      </c>
      <c r="B301" s="4" t="s">
        <v>8</v>
      </c>
      <c r="C301" s="4">
        <v>28.9</v>
      </c>
      <c r="D301" s="4">
        <v>1</v>
      </c>
      <c r="E301" s="4" t="s">
        <v>12</v>
      </c>
      <c r="F301" s="4" t="s">
        <v>20</v>
      </c>
      <c r="G301" s="14">
        <v>3983.9121736074467</v>
      </c>
      <c r="H301" s="15">
        <v>3794.2020701023312</v>
      </c>
    </row>
    <row r="302" spans="1:8" x14ac:dyDescent="0.25">
      <c r="A302" s="16">
        <v>36</v>
      </c>
      <c r="B302" s="4" t="s">
        <v>11</v>
      </c>
      <c r="C302" s="4">
        <v>27.6</v>
      </c>
      <c r="D302" s="4">
        <v>3</v>
      </c>
      <c r="E302" s="4" t="s">
        <v>12</v>
      </c>
      <c r="F302" s="4" t="s">
        <v>15</v>
      </c>
      <c r="G302" s="14">
        <v>2654.737831142651</v>
      </c>
      <c r="H302" s="15">
        <v>3539.6504415235345</v>
      </c>
    </row>
    <row r="303" spans="1:8" x14ac:dyDescent="0.25">
      <c r="A303" s="16">
        <v>53</v>
      </c>
      <c r="B303" s="4" t="s">
        <v>8</v>
      </c>
      <c r="C303" s="4">
        <v>22.6</v>
      </c>
      <c r="D303" s="4">
        <v>3</v>
      </c>
      <c r="E303" s="4" t="s">
        <v>9</v>
      </c>
      <c r="F303" s="4" t="s">
        <v>15</v>
      </c>
      <c r="G303" s="14">
        <v>2078.6864696987104</v>
      </c>
      <c r="H303" s="15">
        <v>2771.5819595982807</v>
      </c>
    </row>
    <row r="304" spans="1:8" x14ac:dyDescent="0.25">
      <c r="A304" s="16">
        <v>56</v>
      </c>
      <c r="B304" s="4" t="s">
        <v>8</v>
      </c>
      <c r="C304" s="4">
        <v>37.5</v>
      </c>
      <c r="D304" s="4">
        <v>2</v>
      </c>
      <c r="E304" s="4" t="s">
        <v>12</v>
      </c>
      <c r="F304" s="4" t="s">
        <v>13</v>
      </c>
      <c r="G304" s="14">
        <v>3355.5647434491566</v>
      </c>
      <c r="H304" s="15">
        <v>4474.0863245988758</v>
      </c>
    </row>
    <row r="305" spans="1:8" x14ac:dyDescent="0.25">
      <c r="A305" s="16">
        <v>28</v>
      </c>
      <c r="B305" s="4" t="s">
        <v>8</v>
      </c>
      <c r="C305" s="4">
        <v>33</v>
      </c>
      <c r="D305" s="4">
        <v>2</v>
      </c>
      <c r="E305" s="4" t="s">
        <v>12</v>
      </c>
      <c r="F305" s="4" t="s">
        <v>13</v>
      </c>
      <c r="G305" s="14">
        <v>1506.7993639215247</v>
      </c>
      <c r="H305" s="15">
        <v>2009.0658185620327</v>
      </c>
    </row>
    <row r="306" spans="1:8" x14ac:dyDescent="0.25">
      <c r="A306" s="16">
        <v>57</v>
      </c>
      <c r="B306" s="4" t="s">
        <v>8</v>
      </c>
      <c r="C306" s="4">
        <v>38</v>
      </c>
      <c r="D306" s="4">
        <v>2</v>
      </c>
      <c r="E306" s="4" t="s">
        <v>12</v>
      </c>
      <c r="F306" s="4" t="s">
        <v>21</v>
      </c>
      <c r="G306" s="14">
        <v>2100.0131979236976</v>
      </c>
      <c r="H306" s="15">
        <v>2800.0175972315965</v>
      </c>
    </row>
    <row r="307" spans="1:8" x14ac:dyDescent="0.25">
      <c r="A307" s="16">
        <v>29</v>
      </c>
      <c r="B307" s="4" t="s">
        <v>11</v>
      </c>
      <c r="C307" s="4">
        <v>33.299999999999997</v>
      </c>
      <c r="D307" s="4">
        <v>2</v>
      </c>
      <c r="E307" s="4" t="s">
        <v>12</v>
      </c>
      <c r="F307" s="4" t="s">
        <v>20</v>
      </c>
      <c r="G307" s="14">
        <v>934.89152055677368</v>
      </c>
      <c r="H307" s="15">
        <v>1246.5220274090316</v>
      </c>
    </row>
    <row r="308" spans="1:8" x14ac:dyDescent="0.25">
      <c r="A308" s="16">
        <v>28</v>
      </c>
      <c r="B308" s="4" t="s">
        <v>8</v>
      </c>
      <c r="C308" s="4">
        <v>27.5</v>
      </c>
      <c r="D308" s="4">
        <v>2</v>
      </c>
      <c r="E308" s="4" t="s">
        <v>12</v>
      </c>
      <c r="F308" s="4" t="s">
        <v>21</v>
      </c>
      <c r="G308" s="14">
        <v>911.78955195883918</v>
      </c>
      <c r="H308" s="15">
        <v>1215.7194026117857</v>
      </c>
    </row>
    <row r="309" spans="1:8" x14ac:dyDescent="0.25">
      <c r="A309" s="16">
        <v>30</v>
      </c>
      <c r="B309" s="4" t="s">
        <v>8</v>
      </c>
      <c r="C309" s="4">
        <v>23.7</v>
      </c>
      <c r="D309" s="4">
        <v>1</v>
      </c>
      <c r="E309" s="4" t="s">
        <v>12</v>
      </c>
      <c r="F309" s="4" t="s">
        <v>13</v>
      </c>
      <c r="G309" s="14">
        <v>2233.0640705458291</v>
      </c>
      <c r="H309" s="15">
        <v>2627.1342006421523</v>
      </c>
    </row>
    <row r="310" spans="1:8" x14ac:dyDescent="0.25">
      <c r="A310" s="16">
        <v>58</v>
      </c>
      <c r="B310" s="4" t="s">
        <v>11</v>
      </c>
      <c r="C310" s="4">
        <v>34.9</v>
      </c>
      <c r="D310" s="4">
        <v>0</v>
      </c>
      <c r="E310" s="4" t="s">
        <v>12</v>
      </c>
      <c r="F310" s="4" t="s">
        <v>15</v>
      </c>
      <c r="G310" s="14">
        <v>5761.1470850051837</v>
      </c>
      <c r="H310" s="15">
        <v>5486.8067476239858</v>
      </c>
    </row>
    <row r="311" spans="1:8" x14ac:dyDescent="0.25">
      <c r="A311" s="16">
        <v>41</v>
      </c>
      <c r="B311" s="4" t="s">
        <v>8</v>
      </c>
      <c r="C311" s="4">
        <v>33.1</v>
      </c>
      <c r="D311" s="4">
        <v>2</v>
      </c>
      <c r="E311" s="4" t="s">
        <v>12</v>
      </c>
      <c r="F311" s="4" t="s">
        <v>20</v>
      </c>
      <c r="G311" s="14">
        <v>1063.6324468045807</v>
      </c>
      <c r="H311" s="15">
        <v>1418.1765957394409</v>
      </c>
    </row>
    <row r="312" spans="1:8" x14ac:dyDescent="0.25">
      <c r="A312" s="16">
        <v>50</v>
      </c>
      <c r="B312" s="4" t="s">
        <v>11</v>
      </c>
      <c r="C312" s="4">
        <v>26.6</v>
      </c>
      <c r="D312" s="4">
        <v>0</v>
      </c>
      <c r="E312" s="4" t="s">
        <v>12</v>
      </c>
      <c r="F312" s="4" t="s">
        <v>21</v>
      </c>
      <c r="G312" s="14">
        <v>5383.0201763076857</v>
      </c>
      <c r="H312" s="15">
        <v>5126.6858821977976</v>
      </c>
    </row>
    <row r="313" spans="1:8" x14ac:dyDescent="0.25">
      <c r="A313" s="16">
        <v>19</v>
      </c>
      <c r="B313" s="4" t="s">
        <v>8</v>
      </c>
      <c r="C313" s="4">
        <v>25.8</v>
      </c>
      <c r="D313" s="4">
        <v>0</v>
      </c>
      <c r="E313" s="4" t="s">
        <v>12</v>
      </c>
      <c r="F313" s="4" t="s">
        <v>21</v>
      </c>
      <c r="G313" s="14">
        <v>1947.0957960640524</v>
      </c>
      <c r="H313" s="15">
        <v>2290.7009365459448</v>
      </c>
    </row>
    <row r="314" spans="1:8" x14ac:dyDescent="0.25">
      <c r="A314" s="16">
        <v>43</v>
      </c>
      <c r="B314" s="4" t="s">
        <v>11</v>
      </c>
      <c r="C314" s="4">
        <v>36</v>
      </c>
      <c r="D314" s="4">
        <v>3</v>
      </c>
      <c r="E314" s="4" t="s">
        <v>9</v>
      </c>
      <c r="F314" s="4" t="s">
        <v>13</v>
      </c>
      <c r="G314" s="14">
        <v>1864.8981250271115</v>
      </c>
      <c r="H314" s="15">
        <v>2486.530833369482</v>
      </c>
    </row>
    <row r="315" spans="1:8" x14ac:dyDescent="0.25">
      <c r="A315" s="16">
        <v>49</v>
      </c>
      <c r="B315" s="4" t="s">
        <v>11</v>
      </c>
      <c r="C315" s="4">
        <v>35.9</v>
      </c>
      <c r="D315" s="4">
        <v>0</v>
      </c>
      <c r="E315" s="4" t="s">
        <v>12</v>
      </c>
      <c r="F315" s="4" t="s">
        <v>13</v>
      </c>
      <c r="G315" s="14">
        <v>4903.9652578153282</v>
      </c>
      <c r="H315" s="15">
        <v>4670.4431026812672</v>
      </c>
    </row>
    <row r="316" spans="1:8" x14ac:dyDescent="0.25">
      <c r="A316" s="16">
        <v>27</v>
      </c>
      <c r="B316" s="4" t="s">
        <v>8</v>
      </c>
      <c r="C316" s="4">
        <v>22.6</v>
      </c>
      <c r="D316" s="4">
        <v>0</v>
      </c>
      <c r="E316" s="4" t="s">
        <v>9</v>
      </c>
      <c r="F316" s="4" t="s">
        <v>21</v>
      </c>
      <c r="G316" s="14">
        <v>1634.8294107119359</v>
      </c>
      <c r="H316" s="15">
        <v>1923.3287184846311</v>
      </c>
    </row>
    <row r="317" spans="1:8" x14ac:dyDescent="0.25">
      <c r="A317" s="16">
        <v>52</v>
      </c>
      <c r="B317" s="4" t="s">
        <v>11</v>
      </c>
      <c r="C317" s="4">
        <v>33.299999999999997</v>
      </c>
      <c r="D317" s="4">
        <v>0</v>
      </c>
      <c r="E317" s="4" t="s">
        <v>12</v>
      </c>
      <c r="F317" s="4" t="s">
        <v>15</v>
      </c>
      <c r="G317" s="14">
        <v>4631.7328771214989</v>
      </c>
      <c r="H317" s="15">
        <v>4411.1741686871428</v>
      </c>
    </row>
    <row r="318" spans="1:8" x14ac:dyDescent="0.25">
      <c r="A318" s="16">
        <v>50</v>
      </c>
      <c r="B318" s="4" t="s">
        <v>11</v>
      </c>
      <c r="C318" s="4">
        <v>32.200000000000003</v>
      </c>
      <c r="D318" s="4">
        <v>0</v>
      </c>
      <c r="E318" s="4" t="s">
        <v>12</v>
      </c>
      <c r="F318" s="4" t="s">
        <v>20</v>
      </c>
      <c r="G318" s="14">
        <v>3544.7330235312011</v>
      </c>
      <c r="H318" s="15">
        <v>3375.9362128868597</v>
      </c>
    </row>
    <row r="319" spans="1:8" x14ac:dyDescent="0.25">
      <c r="A319" s="16">
        <v>54</v>
      </c>
      <c r="B319" s="4" t="s">
        <v>11</v>
      </c>
      <c r="C319" s="4">
        <v>32.799999999999997</v>
      </c>
      <c r="D319" s="4">
        <v>0</v>
      </c>
      <c r="E319" s="4" t="s">
        <v>12</v>
      </c>
      <c r="F319" s="4" t="s">
        <v>15</v>
      </c>
      <c r="G319" s="14">
        <v>5239.770542932687</v>
      </c>
      <c r="H319" s="15">
        <v>4990.2576599358936</v>
      </c>
    </row>
    <row r="320" spans="1:8" x14ac:dyDescent="0.25">
      <c r="A320" s="16">
        <v>44</v>
      </c>
      <c r="B320" s="4" t="s">
        <v>8</v>
      </c>
      <c r="C320" s="4">
        <v>27.6</v>
      </c>
      <c r="D320" s="4">
        <v>0</v>
      </c>
      <c r="E320" s="4" t="s">
        <v>12</v>
      </c>
      <c r="F320" s="4" t="s">
        <v>20</v>
      </c>
      <c r="G320" s="14">
        <v>3439.2817373938465</v>
      </c>
      <c r="H320" s="15">
        <v>3275.5064165655695</v>
      </c>
    </row>
    <row r="321" spans="1:8" x14ac:dyDescent="0.25">
      <c r="A321" s="16">
        <v>32</v>
      </c>
      <c r="B321" s="4" t="s">
        <v>11</v>
      </c>
      <c r="C321" s="4">
        <v>21.3</v>
      </c>
      <c r="D321" s="4">
        <v>1</v>
      </c>
      <c r="E321" s="4" t="s">
        <v>12</v>
      </c>
      <c r="F321" s="4" t="s">
        <v>15</v>
      </c>
      <c r="G321" s="14">
        <v>2454.5517886730013</v>
      </c>
      <c r="H321" s="15">
        <v>2887.7079866741201</v>
      </c>
    </row>
    <row r="322" spans="1:8" x14ac:dyDescent="0.25">
      <c r="A322" s="16">
        <v>34</v>
      </c>
      <c r="B322" s="4" t="s">
        <v>11</v>
      </c>
      <c r="C322" s="4">
        <v>24.1</v>
      </c>
      <c r="D322" s="4">
        <v>1</v>
      </c>
      <c r="E322" s="4" t="s">
        <v>12</v>
      </c>
      <c r="F322" s="4" t="s">
        <v>20</v>
      </c>
      <c r="G322" s="14">
        <v>1806.4084718076938</v>
      </c>
      <c r="H322" s="15">
        <v>2125.1864374208167</v>
      </c>
    </row>
    <row r="323" spans="1:8" x14ac:dyDescent="0.25">
      <c r="A323" s="16">
        <v>26</v>
      </c>
      <c r="B323" s="4" t="s">
        <v>8</v>
      </c>
      <c r="C323" s="4">
        <v>29.6</v>
      </c>
      <c r="D323" s="4">
        <v>4</v>
      </c>
      <c r="E323" s="4" t="s">
        <v>12</v>
      </c>
      <c r="F323" s="4" t="s">
        <v>15</v>
      </c>
      <c r="G323" s="14">
        <v>2735.1354239078628</v>
      </c>
      <c r="H323" s="15">
        <v>3646.8472318771505</v>
      </c>
    </row>
    <row r="324" spans="1:8" x14ac:dyDescent="0.25">
      <c r="A324" s="16">
        <v>34</v>
      </c>
      <c r="B324" s="4" t="s">
        <v>11</v>
      </c>
      <c r="C324" s="4">
        <v>20.2</v>
      </c>
      <c r="D324" s="4">
        <v>0</v>
      </c>
      <c r="E324" s="4" t="s">
        <v>9</v>
      </c>
      <c r="F324" s="4" t="s">
        <v>21</v>
      </c>
      <c r="G324" s="14">
        <v>2228.0257955596253</v>
      </c>
      <c r="H324" s="15">
        <v>2621.2068183054421</v>
      </c>
    </row>
    <row r="325" spans="1:8" x14ac:dyDescent="0.25">
      <c r="A325" s="16">
        <v>57</v>
      </c>
      <c r="B325" s="4" t="s">
        <v>11</v>
      </c>
      <c r="C325" s="4">
        <v>40.9</v>
      </c>
      <c r="D325" s="4">
        <v>0</v>
      </c>
      <c r="E325" s="4" t="s">
        <v>12</v>
      </c>
      <c r="F325" s="4" t="s">
        <v>15</v>
      </c>
      <c r="G325" s="14">
        <v>3969.6168202343874</v>
      </c>
      <c r="H325" s="15">
        <v>3780.5874478422752</v>
      </c>
    </row>
    <row r="326" spans="1:8" x14ac:dyDescent="0.25">
      <c r="A326" s="16">
        <v>29</v>
      </c>
      <c r="B326" s="4" t="s">
        <v>11</v>
      </c>
      <c r="C326" s="4">
        <v>20.9</v>
      </c>
      <c r="D326" s="4">
        <v>0</v>
      </c>
      <c r="E326" s="4" t="s">
        <v>12</v>
      </c>
      <c r="F326" s="4" t="s">
        <v>21</v>
      </c>
      <c r="G326" s="14">
        <v>1702.4106251894023</v>
      </c>
      <c r="H326" s="15">
        <v>2002.8360296345918</v>
      </c>
    </row>
    <row r="327" spans="1:8" x14ac:dyDescent="0.25">
      <c r="A327" s="16">
        <v>40</v>
      </c>
      <c r="B327" s="4" t="s">
        <v>11</v>
      </c>
      <c r="C327" s="4">
        <v>34.1</v>
      </c>
      <c r="D327" s="4">
        <v>1</v>
      </c>
      <c r="E327" s="4" t="s">
        <v>12</v>
      </c>
      <c r="F327" s="4" t="s">
        <v>15</v>
      </c>
      <c r="G327" s="14">
        <v>6084.2643200382154</v>
      </c>
      <c r="H327" s="15">
        <v>5794.5374476554443</v>
      </c>
    </row>
    <row r="328" spans="1:8" x14ac:dyDescent="0.25">
      <c r="A328" s="16">
        <v>27</v>
      </c>
      <c r="B328" s="4" t="s">
        <v>8</v>
      </c>
      <c r="C328" s="4">
        <v>24.4</v>
      </c>
      <c r="D328" s="4">
        <v>1</v>
      </c>
      <c r="E328" s="4" t="s">
        <v>12</v>
      </c>
      <c r="F328" s="4" t="s">
        <v>13</v>
      </c>
      <c r="G328" s="14">
        <v>1582.9760482396059</v>
      </c>
      <c r="H328" s="15">
        <v>1862.3247626348311</v>
      </c>
    </row>
    <row r="329" spans="1:8" x14ac:dyDescent="0.25">
      <c r="A329" s="16">
        <v>45</v>
      </c>
      <c r="B329" s="4" t="s">
        <v>11</v>
      </c>
      <c r="C329" s="4">
        <v>36.5</v>
      </c>
      <c r="D329" s="4">
        <v>2</v>
      </c>
      <c r="E329" s="4" t="s">
        <v>9</v>
      </c>
      <c r="F329" s="4" t="s">
        <v>20</v>
      </c>
      <c r="G329" s="14">
        <v>1655.1114553608859</v>
      </c>
      <c r="H329" s="15">
        <v>2206.8152738145145</v>
      </c>
    </row>
    <row r="330" spans="1:8" x14ac:dyDescent="0.25">
      <c r="A330" s="16">
        <v>64</v>
      </c>
      <c r="B330" s="4" t="s">
        <v>8</v>
      </c>
      <c r="C330" s="4">
        <v>33.799999999999997</v>
      </c>
      <c r="D330" s="4">
        <v>1</v>
      </c>
      <c r="E330" s="4" t="s">
        <v>9</v>
      </c>
      <c r="F330" s="4" t="s">
        <v>21</v>
      </c>
      <c r="G330" s="14">
        <v>4816.6698073842554</v>
      </c>
      <c r="H330" s="15">
        <v>4587.3045784611968</v>
      </c>
    </row>
    <row r="331" spans="1:8" x14ac:dyDescent="0.25">
      <c r="A331" s="16">
        <v>52</v>
      </c>
      <c r="B331" s="4" t="s">
        <v>11</v>
      </c>
      <c r="C331" s="4">
        <v>36.700000000000003</v>
      </c>
      <c r="D331" s="4">
        <v>0</v>
      </c>
      <c r="E331" s="4" t="s">
        <v>12</v>
      </c>
      <c r="F331" s="4" t="s">
        <v>21</v>
      </c>
      <c r="G331" s="14">
        <v>4557.8104544117596</v>
      </c>
      <c r="H331" s="15">
        <v>4340.771861344534</v>
      </c>
    </row>
    <row r="332" spans="1:8" x14ac:dyDescent="0.25">
      <c r="A332" s="16">
        <v>61</v>
      </c>
      <c r="B332" s="4" t="s">
        <v>8</v>
      </c>
      <c r="C332" s="4">
        <v>36.4</v>
      </c>
      <c r="D332" s="4">
        <v>1</v>
      </c>
      <c r="E332" s="4" t="s">
        <v>9</v>
      </c>
      <c r="F332" s="4" t="s">
        <v>15</v>
      </c>
      <c r="G332" s="14">
        <v>6121.4939348674634</v>
      </c>
      <c r="H332" s="15">
        <v>5829.9942236832994</v>
      </c>
    </row>
    <row r="333" spans="1:8" x14ac:dyDescent="0.25">
      <c r="A333" s="16">
        <v>52</v>
      </c>
      <c r="B333" s="4" t="s">
        <v>11</v>
      </c>
      <c r="C333" s="4">
        <v>27.4</v>
      </c>
      <c r="D333" s="4">
        <v>0</v>
      </c>
      <c r="E333" s="4" t="s">
        <v>9</v>
      </c>
      <c r="F333" s="4" t="s">
        <v>20</v>
      </c>
      <c r="G333" s="14">
        <v>3965.9835139391753</v>
      </c>
      <c r="H333" s="15">
        <v>3777.1271561325498</v>
      </c>
    </row>
    <row r="334" spans="1:8" x14ac:dyDescent="0.25">
      <c r="A334" s="16">
        <v>61</v>
      </c>
      <c r="B334" s="4" t="s">
        <v>8</v>
      </c>
      <c r="C334" s="4">
        <v>31.2</v>
      </c>
      <c r="D334" s="4">
        <v>0</v>
      </c>
      <c r="E334" s="4" t="s">
        <v>12</v>
      </c>
      <c r="F334" s="4" t="s">
        <v>20</v>
      </c>
      <c r="G334" s="14">
        <v>4110.9772906002127</v>
      </c>
      <c r="H334" s="15">
        <v>3915.2164672382996</v>
      </c>
    </row>
    <row r="335" spans="1:8" x14ac:dyDescent="0.25">
      <c r="A335" s="16">
        <v>56</v>
      </c>
      <c r="B335" s="4" t="s">
        <v>8</v>
      </c>
      <c r="C335" s="4">
        <v>28.8</v>
      </c>
      <c r="D335" s="4">
        <v>0</v>
      </c>
      <c r="E335" s="4" t="s">
        <v>12</v>
      </c>
      <c r="F335" s="4" t="s">
        <v>15</v>
      </c>
      <c r="G335" s="14">
        <v>4436.7161335561341</v>
      </c>
      <c r="H335" s="15">
        <v>4225.4439367201294</v>
      </c>
    </row>
    <row r="336" spans="1:8" x14ac:dyDescent="0.25">
      <c r="A336" s="16">
        <v>43</v>
      </c>
      <c r="B336" s="4" t="s">
        <v>8</v>
      </c>
      <c r="C336" s="4">
        <v>35.700000000000003</v>
      </c>
      <c r="D336" s="4">
        <v>2</v>
      </c>
      <c r="E336" s="4" t="s">
        <v>12</v>
      </c>
      <c r="F336" s="4" t="s">
        <v>15</v>
      </c>
      <c r="G336" s="14">
        <v>2421.6065376265033</v>
      </c>
      <c r="H336" s="15">
        <v>3228.8087168353377</v>
      </c>
    </row>
    <row r="337" spans="1:8" x14ac:dyDescent="0.25">
      <c r="A337" s="16">
        <v>64</v>
      </c>
      <c r="B337" s="4" t="s">
        <v>11</v>
      </c>
      <c r="C337" s="4">
        <v>34.5</v>
      </c>
      <c r="D337" s="4">
        <v>0</v>
      </c>
      <c r="E337" s="4" t="s">
        <v>12</v>
      </c>
      <c r="F337" s="4" t="s">
        <v>21</v>
      </c>
      <c r="G337" s="14">
        <v>4806.7425981395136</v>
      </c>
      <c r="H337" s="15">
        <v>4577.8500934662052</v>
      </c>
    </row>
    <row r="338" spans="1:8" x14ac:dyDescent="0.25">
      <c r="A338" s="16">
        <v>60</v>
      </c>
      <c r="B338" s="4" t="s">
        <v>11</v>
      </c>
      <c r="C338" s="4">
        <v>25.7</v>
      </c>
      <c r="D338" s="4">
        <v>0</v>
      </c>
      <c r="E338" s="4" t="s">
        <v>12</v>
      </c>
      <c r="F338" s="4" t="s">
        <v>13</v>
      </c>
      <c r="G338" s="14">
        <v>4175.0622467921958</v>
      </c>
      <c r="H338" s="15">
        <v>3976.2497588497113</v>
      </c>
    </row>
    <row r="339" spans="1:8" x14ac:dyDescent="0.25">
      <c r="A339" s="16">
        <v>62</v>
      </c>
      <c r="B339" s="4" t="s">
        <v>11</v>
      </c>
      <c r="C339" s="4">
        <v>27.6</v>
      </c>
      <c r="D339" s="4">
        <v>1</v>
      </c>
      <c r="E339" s="4" t="s">
        <v>12</v>
      </c>
      <c r="F339" s="4" t="s">
        <v>20</v>
      </c>
      <c r="G339" s="14">
        <v>5833.5875343574462</v>
      </c>
      <c r="H339" s="15">
        <v>5555.7976517689985</v>
      </c>
    </row>
    <row r="340" spans="1:8" x14ac:dyDescent="0.25">
      <c r="A340" s="16">
        <v>50</v>
      </c>
      <c r="B340" s="4" t="s">
        <v>11</v>
      </c>
      <c r="C340" s="4">
        <v>32.299999999999997</v>
      </c>
      <c r="D340" s="4">
        <v>1</v>
      </c>
      <c r="E340" s="4" t="s">
        <v>9</v>
      </c>
      <c r="F340" s="4" t="s">
        <v>15</v>
      </c>
      <c r="G340" s="14">
        <v>5028.4385995386237</v>
      </c>
      <c r="H340" s="15">
        <v>4788.9891424177385</v>
      </c>
    </row>
    <row r="341" spans="1:8" x14ac:dyDescent="0.25">
      <c r="A341" s="16">
        <v>46</v>
      </c>
      <c r="B341" s="4" t="s">
        <v>8</v>
      </c>
      <c r="C341" s="4">
        <v>27.7</v>
      </c>
      <c r="D341" s="4">
        <v>1</v>
      </c>
      <c r="E341" s="4" t="s">
        <v>12</v>
      </c>
      <c r="F341" s="4" t="s">
        <v>13</v>
      </c>
      <c r="G341" s="14">
        <v>5284.5996895834824</v>
      </c>
      <c r="H341" s="15">
        <v>5032.9520853176036</v>
      </c>
    </row>
    <row r="342" spans="1:8" x14ac:dyDescent="0.25">
      <c r="A342" s="16">
        <v>24</v>
      </c>
      <c r="B342" s="4" t="s">
        <v>8</v>
      </c>
      <c r="C342" s="4">
        <v>21.6</v>
      </c>
      <c r="D342" s="4">
        <v>0</v>
      </c>
      <c r="E342" s="4" t="s">
        <v>12</v>
      </c>
      <c r="F342" s="4" t="s">
        <v>21</v>
      </c>
      <c r="G342" s="14">
        <v>1585.4248330824541</v>
      </c>
      <c r="H342" s="15">
        <v>1865.2056859793583</v>
      </c>
    </row>
    <row r="343" spans="1:8" x14ac:dyDescent="0.25">
      <c r="A343" s="16">
        <v>62</v>
      </c>
      <c r="B343" s="4" t="s">
        <v>11</v>
      </c>
      <c r="C343" s="4">
        <v>30</v>
      </c>
      <c r="D343" s="4">
        <v>0</v>
      </c>
      <c r="E343" s="4" t="s">
        <v>12</v>
      </c>
      <c r="F343" s="4" t="s">
        <v>20</v>
      </c>
      <c r="G343" s="14">
        <v>4736.708704175021</v>
      </c>
      <c r="H343" s="15">
        <v>4511.1511468333547</v>
      </c>
    </row>
    <row r="344" spans="1:8" x14ac:dyDescent="0.25">
      <c r="A344" s="16">
        <v>60</v>
      </c>
      <c r="B344" s="4" t="s">
        <v>8</v>
      </c>
      <c r="C344" s="4">
        <v>27.6</v>
      </c>
      <c r="D344" s="4">
        <v>0</v>
      </c>
      <c r="E344" s="4" t="s">
        <v>12</v>
      </c>
      <c r="F344" s="4" t="s">
        <v>15</v>
      </c>
      <c r="G344" s="14">
        <v>5374.9263658691343</v>
      </c>
      <c r="H344" s="15">
        <v>5118.9774913039391</v>
      </c>
    </row>
    <row r="345" spans="1:8" x14ac:dyDescent="0.25">
      <c r="A345" s="16">
        <v>63</v>
      </c>
      <c r="B345" s="4" t="s">
        <v>11</v>
      </c>
      <c r="C345" s="4">
        <v>36.799999999999997</v>
      </c>
      <c r="D345" s="4">
        <v>0</v>
      </c>
      <c r="E345" s="4" t="s">
        <v>12</v>
      </c>
      <c r="F345" s="4" t="s">
        <v>15</v>
      </c>
      <c r="G345" s="14">
        <v>6069.2398611846338</v>
      </c>
      <c r="H345" s="15">
        <v>5780.2284392234633</v>
      </c>
    </row>
    <row r="346" spans="1:8" x14ac:dyDescent="0.25">
      <c r="A346" s="16">
        <v>49</v>
      </c>
      <c r="B346" s="4" t="s">
        <v>8</v>
      </c>
      <c r="C346" s="4">
        <v>41.5</v>
      </c>
      <c r="D346" s="4">
        <v>4</v>
      </c>
      <c r="E346" s="4" t="s">
        <v>12</v>
      </c>
      <c r="F346" s="4" t="s">
        <v>13</v>
      </c>
      <c r="G346" s="14">
        <v>2392.8694742757548</v>
      </c>
      <c r="H346" s="15">
        <v>3190.4926323676732</v>
      </c>
    </row>
    <row r="347" spans="1:8" x14ac:dyDescent="0.25">
      <c r="A347" s="16">
        <v>34</v>
      </c>
      <c r="B347" s="4" t="s">
        <v>8</v>
      </c>
      <c r="C347" s="4">
        <v>29.3</v>
      </c>
      <c r="D347" s="4">
        <v>3</v>
      </c>
      <c r="E347" s="4" t="s">
        <v>12</v>
      </c>
      <c r="F347" s="4" t="s">
        <v>13</v>
      </c>
      <c r="G347" s="14">
        <v>2685.5649216758088</v>
      </c>
      <c r="H347" s="15">
        <v>3580.7532289010783</v>
      </c>
    </row>
    <row r="348" spans="1:8" x14ac:dyDescent="0.25">
      <c r="A348" s="16">
        <v>33</v>
      </c>
      <c r="B348" s="4" t="s">
        <v>11</v>
      </c>
      <c r="C348" s="4">
        <v>35.799999999999997</v>
      </c>
      <c r="D348" s="4">
        <v>2</v>
      </c>
      <c r="E348" s="4" t="s">
        <v>12</v>
      </c>
      <c r="F348" s="4" t="s">
        <v>13</v>
      </c>
      <c r="G348" s="14">
        <v>2870.4417360917423</v>
      </c>
      <c r="H348" s="15">
        <v>3827.2556481223228</v>
      </c>
    </row>
    <row r="349" spans="1:8" x14ac:dyDescent="0.25">
      <c r="A349" s="16">
        <v>46</v>
      </c>
      <c r="B349" s="4" t="s">
        <v>11</v>
      </c>
      <c r="C349" s="4">
        <v>33.299999999999997</v>
      </c>
      <c r="D349" s="4">
        <v>1</v>
      </c>
      <c r="E349" s="4" t="s">
        <v>12</v>
      </c>
      <c r="F349" s="4" t="s">
        <v>15</v>
      </c>
      <c r="G349" s="14">
        <v>4856.628167136224</v>
      </c>
      <c r="H349" s="15">
        <v>4625.3601591773577</v>
      </c>
    </row>
    <row r="350" spans="1:8" x14ac:dyDescent="0.25">
      <c r="A350" s="16">
        <v>36</v>
      </c>
      <c r="B350" s="4" t="s">
        <v>8</v>
      </c>
      <c r="C350" s="4">
        <v>25</v>
      </c>
      <c r="D350" s="4">
        <v>1</v>
      </c>
      <c r="E350" s="4" t="s">
        <v>12</v>
      </c>
      <c r="F350" s="4" t="s">
        <v>13</v>
      </c>
      <c r="G350" s="14">
        <v>1873.9971741884426</v>
      </c>
      <c r="H350" s="15">
        <v>2204.7025578687571</v>
      </c>
    </row>
    <row r="351" spans="1:8" x14ac:dyDescent="0.25">
      <c r="A351" s="16">
        <v>19</v>
      </c>
      <c r="B351" s="4" t="s">
        <v>11</v>
      </c>
      <c r="C351" s="4">
        <v>23.3</v>
      </c>
      <c r="D351" s="4">
        <v>0</v>
      </c>
      <c r="E351" s="4" t="s">
        <v>12</v>
      </c>
      <c r="F351" s="4" t="s">
        <v>20</v>
      </c>
      <c r="G351" s="14">
        <v>1956.7925862714455</v>
      </c>
      <c r="H351" s="15">
        <v>2302.1089250252307</v>
      </c>
    </row>
    <row r="352" spans="1:8" x14ac:dyDescent="0.25">
      <c r="A352" s="16">
        <v>57</v>
      </c>
      <c r="B352" s="4" t="s">
        <v>8</v>
      </c>
      <c r="C352" s="4">
        <v>23.2</v>
      </c>
      <c r="D352" s="4">
        <v>0</v>
      </c>
      <c r="E352" s="4" t="s">
        <v>12</v>
      </c>
      <c r="F352" s="4" t="s">
        <v>20</v>
      </c>
      <c r="G352" s="14">
        <v>5303.5992991522189</v>
      </c>
      <c r="H352" s="15">
        <v>5051.046951573544</v>
      </c>
    </row>
    <row r="353" spans="1:8" x14ac:dyDescent="0.25">
      <c r="A353" s="16">
        <v>50</v>
      </c>
      <c r="B353" s="4" t="s">
        <v>8</v>
      </c>
      <c r="C353" s="4">
        <v>25.6</v>
      </c>
      <c r="D353" s="4">
        <v>0</v>
      </c>
      <c r="E353" s="4" t="s">
        <v>12</v>
      </c>
      <c r="F353" s="4" t="s">
        <v>21</v>
      </c>
      <c r="G353" s="14">
        <v>3568.2978087956562</v>
      </c>
      <c r="H353" s="15">
        <v>3398.378865519674</v>
      </c>
    </row>
    <row r="354" spans="1:8" x14ac:dyDescent="0.25">
      <c r="A354" s="16">
        <v>30</v>
      </c>
      <c r="B354" s="4" t="s">
        <v>8</v>
      </c>
      <c r="C354" s="4">
        <v>24.1</v>
      </c>
      <c r="D354" s="4">
        <v>0</v>
      </c>
      <c r="E354" s="4" t="s">
        <v>12</v>
      </c>
      <c r="F354" s="4" t="s">
        <v>21</v>
      </c>
      <c r="G354" s="14">
        <v>2181.9269359587988</v>
      </c>
      <c r="H354" s="15">
        <v>2566.9728658338818</v>
      </c>
    </row>
    <row r="355" spans="1:8" x14ac:dyDescent="0.25">
      <c r="A355" s="16">
        <v>33</v>
      </c>
      <c r="B355" s="4" t="s">
        <v>11</v>
      </c>
      <c r="C355" s="4">
        <v>22.2</v>
      </c>
      <c r="D355" s="4">
        <v>0</v>
      </c>
      <c r="E355" s="4" t="s">
        <v>12</v>
      </c>
      <c r="F355" s="4" t="s">
        <v>15</v>
      </c>
      <c r="G355" s="14">
        <v>1497.6254945273133</v>
      </c>
      <c r="H355" s="15">
        <v>1761.9123465027224</v>
      </c>
    </row>
    <row r="356" spans="1:8" x14ac:dyDescent="0.25">
      <c r="A356" s="16">
        <v>18</v>
      </c>
      <c r="B356" s="4" t="s">
        <v>8</v>
      </c>
      <c r="C356" s="4">
        <v>22.1</v>
      </c>
      <c r="D356" s="4">
        <v>0</v>
      </c>
      <c r="E356" s="4" t="s">
        <v>12</v>
      </c>
      <c r="F356" s="4" t="s">
        <v>13</v>
      </c>
      <c r="G356" s="14">
        <v>1438.8161800771272</v>
      </c>
      <c r="H356" s="15">
        <v>1692.7249177377976</v>
      </c>
    </row>
    <row r="357" spans="1:8" x14ac:dyDescent="0.25">
      <c r="A357" s="16">
        <v>46</v>
      </c>
      <c r="B357" s="4" t="s">
        <v>11</v>
      </c>
      <c r="C357" s="4">
        <v>27.6</v>
      </c>
      <c r="D357" s="4">
        <v>0</v>
      </c>
      <c r="E357" s="4" t="s">
        <v>12</v>
      </c>
      <c r="F357" s="4" t="s">
        <v>21</v>
      </c>
      <c r="G357" s="14">
        <v>5344.114373934065</v>
      </c>
      <c r="H357" s="15">
        <v>5089.6327370800627</v>
      </c>
    </row>
    <row r="358" spans="1:8" x14ac:dyDescent="0.25">
      <c r="A358" s="16">
        <v>46</v>
      </c>
      <c r="B358" s="4" t="s">
        <v>11</v>
      </c>
      <c r="C358" s="4">
        <v>43.9</v>
      </c>
      <c r="D358" s="4">
        <v>3</v>
      </c>
      <c r="E358" s="4" t="s">
        <v>12</v>
      </c>
      <c r="F358" s="4" t="s">
        <v>13</v>
      </c>
      <c r="G358" s="14">
        <v>3994.1405081246894</v>
      </c>
      <c r="H358" s="15">
        <v>5325.5206774995859</v>
      </c>
    </row>
    <row r="359" spans="1:8" x14ac:dyDescent="0.25">
      <c r="A359" s="16">
        <v>47</v>
      </c>
      <c r="B359" s="4" t="s">
        <v>11</v>
      </c>
      <c r="C359" s="4">
        <v>29.8</v>
      </c>
      <c r="D359" s="4">
        <v>3</v>
      </c>
      <c r="E359" s="4" t="s">
        <v>12</v>
      </c>
      <c r="F359" s="4" t="s">
        <v>20</v>
      </c>
      <c r="G359" s="14">
        <v>1664.0352210982333</v>
      </c>
      <c r="H359" s="15">
        <v>2218.7136281309777</v>
      </c>
    </row>
    <row r="360" spans="1:8" x14ac:dyDescent="0.25">
      <c r="A360" s="16">
        <v>23</v>
      </c>
      <c r="B360" s="4" t="s">
        <v>11</v>
      </c>
      <c r="C360" s="4">
        <v>20.9</v>
      </c>
      <c r="D360" s="4">
        <v>0</v>
      </c>
      <c r="E360" s="4" t="s">
        <v>12</v>
      </c>
      <c r="F360" s="4" t="s">
        <v>13</v>
      </c>
      <c r="G360" s="14">
        <v>1602.0850093973506</v>
      </c>
      <c r="H360" s="15">
        <v>1884.8058934086487</v>
      </c>
    </row>
    <row r="361" spans="1:8" x14ac:dyDescent="0.25">
      <c r="A361" s="16">
        <v>18</v>
      </c>
      <c r="B361" s="4" t="s">
        <v>8</v>
      </c>
      <c r="C361" s="4">
        <v>20.7</v>
      </c>
      <c r="D361" s="4">
        <v>0</v>
      </c>
      <c r="E361" s="4" t="s">
        <v>12</v>
      </c>
      <c r="F361" s="4" t="s">
        <v>13</v>
      </c>
      <c r="G361" s="14">
        <v>2141.3761466341984</v>
      </c>
      <c r="H361" s="15">
        <v>2519.2660548637637</v>
      </c>
    </row>
    <row r="362" spans="1:8" x14ac:dyDescent="0.25">
      <c r="A362" s="16">
        <v>48</v>
      </c>
      <c r="B362" s="4" t="s">
        <v>8</v>
      </c>
      <c r="C362" s="4">
        <v>32.299999999999997</v>
      </c>
      <c r="D362" s="4">
        <v>2</v>
      </c>
      <c r="E362" s="4" t="s">
        <v>12</v>
      </c>
      <c r="F362" s="4" t="s">
        <v>15</v>
      </c>
      <c r="G362" s="14">
        <v>3479.3754828973197</v>
      </c>
      <c r="H362" s="15">
        <v>4639.1673105297596</v>
      </c>
    </row>
    <row r="363" spans="1:8" x14ac:dyDescent="0.25">
      <c r="A363" s="16">
        <v>35</v>
      </c>
      <c r="B363" s="4" t="s">
        <v>11</v>
      </c>
      <c r="C363" s="4">
        <v>24.5</v>
      </c>
      <c r="D363" s="4">
        <v>1</v>
      </c>
      <c r="E363" s="4" t="s">
        <v>12</v>
      </c>
      <c r="F363" s="4" t="s">
        <v>21</v>
      </c>
      <c r="G363" s="14">
        <v>1459.0170033116638</v>
      </c>
      <c r="H363" s="15">
        <v>1716.4905921313698</v>
      </c>
    </row>
    <row r="364" spans="1:8" x14ac:dyDescent="0.25">
      <c r="A364" s="16">
        <v>19</v>
      </c>
      <c r="B364" s="4" t="s">
        <v>8</v>
      </c>
      <c r="C364" s="4">
        <v>21.1</v>
      </c>
      <c r="D364" s="4">
        <v>0</v>
      </c>
      <c r="E364" s="4" t="s">
        <v>9</v>
      </c>
      <c r="F364" s="4" t="s">
        <v>21</v>
      </c>
      <c r="G364" s="14">
        <v>1292.9607998365773</v>
      </c>
      <c r="H364" s="15">
        <v>1521.1303527489154</v>
      </c>
    </row>
    <row r="365" spans="1:8" x14ac:dyDescent="0.25">
      <c r="A365" s="16">
        <v>21</v>
      </c>
      <c r="B365" s="4" t="s">
        <v>8</v>
      </c>
      <c r="C365" s="4">
        <v>20.6</v>
      </c>
      <c r="D365" s="4">
        <v>1</v>
      </c>
      <c r="E365" s="4" t="s">
        <v>12</v>
      </c>
      <c r="F365" s="4" t="s">
        <v>21</v>
      </c>
      <c r="G365" s="14">
        <v>1772.0854454876787</v>
      </c>
      <c r="H365" s="15">
        <v>2084.8064064560936</v>
      </c>
    </row>
    <row r="366" spans="1:8" x14ac:dyDescent="0.25">
      <c r="A366" s="16">
        <v>21</v>
      </c>
      <c r="B366" s="4" t="s">
        <v>8</v>
      </c>
      <c r="C366" s="4">
        <v>23.9</v>
      </c>
      <c r="D366" s="4">
        <v>2</v>
      </c>
      <c r="E366" s="4" t="s">
        <v>12</v>
      </c>
      <c r="F366" s="4" t="s">
        <v>13</v>
      </c>
      <c r="G366" s="14">
        <v>2304.5110551664225</v>
      </c>
      <c r="H366" s="15">
        <v>2711.18947666638</v>
      </c>
    </row>
    <row r="367" spans="1:8" x14ac:dyDescent="0.25">
      <c r="A367" s="16">
        <v>49</v>
      </c>
      <c r="B367" s="4" t="s">
        <v>8</v>
      </c>
      <c r="C367" s="4">
        <v>30.8</v>
      </c>
      <c r="D367" s="4">
        <v>1</v>
      </c>
      <c r="E367" s="4" t="s">
        <v>12</v>
      </c>
      <c r="F367" s="4" t="s">
        <v>15</v>
      </c>
      <c r="G367" s="14">
        <v>3548.2667147336547</v>
      </c>
      <c r="H367" s="15">
        <v>3379.3016330796727</v>
      </c>
    </row>
    <row r="368" spans="1:8" x14ac:dyDescent="0.25">
      <c r="A368" s="16">
        <v>56</v>
      </c>
      <c r="B368" s="4" t="s">
        <v>8</v>
      </c>
      <c r="C368" s="4">
        <v>32.299999999999997</v>
      </c>
      <c r="D368" s="4">
        <v>3</v>
      </c>
      <c r="E368" s="4" t="s">
        <v>12</v>
      </c>
      <c r="F368" s="4" t="s">
        <v>15</v>
      </c>
      <c r="G368" s="14">
        <v>2642.3513869890735</v>
      </c>
      <c r="H368" s="15">
        <v>3523.1351826520981</v>
      </c>
    </row>
    <row r="369" spans="1:8" x14ac:dyDescent="0.25">
      <c r="A369" s="16">
        <v>42</v>
      </c>
      <c r="B369" s="4" t="s">
        <v>8</v>
      </c>
      <c r="C369" s="4">
        <v>25</v>
      </c>
      <c r="D369" s="4">
        <v>2</v>
      </c>
      <c r="E369" s="4" t="s">
        <v>12</v>
      </c>
      <c r="F369" s="4" t="s">
        <v>20</v>
      </c>
      <c r="G369" s="14">
        <v>1187.2144467011988</v>
      </c>
      <c r="H369" s="15">
        <v>1582.9525956015984</v>
      </c>
    </row>
    <row r="370" spans="1:8" x14ac:dyDescent="0.25">
      <c r="A370" s="16">
        <v>44</v>
      </c>
      <c r="B370" s="4" t="s">
        <v>11</v>
      </c>
      <c r="C370" s="4">
        <v>32</v>
      </c>
      <c r="D370" s="4">
        <v>2</v>
      </c>
      <c r="E370" s="4" t="s">
        <v>12</v>
      </c>
      <c r="F370" s="4" t="s">
        <v>20</v>
      </c>
      <c r="G370" s="14">
        <v>3094.187043623534</v>
      </c>
      <c r="H370" s="15">
        <v>4125.582724831379</v>
      </c>
    </row>
    <row r="371" spans="1:8" x14ac:dyDescent="0.25">
      <c r="A371" s="16">
        <v>18</v>
      </c>
      <c r="B371" s="4" t="s">
        <v>11</v>
      </c>
      <c r="C371" s="4">
        <v>30.4</v>
      </c>
      <c r="D371" s="4">
        <v>3</v>
      </c>
      <c r="E371" s="4" t="s">
        <v>12</v>
      </c>
      <c r="F371" s="4" t="s">
        <v>15</v>
      </c>
      <c r="G371" s="14">
        <v>1120.7376663650534</v>
      </c>
      <c r="H371" s="15">
        <v>1494.316888486738</v>
      </c>
    </row>
    <row r="372" spans="1:8" x14ac:dyDescent="0.25">
      <c r="A372" s="16">
        <v>61</v>
      </c>
      <c r="B372" s="4" t="s">
        <v>8</v>
      </c>
      <c r="C372" s="4">
        <v>21.1</v>
      </c>
      <c r="D372" s="4">
        <v>0</v>
      </c>
      <c r="E372" s="4" t="s">
        <v>12</v>
      </c>
      <c r="F372" s="4" t="s">
        <v>20</v>
      </c>
      <c r="G372" s="14">
        <v>5410.4153544019309</v>
      </c>
      <c r="H372" s="15">
        <v>5152.7765280018402</v>
      </c>
    </row>
    <row r="373" spans="1:8" x14ac:dyDescent="0.25">
      <c r="A373" s="16">
        <v>57</v>
      </c>
      <c r="B373" s="4" t="s">
        <v>8</v>
      </c>
      <c r="C373" s="4">
        <v>22.2</v>
      </c>
      <c r="D373" s="4">
        <v>0</v>
      </c>
      <c r="E373" s="4" t="s">
        <v>12</v>
      </c>
      <c r="F373" s="4" t="s">
        <v>15</v>
      </c>
      <c r="G373" s="14">
        <v>4157.6577753663278</v>
      </c>
      <c r="H373" s="15">
        <v>3959.674071777456</v>
      </c>
    </row>
    <row r="374" spans="1:8" x14ac:dyDescent="0.25">
      <c r="A374" s="16">
        <v>42</v>
      </c>
      <c r="B374" s="4" t="s">
        <v>8</v>
      </c>
      <c r="C374" s="4">
        <v>33.200000000000003</v>
      </c>
      <c r="D374" s="4">
        <v>1</v>
      </c>
      <c r="E374" s="4" t="s">
        <v>12</v>
      </c>
      <c r="F374" s="4" t="s">
        <v>15</v>
      </c>
      <c r="G374" s="14">
        <v>4434.1386308980072</v>
      </c>
      <c r="H374" s="15">
        <v>4222.9891722838183</v>
      </c>
    </row>
    <row r="375" spans="1:8" x14ac:dyDescent="0.25">
      <c r="A375" s="16">
        <v>26</v>
      </c>
      <c r="B375" s="4" t="s">
        <v>11</v>
      </c>
      <c r="C375" s="4">
        <v>32.9</v>
      </c>
      <c r="D375" s="4">
        <v>2</v>
      </c>
      <c r="E375" s="4" t="s">
        <v>9</v>
      </c>
      <c r="F375" s="4" t="s">
        <v>21</v>
      </c>
      <c r="G375" s="14">
        <v>1125.9341894561933</v>
      </c>
      <c r="H375" s="15">
        <v>1501.2455859415911</v>
      </c>
    </row>
    <row r="376" spans="1:8" x14ac:dyDescent="0.25">
      <c r="A376" s="16">
        <v>20</v>
      </c>
      <c r="B376" s="4" t="s">
        <v>11</v>
      </c>
      <c r="C376" s="4">
        <v>20</v>
      </c>
      <c r="D376" s="4">
        <v>0</v>
      </c>
      <c r="E376" s="4" t="s">
        <v>12</v>
      </c>
      <c r="F376" s="4" t="s">
        <v>13</v>
      </c>
      <c r="G376" s="14">
        <v>2514.3527065377975</v>
      </c>
      <c r="H376" s="15">
        <v>2958.062007691527</v>
      </c>
    </row>
    <row r="377" spans="1:8" x14ac:dyDescent="0.25">
      <c r="A377" s="16">
        <v>23</v>
      </c>
      <c r="B377" s="4" t="s">
        <v>8</v>
      </c>
      <c r="C377" s="4">
        <v>20</v>
      </c>
      <c r="D377" s="4">
        <v>0</v>
      </c>
      <c r="E377" s="4" t="s">
        <v>9</v>
      </c>
      <c r="F377" s="4" t="s">
        <v>20</v>
      </c>
      <c r="G377" s="14">
        <v>1224.2951220548905</v>
      </c>
      <c r="H377" s="15">
        <v>1440.3472024175189</v>
      </c>
    </row>
    <row r="378" spans="1:8" x14ac:dyDescent="0.25">
      <c r="A378" s="16">
        <v>39</v>
      </c>
      <c r="B378" s="4" t="s">
        <v>8</v>
      </c>
      <c r="C378" s="4">
        <v>24.9</v>
      </c>
      <c r="D378" s="4">
        <v>3</v>
      </c>
      <c r="E378" s="4" t="s">
        <v>9</v>
      </c>
      <c r="F378" s="4" t="s">
        <v>15</v>
      </c>
      <c r="G378" s="14">
        <v>2375.0891803396353</v>
      </c>
      <c r="H378" s="15">
        <v>3166.7855737861801</v>
      </c>
    </row>
    <row r="379" spans="1:8" x14ac:dyDescent="0.25">
      <c r="A379" s="16">
        <v>24</v>
      </c>
      <c r="B379" s="4" t="s">
        <v>11</v>
      </c>
      <c r="C379" s="4">
        <v>24.9</v>
      </c>
      <c r="D379" s="4">
        <v>0</v>
      </c>
      <c r="E379" s="4" t="s">
        <v>9</v>
      </c>
      <c r="F379" s="4" t="s">
        <v>13</v>
      </c>
      <c r="G379" s="14">
        <v>1435.108708851662</v>
      </c>
      <c r="H379" s="15">
        <v>1688.363186884309</v>
      </c>
    </row>
    <row r="380" spans="1:8" x14ac:dyDescent="0.25">
      <c r="A380" s="16">
        <v>64</v>
      </c>
      <c r="B380" s="4" t="s">
        <v>8</v>
      </c>
      <c r="C380" s="4">
        <v>30.1</v>
      </c>
      <c r="D380" s="4">
        <v>3</v>
      </c>
      <c r="E380" s="4" t="s">
        <v>12</v>
      </c>
      <c r="F380" s="4" t="s">
        <v>20</v>
      </c>
      <c r="G380" s="14">
        <v>1750.3879791439488</v>
      </c>
      <c r="H380" s="15">
        <v>2333.8506388585984</v>
      </c>
    </row>
    <row r="381" spans="1:8" x14ac:dyDescent="0.25">
      <c r="A381" s="16">
        <v>62</v>
      </c>
      <c r="B381" s="4" t="s">
        <v>11</v>
      </c>
      <c r="C381" s="4">
        <v>31.5</v>
      </c>
      <c r="D381" s="4">
        <v>1</v>
      </c>
      <c r="E381" s="4" t="s">
        <v>12</v>
      </c>
      <c r="F381" s="4" t="s">
        <v>13</v>
      </c>
      <c r="G381" s="14">
        <v>5387.8157765957394</v>
      </c>
      <c r="H381" s="15">
        <v>5131.2531205673722</v>
      </c>
    </row>
    <row r="382" spans="1:8" x14ac:dyDescent="0.25">
      <c r="A382" s="16">
        <v>27</v>
      </c>
      <c r="B382" s="4" t="s">
        <v>8</v>
      </c>
      <c r="C382" s="4">
        <v>20.8</v>
      </c>
      <c r="D382" s="4">
        <v>2</v>
      </c>
      <c r="E382" s="4" t="s">
        <v>9</v>
      </c>
      <c r="F382" s="4" t="s">
        <v>15</v>
      </c>
      <c r="G382" s="14">
        <v>1659.7445133759807</v>
      </c>
      <c r="H382" s="15">
        <v>1952.6406039717428</v>
      </c>
    </row>
    <row r="383" spans="1:8" x14ac:dyDescent="0.25">
      <c r="A383" s="16">
        <v>55</v>
      </c>
      <c r="B383" s="4" t="s">
        <v>11</v>
      </c>
      <c r="C383" s="4">
        <v>30.7</v>
      </c>
      <c r="D383" s="4">
        <v>0</v>
      </c>
      <c r="E383" s="4" t="s">
        <v>9</v>
      </c>
      <c r="F383" s="4" t="s">
        <v>15</v>
      </c>
      <c r="G383" s="14">
        <v>5214.2195787716737</v>
      </c>
      <c r="H383" s="15">
        <v>4965.9234083539759</v>
      </c>
    </row>
    <row r="384" spans="1:8" x14ac:dyDescent="0.25">
      <c r="A384" s="16">
        <v>55</v>
      </c>
      <c r="B384" s="4" t="s">
        <v>11</v>
      </c>
      <c r="C384" s="4">
        <v>33</v>
      </c>
      <c r="D384" s="4">
        <v>0</v>
      </c>
      <c r="E384" s="4" t="s">
        <v>12</v>
      </c>
      <c r="F384" s="4" t="s">
        <v>13</v>
      </c>
      <c r="G384" s="14">
        <v>4647.0573060409106</v>
      </c>
      <c r="H384" s="15">
        <v>4425.7688628961059</v>
      </c>
    </row>
    <row r="385" spans="1:8" x14ac:dyDescent="0.25">
      <c r="A385" s="16">
        <v>35</v>
      </c>
      <c r="B385" s="4" t="s">
        <v>8</v>
      </c>
      <c r="C385" s="4">
        <v>43.3</v>
      </c>
      <c r="D385" s="4">
        <v>2</v>
      </c>
      <c r="E385" s="4" t="s">
        <v>12</v>
      </c>
      <c r="F385" s="4" t="s">
        <v>13</v>
      </c>
      <c r="G385" s="14">
        <v>2092.0394610359599</v>
      </c>
      <c r="H385" s="15">
        <v>2789.3859480479468</v>
      </c>
    </row>
    <row r="386" spans="1:8" x14ac:dyDescent="0.25">
      <c r="A386" s="16">
        <v>44</v>
      </c>
      <c r="B386" s="4" t="s">
        <v>11</v>
      </c>
      <c r="C386" s="4">
        <v>22.1</v>
      </c>
      <c r="D386" s="4">
        <v>2</v>
      </c>
      <c r="E386" s="4" t="s">
        <v>12</v>
      </c>
      <c r="F386" s="4" t="s">
        <v>15</v>
      </c>
      <c r="G386" s="14">
        <v>1271.3794457243998</v>
      </c>
      <c r="H386" s="15">
        <v>1695.1725942991998</v>
      </c>
    </row>
    <row r="387" spans="1:8" x14ac:dyDescent="0.25">
      <c r="A387" s="16">
        <v>19</v>
      </c>
      <c r="B387" s="4" t="s">
        <v>11</v>
      </c>
      <c r="C387" s="4">
        <v>25.2</v>
      </c>
      <c r="D387" s="4">
        <v>0</v>
      </c>
      <c r="E387" s="4" t="s">
        <v>12</v>
      </c>
      <c r="F387" s="4" t="s">
        <v>21</v>
      </c>
      <c r="G387" s="14">
        <v>2064.4062268171765</v>
      </c>
      <c r="H387" s="15">
        <v>2428.7132080202086</v>
      </c>
    </row>
    <row r="388" spans="1:8" x14ac:dyDescent="0.25">
      <c r="A388" s="16">
        <v>58</v>
      </c>
      <c r="B388" s="4" t="s">
        <v>8</v>
      </c>
      <c r="C388" s="4">
        <v>39.1</v>
      </c>
      <c r="D388" s="4">
        <v>0</v>
      </c>
      <c r="E388" s="4" t="s">
        <v>12</v>
      </c>
      <c r="F388" s="4" t="s">
        <v>13</v>
      </c>
      <c r="G388" s="14">
        <v>4106.0185466226712</v>
      </c>
      <c r="H388" s="15">
        <v>3910.4938539263553</v>
      </c>
    </row>
    <row r="389" spans="1:8" x14ac:dyDescent="0.25">
      <c r="A389" s="16">
        <v>50</v>
      </c>
      <c r="B389" s="4" t="s">
        <v>11</v>
      </c>
      <c r="C389" s="4">
        <v>25.4</v>
      </c>
      <c r="D389" s="4">
        <v>2</v>
      </c>
      <c r="E389" s="4" t="s">
        <v>12</v>
      </c>
      <c r="F389" s="4" t="s">
        <v>20</v>
      </c>
      <c r="G389" s="14">
        <v>1225.245790182086</v>
      </c>
      <c r="H389" s="15">
        <v>1633.6610535761147</v>
      </c>
    </row>
    <row r="390" spans="1:8" x14ac:dyDescent="0.25">
      <c r="A390" s="16">
        <v>26</v>
      </c>
      <c r="B390" s="4" t="s">
        <v>8</v>
      </c>
      <c r="C390" s="4">
        <v>24.9</v>
      </c>
      <c r="D390" s="4">
        <v>0</v>
      </c>
      <c r="E390" s="4" t="s">
        <v>12</v>
      </c>
      <c r="F390" s="4" t="s">
        <v>20</v>
      </c>
      <c r="G390" s="14">
        <v>2173.5468168405287</v>
      </c>
      <c r="H390" s="15">
        <v>2557.1139021653285</v>
      </c>
    </row>
    <row r="391" spans="1:8" x14ac:dyDescent="0.25">
      <c r="A391" s="16">
        <v>24</v>
      </c>
      <c r="B391" s="4" t="s">
        <v>8</v>
      </c>
      <c r="C391" s="4">
        <v>30.2</v>
      </c>
      <c r="D391" s="4">
        <v>3</v>
      </c>
      <c r="E391" s="4" t="s">
        <v>12</v>
      </c>
      <c r="F391" s="4" t="s">
        <v>20</v>
      </c>
      <c r="G391" s="14">
        <v>1632.0257973790153</v>
      </c>
      <c r="H391" s="15">
        <v>2176.0343965053539</v>
      </c>
    </row>
    <row r="392" spans="1:8" x14ac:dyDescent="0.25">
      <c r="A392" s="16">
        <v>48</v>
      </c>
      <c r="B392" s="4" t="s">
        <v>11</v>
      </c>
      <c r="C392" s="4">
        <v>35.6</v>
      </c>
      <c r="D392" s="4">
        <v>4</v>
      </c>
      <c r="E392" s="4" t="s">
        <v>12</v>
      </c>
      <c r="F392" s="4" t="s">
        <v>15</v>
      </c>
      <c r="G392" s="14">
        <v>2923.1321389800532</v>
      </c>
      <c r="H392" s="15">
        <v>3897.5095186400713</v>
      </c>
    </row>
    <row r="393" spans="1:8" x14ac:dyDescent="0.25">
      <c r="A393" s="16">
        <v>19</v>
      </c>
      <c r="B393" s="4" t="s">
        <v>8</v>
      </c>
      <c r="C393" s="4">
        <v>22.9</v>
      </c>
      <c r="D393" s="4">
        <v>0</v>
      </c>
      <c r="E393" s="4" t="s">
        <v>12</v>
      </c>
      <c r="F393" s="4" t="s">
        <v>20</v>
      </c>
      <c r="G393" s="14">
        <v>1931.4318082335519</v>
      </c>
      <c r="H393" s="15">
        <v>2272.2727155688854</v>
      </c>
    </row>
    <row r="394" spans="1:8" x14ac:dyDescent="0.25">
      <c r="A394" s="16">
        <v>48</v>
      </c>
      <c r="B394" s="4" t="s">
        <v>11</v>
      </c>
      <c r="C394" s="4">
        <v>31.4</v>
      </c>
      <c r="D394" s="4">
        <v>1</v>
      </c>
      <c r="E394" s="4" t="s">
        <v>12</v>
      </c>
      <c r="F394" s="4" t="s">
        <v>15</v>
      </c>
      <c r="G394" s="14">
        <v>4165.1193324079286</v>
      </c>
      <c r="H394" s="15">
        <v>3966.7803165789805</v>
      </c>
    </row>
    <row r="395" spans="1:8" x14ac:dyDescent="0.25">
      <c r="A395" s="16">
        <v>49</v>
      </c>
      <c r="B395" s="4" t="s">
        <v>11</v>
      </c>
      <c r="C395" s="4">
        <v>31.4</v>
      </c>
      <c r="D395" s="4">
        <v>1</v>
      </c>
      <c r="E395" s="4" t="s">
        <v>12</v>
      </c>
      <c r="F395" s="4" t="s">
        <v>15</v>
      </c>
      <c r="G395" s="14">
        <v>5433.4241024062194</v>
      </c>
      <c r="H395" s="15">
        <v>5174.6896213392574</v>
      </c>
    </row>
    <row r="396" spans="1:8" x14ac:dyDescent="0.25">
      <c r="A396" s="16">
        <v>46</v>
      </c>
      <c r="B396" s="4" t="s">
        <v>8</v>
      </c>
      <c r="C396" s="4">
        <v>32.299999999999997</v>
      </c>
      <c r="D396" s="4">
        <v>2</v>
      </c>
      <c r="E396" s="4" t="s">
        <v>12</v>
      </c>
      <c r="F396" s="4" t="s">
        <v>15</v>
      </c>
      <c r="G396" s="14">
        <v>2732.8305926311391</v>
      </c>
      <c r="H396" s="15">
        <v>3643.7741235081853</v>
      </c>
    </row>
    <row r="397" spans="1:8" x14ac:dyDescent="0.25">
      <c r="A397" s="16">
        <v>46</v>
      </c>
      <c r="B397" s="4" t="s">
        <v>11</v>
      </c>
      <c r="C397" s="4">
        <v>19.899999999999999</v>
      </c>
      <c r="D397" s="4">
        <v>0</v>
      </c>
      <c r="E397" s="4" t="s">
        <v>12</v>
      </c>
      <c r="F397" s="4" t="s">
        <v>20</v>
      </c>
      <c r="G397" s="14">
        <v>1688.0599667761039</v>
      </c>
      <c r="H397" s="15">
        <v>1985.9529020895347</v>
      </c>
    </row>
    <row r="398" spans="1:8" x14ac:dyDescent="0.25">
      <c r="A398" s="16">
        <v>43</v>
      </c>
      <c r="B398" s="4" t="s">
        <v>8</v>
      </c>
      <c r="C398" s="4">
        <v>34.4</v>
      </c>
      <c r="D398" s="4">
        <v>3</v>
      </c>
      <c r="E398" s="4" t="s">
        <v>12</v>
      </c>
      <c r="F398" s="4" t="s">
        <v>21</v>
      </c>
      <c r="G398" s="14">
        <v>2190.8594670230036</v>
      </c>
      <c r="H398" s="15">
        <v>2921.1459560306716</v>
      </c>
    </row>
    <row r="399" spans="1:8" x14ac:dyDescent="0.25">
      <c r="A399" s="16">
        <v>21</v>
      </c>
      <c r="B399" s="4" t="s">
        <v>11</v>
      </c>
      <c r="C399" s="4">
        <v>24.6</v>
      </c>
      <c r="D399" s="4">
        <v>0</v>
      </c>
      <c r="E399" s="4" t="s">
        <v>12</v>
      </c>
      <c r="F399" s="4" t="s">
        <v>13</v>
      </c>
      <c r="G399" s="14">
        <v>1756.0311731030729</v>
      </c>
      <c r="H399" s="15">
        <v>2065.9190271800867</v>
      </c>
    </row>
    <row r="400" spans="1:8" x14ac:dyDescent="0.25">
      <c r="A400" s="16">
        <v>64</v>
      </c>
      <c r="B400" s="4" t="s">
        <v>11</v>
      </c>
      <c r="C400" s="4">
        <v>25.6</v>
      </c>
      <c r="D400" s="4">
        <v>2</v>
      </c>
      <c r="E400" s="4" t="s">
        <v>12</v>
      </c>
      <c r="F400" s="4" t="s">
        <v>21</v>
      </c>
      <c r="G400" s="14">
        <v>4563.3946450304938</v>
      </c>
      <c r="H400" s="15">
        <v>4346.0901381242811</v>
      </c>
    </row>
    <row r="401" spans="1:8" x14ac:dyDescent="0.25">
      <c r="A401" s="16">
        <v>18</v>
      </c>
      <c r="B401" s="4" t="s">
        <v>8</v>
      </c>
      <c r="C401" s="4">
        <v>22.6</v>
      </c>
      <c r="D401" s="4">
        <v>0</v>
      </c>
      <c r="E401" s="4" t="s">
        <v>12</v>
      </c>
      <c r="F401" s="4" t="s">
        <v>13</v>
      </c>
      <c r="G401" s="14">
        <v>2124.8522396331309</v>
      </c>
      <c r="H401" s="15">
        <v>2499.8261642742727</v>
      </c>
    </row>
    <row r="402" spans="1:8" x14ac:dyDescent="0.25">
      <c r="A402" s="16">
        <v>51</v>
      </c>
      <c r="B402" s="4" t="s">
        <v>8</v>
      </c>
      <c r="C402" s="4">
        <v>20.6</v>
      </c>
      <c r="D402" s="4">
        <v>0</v>
      </c>
      <c r="E402" s="4" t="s">
        <v>12</v>
      </c>
      <c r="F402" s="4" t="s">
        <v>21</v>
      </c>
      <c r="G402" s="14">
        <v>4024.127429429604</v>
      </c>
      <c r="H402" s="15">
        <v>3832.5023137424814</v>
      </c>
    </row>
    <row r="403" spans="1:8" x14ac:dyDescent="0.25">
      <c r="A403" s="16">
        <v>47</v>
      </c>
      <c r="B403" s="4" t="s">
        <v>11</v>
      </c>
      <c r="C403" s="4">
        <v>47.5</v>
      </c>
      <c r="D403" s="4">
        <v>1</v>
      </c>
      <c r="E403" s="4" t="s">
        <v>12</v>
      </c>
      <c r="F403" s="4" t="s">
        <v>13</v>
      </c>
      <c r="G403" s="14">
        <v>5385.2477345832658</v>
      </c>
      <c r="H403" s="15">
        <v>5128.8073662697789</v>
      </c>
    </row>
    <row r="404" spans="1:8" x14ac:dyDescent="0.25">
      <c r="A404" s="16">
        <v>64</v>
      </c>
      <c r="B404" s="4" t="s">
        <v>8</v>
      </c>
      <c r="C404" s="4">
        <v>33</v>
      </c>
      <c r="D404" s="4">
        <v>0</v>
      </c>
      <c r="E404" s="4" t="s">
        <v>12</v>
      </c>
      <c r="F404" s="4" t="s">
        <v>20</v>
      </c>
      <c r="G404" s="14">
        <v>3954.2862550721566</v>
      </c>
      <c r="H404" s="15">
        <v>3765.9869095925314</v>
      </c>
    </row>
    <row r="405" spans="1:8" x14ac:dyDescent="0.25">
      <c r="A405" s="16">
        <v>49</v>
      </c>
      <c r="B405" s="4" t="s">
        <v>11</v>
      </c>
      <c r="C405" s="4">
        <v>32.299999999999997</v>
      </c>
      <c r="D405" s="4">
        <v>3</v>
      </c>
      <c r="E405" s="4" t="s">
        <v>12</v>
      </c>
      <c r="F405" s="4" t="s">
        <v>20</v>
      </c>
      <c r="G405" s="14">
        <v>2670.576624968312</v>
      </c>
      <c r="H405" s="15">
        <v>3560.768833291083</v>
      </c>
    </row>
    <row r="406" spans="1:8" x14ac:dyDescent="0.25">
      <c r="A406" s="16">
        <v>31</v>
      </c>
      <c r="B406" s="4" t="s">
        <v>11</v>
      </c>
      <c r="C406" s="4">
        <v>23.2</v>
      </c>
      <c r="D406" s="4">
        <v>0</v>
      </c>
      <c r="E406" s="4" t="s">
        <v>12</v>
      </c>
      <c r="F406" s="4" t="s">
        <v>21</v>
      </c>
      <c r="G406" s="14">
        <v>2186.7645183868972</v>
      </c>
      <c r="H406" s="15">
        <v>2572.6641392787033</v>
      </c>
    </row>
    <row r="407" spans="1:8" x14ac:dyDescent="0.25">
      <c r="A407" s="16">
        <v>52</v>
      </c>
      <c r="B407" s="4" t="s">
        <v>8</v>
      </c>
      <c r="C407" s="4">
        <v>38.4</v>
      </c>
      <c r="D407" s="4">
        <v>2</v>
      </c>
      <c r="E407" s="4" t="s">
        <v>12</v>
      </c>
      <c r="F407" s="4" t="s">
        <v>15</v>
      </c>
      <c r="G407" s="14">
        <v>3223.6932258618758</v>
      </c>
      <c r="H407" s="15">
        <v>4298.2576344825011</v>
      </c>
    </row>
    <row r="408" spans="1:8" x14ac:dyDescent="0.25">
      <c r="A408" s="16">
        <v>33</v>
      </c>
      <c r="B408" s="4" t="s">
        <v>8</v>
      </c>
      <c r="C408" s="4">
        <v>20.100000000000001</v>
      </c>
      <c r="D408" s="4">
        <v>0</v>
      </c>
      <c r="E408" s="4" t="s">
        <v>12</v>
      </c>
      <c r="F408" s="4" t="s">
        <v>13</v>
      </c>
      <c r="G408" s="14">
        <v>2102.3471501684903</v>
      </c>
      <c r="H408" s="15">
        <v>2473.3495884335189</v>
      </c>
    </row>
    <row r="409" spans="1:8" x14ac:dyDescent="0.25">
      <c r="A409" s="16">
        <v>47</v>
      </c>
      <c r="B409" s="4" t="s">
        <v>8</v>
      </c>
      <c r="C409" s="4">
        <v>23.6</v>
      </c>
      <c r="D409" s="4">
        <v>1</v>
      </c>
      <c r="E409" s="4" t="s">
        <v>12</v>
      </c>
      <c r="F409" s="4" t="s">
        <v>21</v>
      </c>
      <c r="G409" s="14">
        <v>3592.8872993691275</v>
      </c>
      <c r="H409" s="15">
        <v>3421.7974279705991</v>
      </c>
    </row>
    <row r="410" spans="1:8" x14ac:dyDescent="0.25">
      <c r="A410" s="16">
        <v>38</v>
      </c>
      <c r="B410" s="4" t="s">
        <v>11</v>
      </c>
      <c r="C410" s="4">
        <v>21.1</v>
      </c>
      <c r="D410" s="4">
        <v>3</v>
      </c>
      <c r="E410" s="4" t="s">
        <v>12</v>
      </c>
      <c r="F410" s="4" t="s">
        <v>13</v>
      </c>
      <c r="G410" s="14">
        <v>1370.8843400107753</v>
      </c>
      <c r="H410" s="15">
        <v>1827.8457866810338</v>
      </c>
    </row>
    <row r="411" spans="1:8" x14ac:dyDescent="0.25">
      <c r="A411" s="16">
        <v>32</v>
      </c>
      <c r="B411" s="4" t="s">
        <v>11</v>
      </c>
      <c r="C411" s="4">
        <v>22.8</v>
      </c>
      <c r="D411" s="4">
        <v>1</v>
      </c>
      <c r="E411" s="4" t="s">
        <v>12</v>
      </c>
      <c r="F411" s="4" t="s">
        <v>13</v>
      </c>
      <c r="G411" s="14">
        <v>2269.9185338380189</v>
      </c>
      <c r="H411" s="15">
        <v>2670.4923927506111</v>
      </c>
    </row>
    <row r="412" spans="1:8" x14ac:dyDescent="0.25">
      <c r="A412" s="16">
        <v>19</v>
      </c>
      <c r="B412" s="4" t="s">
        <v>11</v>
      </c>
      <c r="C412" s="4">
        <v>26</v>
      </c>
      <c r="D412" s="4">
        <v>0</v>
      </c>
      <c r="E412" s="4" t="s">
        <v>12</v>
      </c>
      <c r="F412" s="4" t="s">
        <v>20</v>
      </c>
      <c r="G412" s="14">
        <v>1982.573999919143</v>
      </c>
      <c r="H412" s="15">
        <v>2332.4399999048751</v>
      </c>
    </row>
    <row r="413" spans="1:8" x14ac:dyDescent="0.25">
      <c r="A413" s="16">
        <v>44</v>
      </c>
      <c r="B413" s="4" t="s">
        <v>8</v>
      </c>
      <c r="C413" s="4">
        <v>20.2</v>
      </c>
      <c r="D413" s="4">
        <v>1</v>
      </c>
      <c r="E413" s="4" t="s">
        <v>9</v>
      </c>
      <c r="F413" s="4" t="s">
        <v>15</v>
      </c>
      <c r="G413" s="14">
        <v>1817.5181249071952</v>
      </c>
      <c r="H413" s="15">
        <v>2138.2566175378774</v>
      </c>
    </row>
    <row r="414" spans="1:8" x14ac:dyDescent="0.25">
      <c r="A414" s="16">
        <v>26</v>
      </c>
      <c r="B414" s="4" t="s">
        <v>8</v>
      </c>
      <c r="C414" s="4">
        <v>24.1</v>
      </c>
      <c r="D414" s="4">
        <v>2</v>
      </c>
      <c r="E414" s="4" t="s">
        <v>9</v>
      </c>
      <c r="F414" s="4" t="s">
        <v>15</v>
      </c>
      <c r="G414" s="14">
        <v>1730.2239555657902</v>
      </c>
      <c r="H414" s="15">
        <v>2035.5575947832833</v>
      </c>
    </row>
    <row r="415" spans="1:8" x14ac:dyDescent="0.25">
      <c r="A415" s="16">
        <v>25</v>
      </c>
      <c r="B415" s="4" t="s">
        <v>11</v>
      </c>
      <c r="C415" s="4">
        <v>23.9</v>
      </c>
      <c r="D415" s="4">
        <v>5</v>
      </c>
      <c r="E415" s="4" t="s">
        <v>12</v>
      </c>
      <c r="F415" s="4" t="s">
        <v>21</v>
      </c>
      <c r="G415" s="14">
        <v>1218.548187127536</v>
      </c>
      <c r="H415" s="15">
        <v>1624.7309161700482</v>
      </c>
    </row>
    <row r="416" spans="1:8" x14ac:dyDescent="0.25">
      <c r="A416" s="16">
        <v>19</v>
      </c>
      <c r="B416" s="4" t="s">
        <v>8</v>
      </c>
      <c r="C416" s="4">
        <v>25.8</v>
      </c>
      <c r="D416" s="4">
        <v>0</v>
      </c>
      <c r="E416" s="4" t="s">
        <v>12</v>
      </c>
      <c r="F416" s="4" t="s">
        <v>20</v>
      </c>
      <c r="G416" s="14">
        <v>1673.4401464700777</v>
      </c>
      <c r="H416" s="15">
        <v>1968.7531134942101</v>
      </c>
    </row>
    <row r="417" spans="1:8" x14ac:dyDescent="0.25">
      <c r="A417" s="16">
        <v>43</v>
      </c>
      <c r="B417" s="4" t="s">
        <v>8</v>
      </c>
      <c r="C417" s="4">
        <v>35.6</v>
      </c>
      <c r="D417" s="4">
        <v>1</v>
      </c>
      <c r="E417" s="4" t="s">
        <v>12</v>
      </c>
      <c r="F417" s="4" t="s">
        <v>13</v>
      </c>
      <c r="G417" s="14">
        <v>5542.7739958919901</v>
      </c>
      <c r="H417" s="15">
        <v>5278.8323770399911</v>
      </c>
    </row>
    <row r="418" spans="1:8" x14ac:dyDescent="0.25">
      <c r="A418" s="16">
        <v>52</v>
      </c>
      <c r="B418" s="4" t="s">
        <v>11</v>
      </c>
      <c r="C418" s="4">
        <v>34.1</v>
      </c>
      <c r="D418" s="4">
        <v>0</v>
      </c>
      <c r="E418" s="4" t="s">
        <v>12</v>
      </c>
      <c r="F418" s="4" t="s">
        <v>13</v>
      </c>
      <c r="G418" s="14">
        <v>3593.1300248331404</v>
      </c>
      <c r="H418" s="15">
        <v>3422.0285950791831</v>
      </c>
    </row>
    <row r="419" spans="1:8" x14ac:dyDescent="0.25">
      <c r="A419" s="16">
        <v>36</v>
      </c>
      <c r="B419" s="4" t="s">
        <v>8</v>
      </c>
      <c r="C419" s="4">
        <v>22.6</v>
      </c>
      <c r="D419" s="4">
        <v>2</v>
      </c>
      <c r="E419" s="4" t="s">
        <v>9</v>
      </c>
      <c r="F419" s="4" t="s">
        <v>21</v>
      </c>
      <c r="G419" s="14">
        <v>1842.4317951974253</v>
      </c>
      <c r="H419" s="15">
        <v>2167.5668178793244</v>
      </c>
    </row>
    <row r="420" spans="1:8" x14ac:dyDescent="0.25">
      <c r="A420" s="16">
        <v>64</v>
      </c>
      <c r="B420" s="4" t="s">
        <v>11</v>
      </c>
      <c r="C420" s="4">
        <v>39.200000000000003</v>
      </c>
      <c r="D420" s="4">
        <v>1</v>
      </c>
      <c r="E420" s="4" t="s">
        <v>12</v>
      </c>
      <c r="F420" s="4" t="s">
        <v>13</v>
      </c>
      <c r="G420" s="14">
        <v>4417.3122575003372</v>
      </c>
      <c r="H420" s="15">
        <v>4206.9640547622275</v>
      </c>
    </row>
    <row r="421" spans="1:8" x14ac:dyDescent="0.25">
      <c r="A421" s="16">
        <v>63</v>
      </c>
      <c r="B421" s="4" t="s">
        <v>8</v>
      </c>
      <c r="C421" s="4">
        <v>27</v>
      </c>
      <c r="D421" s="4">
        <v>0</v>
      </c>
      <c r="E421" s="4" t="s">
        <v>9</v>
      </c>
      <c r="F421" s="4" t="s">
        <v>20</v>
      </c>
      <c r="G421" s="14">
        <v>5921.0960464030668</v>
      </c>
      <c r="H421" s="15">
        <v>5639.1390918124453</v>
      </c>
    </row>
    <row r="422" spans="1:8" x14ac:dyDescent="0.25">
      <c r="A422" s="16">
        <v>64</v>
      </c>
      <c r="B422" s="4" t="s">
        <v>11</v>
      </c>
      <c r="C422" s="4">
        <v>33.9</v>
      </c>
      <c r="D422" s="4">
        <v>0</v>
      </c>
      <c r="E422" s="4" t="s">
        <v>9</v>
      </c>
      <c r="F422" s="4" t="s">
        <v>13</v>
      </c>
      <c r="G422" s="14">
        <v>5062.1557469302816</v>
      </c>
      <c r="H422" s="15">
        <v>4821.1007113621745</v>
      </c>
    </row>
    <row r="423" spans="1:8" x14ac:dyDescent="0.25">
      <c r="A423" s="16">
        <v>61</v>
      </c>
      <c r="B423" s="4" t="s">
        <v>11</v>
      </c>
      <c r="C423" s="4">
        <v>35.9</v>
      </c>
      <c r="D423" s="4">
        <v>0</v>
      </c>
      <c r="E423" s="4" t="s">
        <v>9</v>
      </c>
      <c r="F423" s="4" t="s">
        <v>13</v>
      </c>
      <c r="G423" s="14">
        <v>4075.9971371384036</v>
      </c>
      <c r="H423" s="15">
        <v>3881.9020353699093</v>
      </c>
    </row>
    <row r="424" spans="1:8" x14ac:dyDescent="0.25">
      <c r="A424" s="16">
        <v>40</v>
      </c>
      <c r="B424" s="4" t="s">
        <v>11</v>
      </c>
      <c r="C424" s="4">
        <v>32.799999999999997</v>
      </c>
      <c r="D424" s="4">
        <v>1</v>
      </c>
      <c r="E424" s="4" t="s">
        <v>9</v>
      </c>
      <c r="F424" s="4" t="s">
        <v>15</v>
      </c>
      <c r="G424" s="14">
        <v>4568.0662557963678</v>
      </c>
      <c r="H424" s="15">
        <v>4350.5392912346369</v>
      </c>
    </row>
    <row r="425" spans="1:8" x14ac:dyDescent="0.25">
      <c r="A425" s="16">
        <v>25</v>
      </c>
      <c r="B425" s="4" t="s">
        <v>11</v>
      </c>
      <c r="C425" s="4">
        <v>20.9</v>
      </c>
      <c r="D425" s="4">
        <v>0</v>
      </c>
      <c r="E425" s="4" t="s">
        <v>12</v>
      </c>
      <c r="F425" s="4" t="s">
        <v>15</v>
      </c>
      <c r="G425" s="14">
        <v>1587.6954382059353</v>
      </c>
      <c r="H425" s="15">
        <v>1867.8769861246303</v>
      </c>
    </row>
    <row r="426" spans="1:8" x14ac:dyDescent="0.25">
      <c r="A426" s="16">
        <v>48</v>
      </c>
      <c r="B426" s="4" t="s">
        <v>11</v>
      </c>
      <c r="C426" s="4">
        <v>30.2</v>
      </c>
      <c r="D426" s="4">
        <v>2</v>
      </c>
      <c r="E426" s="4" t="s">
        <v>12</v>
      </c>
      <c r="F426" s="4" t="s">
        <v>21</v>
      </c>
      <c r="G426" s="14">
        <v>2217.9052540174548</v>
      </c>
      <c r="H426" s="15">
        <v>2957.2070053566063</v>
      </c>
    </row>
    <row r="427" spans="1:8" x14ac:dyDescent="0.25">
      <c r="A427" s="16">
        <v>45</v>
      </c>
      <c r="B427" s="4" t="s">
        <v>11</v>
      </c>
      <c r="C427" s="4">
        <v>24.3</v>
      </c>
      <c r="D427" s="4">
        <v>5</v>
      </c>
      <c r="E427" s="4" t="s">
        <v>12</v>
      </c>
      <c r="F427" s="4" t="s">
        <v>13</v>
      </c>
      <c r="G427" s="14">
        <v>2160.1698908473381</v>
      </c>
      <c r="H427" s="15">
        <v>2880.2265211297845</v>
      </c>
    </row>
    <row r="428" spans="1:8" x14ac:dyDescent="0.25">
      <c r="A428" s="16">
        <v>38</v>
      </c>
      <c r="B428" s="4" t="s">
        <v>8</v>
      </c>
      <c r="C428" s="4">
        <v>20.100000000000001</v>
      </c>
      <c r="D428" s="4">
        <v>1</v>
      </c>
      <c r="E428" s="4" t="s">
        <v>12</v>
      </c>
      <c r="F428" s="4" t="s">
        <v>15</v>
      </c>
      <c r="G428" s="14">
        <v>1668.436406111452</v>
      </c>
      <c r="H428" s="15">
        <v>1962.8663601311209</v>
      </c>
    </row>
    <row r="429" spans="1:8" x14ac:dyDescent="0.25">
      <c r="A429" s="16">
        <v>18</v>
      </c>
      <c r="B429" s="4" t="s">
        <v>8</v>
      </c>
      <c r="C429" s="4">
        <v>24.1</v>
      </c>
      <c r="D429" s="4">
        <v>0</v>
      </c>
      <c r="E429" s="4" t="s">
        <v>12</v>
      </c>
      <c r="F429" s="4" t="s">
        <v>15</v>
      </c>
      <c r="G429" s="14">
        <v>1465.3085881766431</v>
      </c>
      <c r="H429" s="15">
        <v>1723.8924566784044</v>
      </c>
    </row>
    <row r="430" spans="1:8" x14ac:dyDescent="0.25">
      <c r="A430" s="16">
        <v>21</v>
      </c>
      <c r="B430" s="4" t="s">
        <v>8</v>
      </c>
      <c r="C430" s="4">
        <v>25.4</v>
      </c>
      <c r="D430" s="4">
        <v>1</v>
      </c>
      <c r="E430" s="4" t="s">
        <v>12</v>
      </c>
      <c r="F430" s="4" t="s">
        <v>15</v>
      </c>
      <c r="G430" s="14">
        <v>1860.5366024384562</v>
      </c>
      <c r="H430" s="15">
        <v>2188.8665911040671</v>
      </c>
    </row>
    <row r="431" spans="1:8" x14ac:dyDescent="0.25">
      <c r="A431" s="16">
        <v>27</v>
      </c>
      <c r="B431" s="4" t="s">
        <v>8</v>
      </c>
      <c r="C431" s="4">
        <v>30.4</v>
      </c>
      <c r="D431" s="4">
        <v>3</v>
      </c>
      <c r="E431" s="4" t="s">
        <v>12</v>
      </c>
      <c r="F431" s="4" t="s">
        <v>20</v>
      </c>
      <c r="G431" s="14">
        <v>1009.1604027598606</v>
      </c>
      <c r="H431" s="15">
        <v>1345.5472036798142</v>
      </c>
    </row>
    <row r="432" spans="1:8" x14ac:dyDescent="0.25">
      <c r="A432" s="16">
        <v>19</v>
      </c>
      <c r="B432" s="4" t="s">
        <v>11</v>
      </c>
      <c r="C432" s="4">
        <v>21.7</v>
      </c>
      <c r="D432" s="4">
        <v>0</v>
      </c>
      <c r="E432" s="4" t="s">
        <v>12</v>
      </c>
      <c r="F432" s="4" t="s">
        <v>21</v>
      </c>
      <c r="G432" s="14">
        <v>1795.431477213828</v>
      </c>
      <c r="H432" s="15">
        <v>2112.2723261339156</v>
      </c>
    </row>
    <row r="433" spans="1:8" x14ac:dyDescent="0.25">
      <c r="A433" s="16">
        <v>29</v>
      </c>
      <c r="B433" s="4" t="s">
        <v>8</v>
      </c>
      <c r="C433" s="4">
        <v>20.3</v>
      </c>
      <c r="D433" s="4">
        <v>2</v>
      </c>
      <c r="E433" s="4" t="s">
        <v>12</v>
      </c>
      <c r="F433" s="4" t="s">
        <v>20</v>
      </c>
      <c r="G433" s="14">
        <v>2269.1830525735381</v>
      </c>
      <c r="H433" s="15">
        <v>2669.6271206747515</v>
      </c>
    </row>
    <row r="434" spans="1:8" x14ac:dyDescent="0.25">
      <c r="A434" s="16">
        <v>42</v>
      </c>
      <c r="B434" s="4" t="s">
        <v>11</v>
      </c>
      <c r="C434" s="4">
        <v>26.9</v>
      </c>
      <c r="D434" s="4">
        <v>0</v>
      </c>
      <c r="E434" s="4" t="s">
        <v>12</v>
      </c>
      <c r="F434" s="4" t="s">
        <v>21</v>
      </c>
      <c r="G434" s="14">
        <v>4852.0825171156803</v>
      </c>
      <c r="H434" s="15">
        <v>4621.0309686816008</v>
      </c>
    </row>
    <row r="435" spans="1:8" x14ac:dyDescent="0.25">
      <c r="A435" s="16">
        <v>60</v>
      </c>
      <c r="B435" s="4" t="s">
        <v>8</v>
      </c>
      <c r="C435" s="4">
        <v>30.5</v>
      </c>
      <c r="D435" s="4">
        <v>0</v>
      </c>
      <c r="E435" s="4" t="s">
        <v>12</v>
      </c>
      <c r="F435" s="4" t="s">
        <v>21</v>
      </c>
      <c r="G435" s="14">
        <v>3941.7512124976938</v>
      </c>
      <c r="H435" s="15">
        <v>3754.0487738073293</v>
      </c>
    </row>
    <row r="436" spans="1:8" x14ac:dyDescent="0.25">
      <c r="A436" s="16">
        <v>31</v>
      </c>
      <c r="B436" s="4" t="s">
        <v>11</v>
      </c>
      <c r="C436" s="4">
        <v>22.9</v>
      </c>
      <c r="D436" s="4">
        <v>1</v>
      </c>
      <c r="E436" s="4" t="s">
        <v>12</v>
      </c>
      <c r="F436" s="4" t="s">
        <v>20</v>
      </c>
      <c r="G436" s="14">
        <v>2441.7780987484298</v>
      </c>
      <c r="H436" s="15">
        <v>2872.6801161746239</v>
      </c>
    </row>
    <row r="437" spans="1:8" x14ac:dyDescent="0.25">
      <c r="A437" s="16">
        <v>60</v>
      </c>
      <c r="B437" s="4" t="s">
        <v>11</v>
      </c>
      <c r="C437" s="4">
        <v>33.1</v>
      </c>
      <c r="D437" s="4">
        <v>3</v>
      </c>
      <c r="E437" s="4" t="s">
        <v>12</v>
      </c>
      <c r="F437" s="4" t="s">
        <v>13</v>
      </c>
      <c r="G437" s="14">
        <v>3398.4514985235146</v>
      </c>
      <c r="H437" s="15">
        <v>4531.2686646980192</v>
      </c>
    </row>
    <row r="438" spans="1:8" x14ac:dyDescent="0.25">
      <c r="A438" s="16">
        <v>22</v>
      </c>
      <c r="B438" s="4" t="s">
        <v>11</v>
      </c>
      <c r="C438" s="4">
        <v>26</v>
      </c>
      <c r="D438" s="4">
        <v>0</v>
      </c>
      <c r="E438" s="4" t="s">
        <v>12</v>
      </c>
      <c r="F438" s="4" t="s">
        <v>15</v>
      </c>
      <c r="G438" s="14">
        <v>1789.958040589129</v>
      </c>
      <c r="H438" s="15">
        <v>2105.8329889283877</v>
      </c>
    </row>
    <row r="439" spans="1:8" x14ac:dyDescent="0.25">
      <c r="A439" s="16">
        <v>35</v>
      </c>
      <c r="B439" s="4" t="s">
        <v>11</v>
      </c>
      <c r="C439" s="4">
        <v>28.9</v>
      </c>
      <c r="D439" s="4">
        <v>3</v>
      </c>
      <c r="E439" s="4" t="s">
        <v>12</v>
      </c>
      <c r="F439" s="4" t="s">
        <v>21</v>
      </c>
      <c r="G439" s="14">
        <v>1523.8448843125593</v>
      </c>
      <c r="H439" s="15">
        <v>2031.7931790834123</v>
      </c>
    </row>
    <row r="440" spans="1:8" x14ac:dyDescent="0.25">
      <c r="A440" s="16">
        <v>52</v>
      </c>
      <c r="B440" s="4" t="s">
        <v>8</v>
      </c>
      <c r="C440" s="4">
        <v>46.8</v>
      </c>
      <c r="D440" s="4">
        <v>5</v>
      </c>
      <c r="E440" s="4" t="s">
        <v>12</v>
      </c>
      <c r="F440" s="4" t="s">
        <v>13</v>
      </c>
      <c r="G440" s="14">
        <v>2886.8253349137613</v>
      </c>
      <c r="H440" s="15">
        <v>3849.1004465516817</v>
      </c>
    </row>
    <row r="441" spans="1:8" x14ac:dyDescent="0.25">
      <c r="A441" s="16">
        <v>26</v>
      </c>
      <c r="B441" s="4" t="s">
        <v>11</v>
      </c>
      <c r="C441" s="4">
        <v>21.1</v>
      </c>
      <c r="D441" s="4">
        <v>0</v>
      </c>
      <c r="E441" s="4" t="s">
        <v>12</v>
      </c>
      <c r="F441" s="4" t="s">
        <v>15</v>
      </c>
      <c r="G441" s="14">
        <v>1754.9122021748183</v>
      </c>
      <c r="H441" s="15">
        <v>2064.6025907939047</v>
      </c>
    </row>
    <row r="442" spans="1:8" x14ac:dyDescent="0.25">
      <c r="A442" s="16">
        <v>31</v>
      </c>
      <c r="B442" s="4" t="s">
        <v>8</v>
      </c>
      <c r="C442" s="4">
        <v>20.399999999999999</v>
      </c>
      <c r="D442" s="4">
        <v>1</v>
      </c>
      <c r="E442" s="4" t="s">
        <v>12</v>
      </c>
      <c r="F442" s="4" t="s">
        <v>20</v>
      </c>
      <c r="G442" s="14">
        <v>1535.6342572623234</v>
      </c>
      <c r="H442" s="15">
        <v>1806.6285379556753</v>
      </c>
    </row>
    <row r="443" spans="1:8" x14ac:dyDescent="0.25">
      <c r="A443" s="16">
        <v>33</v>
      </c>
      <c r="B443" s="4" t="s">
        <v>8</v>
      </c>
      <c r="C443" s="4">
        <v>24.7</v>
      </c>
      <c r="D443" s="4">
        <v>0</v>
      </c>
      <c r="E443" s="4" t="s">
        <v>9</v>
      </c>
      <c r="F443" s="4" t="s">
        <v>21</v>
      </c>
      <c r="G443" s="14">
        <v>1690.4231032516018</v>
      </c>
      <c r="H443" s="15">
        <v>1988.7330626489443</v>
      </c>
    </row>
    <row r="444" spans="1:8" x14ac:dyDescent="0.25">
      <c r="A444" s="16">
        <v>18</v>
      </c>
      <c r="B444" s="4" t="s">
        <v>11</v>
      </c>
      <c r="C444" s="4">
        <v>22.4</v>
      </c>
      <c r="D444" s="4">
        <v>0</v>
      </c>
      <c r="E444" s="4" t="s">
        <v>12</v>
      </c>
      <c r="F444" s="4" t="s">
        <v>13</v>
      </c>
      <c r="G444" s="14">
        <v>1442.7156450682696</v>
      </c>
      <c r="H444" s="15">
        <v>1697.3125236097299</v>
      </c>
    </row>
    <row r="445" spans="1:8" x14ac:dyDescent="0.25">
      <c r="A445" s="16">
        <v>59</v>
      </c>
      <c r="B445" s="4" t="s">
        <v>8</v>
      </c>
      <c r="C445" s="4">
        <v>36.5</v>
      </c>
      <c r="D445" s="4">
        <v>1</v>
      </c>
      <c r="E445" s="4" t="s">
        <v>12</v>
      </c>
      <c r="F445" s="4" t="s">
        <v>13</v>
      </c>
      <c r="G445" s="14">
        <v>3877.3950155041944</v>
      </c>
      <c r="H445" s="15">
        <v>3692.7571576230434</v>
      </c>
    </row>
    <row r="446" spans="1:8" x14ac:dyDescent="0.25">
      <c r="A446" s="16">
        <v>56</v>
      </c>
      <c r="B446" s="4" t="s">
        <v>11</v>
      </c>
      <c r="C446" s="4">
        <v>26.7</v>
      </c>
      <c r="D446" s="4">
        <v>1</v>
      </c>
      <c r="E446" s="4" t="s">
        <v>9</v>
      </c>
      <c r="F446" s="4" t="s">
        <v>20</v>
      </c>
      <c r="G446" s="14">
        <v>3963.8005874790551</v>
      </c>
      <c r="H446" s="15">
        <v>3775.0481785514821</v>
      </c>
    </row>
    <row r="447" spans="1:8" x14ac:dyDescent="0.25">
      <c r="A447" s="16">
        <v>45</v>
      </c>
      <c r="B447" s="4" t="s">
        <v>8</v>
      </c>
      <c r="C447" s="4">
        <v>33.1</v>
      </c>
      <c r="D447" s="4">
        <v>0</v>
      </c>
      <c r="E447" s="4" t="s">
        <v>12</v>
      </c>
      <c r="F447" s="4" t="s">
        <v>21</v>
      </c>
      <c r="G447" s="14">
        <v>4574.0344474822377</v>
      </c>
      <c r="H447" s="15">
        <v>4356.223283316418</v>
      </c>
    </row>
    <row r="448" spans="1:8" x14ac:dyDescent="0.25">
      <c r="A448" s="16">
        <v>60</v>
      </c>
      <c r="B448" s="4" t="s">
        <v>11</v>
      </c>
      <c r="C448" s="4">
        <v>29.6</v>
      </c>
      <c r="D448" s="4">
        <v>0</v>
      </c>
      <c r="E448" s="4" t="s">
        <v>12</v>
      </c>
      <c r="F448" s="4" t="s">
        <v>15</v>
      </c>
      <c r="G448" s="14">
        <v>4255.9479364159997</v>
      </c>
      <c r="H448" s="15">
        <v>4053.2837489676203</v>
      </c>
    </row>
    <row r="449" spans="1:8" x14ac:dyDescent="0.25">
      <c r="A449" s="16">
        <v>56</v>
      </c>
      <c r="B449" s="4" t="s">
        <v>8</v>
      </c>
      <c r="C449" s="4">
        <v>25.7</v>
      </c>
      <c r="D449" s="4">
        <v>0</v>
      </c>
      <c r="E449" s="4" t="s">
        <v>12</v>
      </c>
      <c r="F449" s="4" t="s">
        <v>20</v>
      </c>
      <c r="G449" s="14">
        <v>5298.5224086816197</v>
      </c>
      <c r="H449" s="15">
        <v>5046.2118177920202</v>
      </c>
    </row>
    <row r="450" spans="1:8" x14ac:dyDescent="0.25">
      <c r="A450" s="16">
        <v>40</v>
      </c>
      <c r="B450" s="4" t="s">
        <v>8</v>
      </c>
      <c r="C450" s="4">
        <v>29.6</v>
      </c>
      <c r="D450" s="4">
        <v>0</v>
      </c>
      <c r="E450" s="4" t="s">
        <v>12</v>
      </c>
      <c r="F450" s="4" t="s">
        <v>21</v>
      </c>
      <c r="G450" s="14">
        <v>5402.7852101054577</v>
      </c>
      <c r="H450" s="15">
        <v>5145.5097239099614</v>
      </c>
    </row>
    <row r="451" spans="1:8" x14ac:dyDescent="0.25">
      <c r="A451" s="16">
        <v>35</v>
      </c>
      <c r="B451" s="4" t="s">
        <v>11</v>
      </c>
      <c r="C451" s="4">
        <v>25</v>
      </c>
      <c r="D451" s="4">
        <v>1</v>
      </c>
      <c r="E451" s="4" t="s">
        <v>12</v>
      </c>
      <c r="F451" s="4" t="s">
        <v>21</v>
      </c>
      <c r="G451" s="14">
        <v>2186.9046033858317</v>
      </c>
      <c r="H451" s="15">
        <v>2572.828945159803</v>
      </c>
    </row>
    <row r="452" spans="1:8" x14ac:dyDescent="0.25">
      <c r="A452" s="16">
        <v>39</v>
      </c>
      <c r="B452" s="4" t="s">
        <v>11</v>
      </c>
      <c r="C452" s="4">
        <v>29.6</v>
      </c>
      <c r="D452" s="4">
        <v>4</v>
      </c>
      <c r="E452" s="4" t="s">
        <v>12</v>
      </c>
      <c r="F452" s="4" t="s">
        <v>21</v>
      </c>
      <c r="G452" s="14">
        <v>1926.6083899615169</v>
      </c>
      <c r="H452" s="15">
        <v>2568.8111866153558</v>
      </c>
    </row>
    <row r="453" spans="1:8" x14ac:dyDescent="0.25">
      <c r="A453" s="16">
        <v>30</v>
      </c>
      <c r="B453" s="4" t="s">
        <v>11</v>
      </c>
      <c r="C453" s="4">
        <v>23</v>
      </c>
      <c r="D453" s="4">
        <v>1</v>
      </c>
      <c r="E453" s="4" t="s">
        <v>12</v>
      </c>
      <c r="F453" s="4" t="s">
        <v>20</v>
      </c>
      <c r="G453" s="14">
        <v>1524.0178995639365</v>
      </c>
      <c r="H453" s="15">
        <v>1792.9622347811023</v>
      </c>
    </row>
    <row r="454" spans="1:8" x14ac:dyDescent="0.25">
      <c r="A454" s="16">
        <v>24</v>
      </c>
      <c r="B454" s="4" t="s">
        <v>11</v>
      </c>
      <c r="C454" s="4">
        <v>23.5</v>
      </c>
      <c r="D454" s="4">
        <v>0</v>
      </c>
      <c r="E454" s="4" t="s">
        <v>12</v>
      </c>
      <c r="F454" s="4" t="s">
        <v>21</v>
      </c>
      <c r="G454" s="14">
        <v>1889.8109819986585</v>
      </c>
      <c r="H454" s="15">
        <v>2223.3070376454812</v>
      </c>
    </row>
    <row r="455" spans="1:8" x14ac:dyDescent="0.25">
      <c r="A455" s="16">
        <v>20</v>
      </c>
      <c r="B455" s="4" t="s">
        <v>11</v>
      </c>
      <c r="C455" s="4">
        <v>22.6</v>
      </c>
      <c r="D455" s="4">
        <v>0</v>
      </c>
      <c r="E455" s="4" t="s">
        <v>12</v>
      </c>
      <c r="F455" s="4" t="s">
        <v>20</v>
      </c>
      <c r="G455" s="14">
        <v>1765.5794603832287</v>
      </c>
      <c r="H455" s="15">
        <v>2077.1523063332111</v>
      </c>
    </row>
    <row r="456" spans="1:8" x14ac:dyDescent="0.25">
      <c r="A456" s="16">
        <v>32</v>
      </c>
      <c r="B456" s="4" t="s">
        <v>11</v>
      </c>
      <c r="C456" s="4">
        <v>46.5</v>
      </c>
      <c r="D456" s="4">
        <v>2</v>
      </c>
      <c r="E456" s="4" t="s">
        <v>12</v>
      </c>
      <c r="F456" s="4" t="s">
        <v>13</v>
      </c>
      <c r="G456" s="14">
        <v>1752.4352396811139</v>
      </c>
      <c r="H456" s="15">
        <v>2336.5803195748185</v>
      </c>
    </row>
    <row r="457" spans="1:8" x14ac:dyDescent="0.25">
      <c r="A457" s="16">
        <v>59</v>
      </c>
      <c r="B457" s="4" t="s">
        <v>11</v>
      </c>
      <c r="C457" s="4">
        <v>37.4</v>
      </c>
      <c r="D457" s="4">
        <v>0</v>
      </c>
      <c r="E457" s="4" t="s">
        <v>12</v>
      </c>
      <c r="F457" s="4" t="s">
        <v>21</v>
      </c>
      <c r="G457" s="14">
        <v>4018.5920807458524</v>
      </c>
      <c r="H457" s="15">
        <v>3827.2305530912895</v>
      </c>
    </row>
    <row r="458" spans="1:8" x14ac:dyDescent="0.25">
      <c r="A458" s="16">
        <v>55</v>
      </c>
      <c r="B458" s="4" t="s">
        <v>8</v>
      </c>
      <c r="C458" s="4">
        <v>30.1</v>
      </c>
      <c r="D458" s="4">
        <v>2</v>
      </c>
      <c r="E458" s="4" t="s">
        <v>12</v>
      </c>
      <c r="F458" s="4" t="s">
        <v>13</v>
      </c>
      <c r="G458" s="14">
        <v>2871.2824623332185</v>
      </c>
      <c r="H458" s="15">
        <v>3828.3766164442914</v>
      </c>
    </row>
    <row r="459" spans="1:8" x14ac:dyDescent="0.25">
      <c r="A459" s="16">
        <v>57</v>
      </c>
      <c r="B459" s="4" t="s">
        <v>8</v>
      </c>
      <c r="C459" s="4">
        <v>30.5</v>
      </c>
      <c r="D459" s="4">
        <v>0</v>
      </c>
      <c r="E459" s="4" t="s">
        <v>12</v>
      </c>
      <c r="F459" s="4" t="s">
        <v>20</v>
      </c>
      <c r="G459" s="14">
        <v>4357.9627592084234</v>
      </c>
      <c r="H459" s="15">
        <v>4150.4407230556426</v>
      </c>
    </row>
    <row r="460" spans="1:8" x14ac:dyDescent="0.25">
      <c r="A460" s="16">
        <v>56</v>
      </c>
      <c r="B460" s="4" t="s">
        <v>11</v>
      </c>
      <c r="C460" s="4">
        <v>39.6</v>
      </c>
      <c r="D460" s="4">
        <v>0</v>
      </c>
      <c r="E460" s="4" t="s">
        <v>12</v>
      </c>
      <c r="F460" s="4" t="s">
        <v>21</v>
      </c>
      <c r="G460" s="14">
        <v>5068.6496103435265</v>
      </c>
      <c r="H460" s="15">
        <v>4827.2853431843123</v>
      </c>
    </row>
    <row r="461" spans="1:8" x14ac:dyDescent="0.25">
      <c r="A461" s="16">
        <v>40</v>
      </c>
      <c r="B461" s="4" t="s">
        <v>8</v>
      </c>
      <c r="C461" s="4">
        <v>33</v>
      </c>
      <c r="D461" s="4">
        <v>3</v>
      </c>
      <c r="E461" s="4" t="s">
        <v>12</v>
      </c>
      <c r="F461" s="4" t="s">
        <v>13</v>
      </c>
      <c r="G461" s="14">
        <v>1768.4929635925453</v>
      </c>
      <c r="H461" s="15">
        <v>2357.9906181233937</v>
      </c>
    </row>
    <row r="462" spans="1:8" x14ac:dyDescent="0.25">
      <c r="A462" s="16">
        <v>49</v>
      </c>
      <c r="B462" s="4" t="s">
        <v>8</v>
      </c>
      <c r="C462" s="4">
        <v>36.6</v>
      </c>
      <c r="D462" s="4">
        <v>3</v>
      </c>
      <c r="E462" s="4" t="s">
        <v>12</v>
      </c>
      <c r="F462" s="4" t="s">
        <v>13</v>
      </c>
      <c r="G462" s="14">
        <v>3315.3466718309451</v>
      </c>
      <c r="H462" s="15">
        <v>4420.4622291079268</v>
      </c>
    </row>
    <row r="463" spans="1:8" x14ac:dyDescent="0.25">
      <c r="A463" s="16">
        <v>42</v>
      </c>
      <c r="B463" s="4" t="s">
        <v>11</v>
      </c>
      <c r="C463" s="4">
        <v>30</v>
      </c>
      <c r="D463" s="4">
        <v>0</v>
      </c>
      <c r="E463" s="4" t="s">
        <v>9</v>
      </c>
      <c r="F463" s="4" t="s">
        <v>21</v>
      </c>
      <c r="G463" s="14">
        <v>4509.9314926939433</v>
      </c>
      <c r="H463" s="15">
        <v>4295.1728501847092</v>
      </c>
    </row>
    <row r="464" spans="1:8" x14ac:dyDescent="0.25">
      <c r="A464" s="16">
        <v>62</v>
      </c>
      <c r="B464" s="4" t="s">
        <v>8</v>
      </c>
      <c r="C464" s="4">
        <v>38.1</v>
      </c>
      <c r="D464" s="4">
        <v>2</v>
      </c>
      <c r="E464" s="4" t="s">
        <v>12</v>
      </c>
      <c r="F464" s="4" t="s">
        <v>15</v>
      </c>
      <c r="G464" s="14">
        <v>4722.4738184481021</v>
      </c>
      <c r="H464" s="15">
        <v>4497.5941128077184</v>
      </c>
    </row>
    <row r="465" spans="1:8" x14ac:dyDescent="0.25">
      <c r="A465" s="16">
        <v>56</v>
      </c>
      <c r="B465" s="4" t="s">
        <v>11</v>
      </c>
      <c r="C465" s="4">
        <v>25.9</v>
      </c>
      <c r="D465" s="4">
        <v>0</v>
      </c>
      <c r="E465" s="4" t="s">
        <v>12</v>
      </c>
      <c r="F465" s="4" t="s">
        <v>15</v>
      </c>
      <c r="G465" s="14">
        <v>5229.0241817561209</v>
      </c>
      <c r="H465" s="15">
        <v>4980.0230302439259</v>
      </c>
    </row>
    <row r="466" spans="1:8" x14ac:dyDescent="0.25">
      <c r="A466" s="16">
        <v>19</v>
      </c>
      <c r="B466" s="4" t="s">
        <v>11</v>
      </c>
      <c r="C466" s="4">
        <v>22.7</v>
      </c>
      <c r="D466" s="4">
        <v>0</v>
      </c>
      <c r="E466" s="4" t="s">
        <v>12</v>
      </c>
      <c r="F466" s="4" t="s">
        <v>20</v>
      </c>
      <c r="G466" s="14">
        <v>1317.6976404067618</v>
      </c>
      <c r="H466" s="15">
        <v>1550.2325181256031</v>
      </c>
    </row>
    <row r="467" spans="1:8" x14ac:dyDescent="0.25">
      <c r="A467" s="16">
        <v>30</v>
      </c>
      <c r="B467" s="4" t="s">
        <v>8</v>
      </c>
      <c r="C467" s="4">
        <v>20.5</v>
      </c>
      <c r="D467" s="4">
        <v>1</v>
      </c>
      <c r="E467" s="4" t="s">
        <v>9</v>
      </c>
      <c r="F467" s="4" t="s">
        <v>13</v>
      </c>
      <c r="G467" s="14">
        <v>1888.7688909101921</v>
      </c>
      <c r="H467" s="15">
        <v>2222.0810481296385</v>
      </c>
    </row>
    <row r="468" spans="1:8" x14ac:dyDescent="0.25">
      <c r="A468" s="16">
        <v>60</v>
      </c>
      <c r="B468" s="4" t="s">
        <v>8</v>
      </c>
      <c r="C468" s="4">
        <v>28.7</v>
      </c>
      <c r="D468" s="4">
        <v>1</v>
      </c>
      <c r="E468" s="4" t="s">
        <v>12</v>
      </c>
      <c r="F468" s="4" t="s">
        <v>21</v>
      </c>
      <c r="G468" s="14">
        <v>4330.5001969029327</v>
      </c>
      <c r="H468" s="15">
        <v>4124.285901812319</v>
      </c>
    </row>
    <row r="469" spans="1:8" x14ac:dyDescent="0.25">
      <c r="A469" s="16">
        <v>56</v>
      </c>
      <c r="B469" s="4" t="s">
        <v>8</v>
      </c>
      <c r="C469" s="4">
        <v>33.799999999999997</v>
      </c>
      <c r="D469" s="4">
        <v>2</v>
      </c>
      <c r="E469" s="4" t="s">
        <v>12</v>
      </c>
      <c r="F469" s="4" t="s">
        <v>20</v>
      </c>
      <c r="G469" s="14">
        <v>2730.5749782803341</v>
      </c>
      <c r="H469" s="15">
        <v>3640.7666377071123</v>
      </c>
    </row>
    <row r="470" spans="1:8" x14ac:dyDescent="0.25">
      <c r="A470" s="16">
        <v>28</v>
      </c>
      <c r="B470" s="4" t="s">
        <v>8</v>
      </c>
      <c r="C470" s="4">
        <v>22.6</v>
      </c>
      <c r="D470" s="4">
        <v>1</v>
      </c>
      <c r="E470" s="4" t="s">
        <v>12</v>
      </c>
      <c r="F470" s="4" t="s">
        <v>15</v>
      </c>
      <c r="G470" s="14">
        <v>2046.3675055586077</v>
      </c>
      <c r="H470" s="15">
        <v>2407.4911830101278</v>
      </c>
    </row>
    <row r="471" spans="1:8" x14ac:dyDescent="0.25">
      <c r="A471" s="16">
        <v>18</v>
      </c>
      <c r="B471" s="4" t="s">
        <v>8</v>
      </c>
      <c r="C471" s="4">
        <v>22.7</v>
      </c>
      <c r="D471" s="4">
        <v>1</v>
      </c>
      <c r="E471" s="4" t="s">
        <v>12</v>
      </c>
      <c r="F471" s="4" t="s">
        <v>13</v>
      </c>
      <c r="G471" s="14">
        <v>1620.0607057762252</v>
      </c>
      <c r="H471" s="15">
        <v>1905.9537715014424</v>
      </c>
    </row>
    <row r="472" spans="1:8" x14ac:dyDescent="0.25">
      <c r="A472" s="16">
        <v>27</v>
      </c>
      <c r="B472" s="4" t="s">
        <v>11</v>
      </c>
      <c r="C472" s="4">
        <v>23</v>
      </c>
      <c r="D472" s="4">
        <v>0</v>
      </c>
      <c r="E472" s="4" t="s">
        <v>12</v>
      </c>
      <c r="F472" s="4" t="s">
        <v>13</v>
      </c>
      <c r="G472" s="14">
        <v>1995.5831081196404</v>
      </c>
      <c r="H472" s="15">
        <v>2347.7448330819307</v>
      </c>
    </row>
    <row r="473" spans="1:8" x14ac:dyDescent="0.25">
      <c r="A473" s="16">
        <v>18</v>
      </c>
      <c r="B473" s="4" t="s">
        <v>8</v>
      </c>
      <c r="C473" s="4">
        <v>21.6</v>
      </c>
      <c r="D473" s="4">
        <v>0</v>
      </c>
      <c r="E473" s="4" t="s">
        <v>12</v>
      </c>
      <c r="F473" s="4" t="s">
        <v>15</v>
      </c>
      <c r="G473" s="14">
        <v>1677.0949862319594</v>
      </c>
      <c r="H473" s="15">
        <v>1973.0529249787764</v>
      </c>
    </row>
    <row r="474" spans="1:8" x14ac:dyDescent="0.25">
      <c r="A474" s="16">
        <v>19</v>
      </c>
      <c r="B474" s="4" t="s">
        <v>8</v>
      </c>
      <c r="C474" s="4">
        <v>21.8</v>
      </c>
      <c r="D474" s="4">
        <v>0</v>
      </c>
      <c r="E474" s="4" t="s">
        <v>12</v>
      </c>
      <c r="F474" s="4" t="s">
        <v>21</v>
      </c>
      <c r="G474" s="14">
        <v>1723.7044105316518</v>
      </c>
      <c r="H474" s="15">
        <v>2027.8875418019441</v>
      </c>
    </row>
    <row r="475" spans="1:8" x14ac:dyDescent="0.25">
      <c r="A475" s="16">
        <v>47</v>
      </c>
      <c r="B475" s="4" t="s">
        <v>8</v>
      </c>
      <c r="C475" s="4">
        <v>33.299999999999997</v>
      </c>
      <c r="D475" s="4">
        <v>0</v>
      </c>
      <c r="E475" s="4" t="s">
        <v>12</v>
      </c>
      <c r="F475" s="4" t="s">
        <v>15</v>
      </c>
      <c r="G475" s="14">
        <v>5747.7600741677916</v>
      </c>
      <c r="H475" s="15">
        <v>5474.0572134931363</v>
      </c>
    </row>
    <row r="476" spans="1:8" x14ac:dyDescent="0.25">
      <c r="A476" s="16">
        <v>54</v>
      </c>
      <c r="B476" s="4" t="s">
        <v>11</v>
      </c>
      <c r="C476" s="4">
        <v>25.1</v>
      </c>
      <c r="D476" s="4">
        <v>3</v>
      </c>
      <c r="E476" s="4" t="s">
        <v>9</v>
      </c>
      <c r="F476" s="4" t="s">
        <v>21</v>
      </c>
      <c r="G476" s="14">
        <v>2640.8233842609052</v>
      </c>
      <c r="H476" s="15">
        <v>3521.0978456812068</v>
      </c>
    </row>
    <row r="477" spans="1:8" x14ac:dyDescent="0.25">
      <c r="A477" s="16">
        <v>61</v>
      </c>
      <c r="B477" s="4" t="s">
        <v>11</v>
      </c>
      <c r="C477" s="4">
        <v>28.3</v>
      </c>
      <c r="D477" s="4">
        <v>1</v>
      </c>
      <c r="E477" s="4" t="s">
        <v>9</v>
      </c>
      <c r="F477" s="4" t="s">
        <v>20</v>
      </c>
      <c r="G477" s="14">
        <v>4342.002675708467</v>
      </c>
      <c r="H477" s="15">
        <v>4135.2406435318744</v>
      </c>
    </row>
    <row r="478" spans="1:8" x14ac:dyDescent="0.25">
      <c r="A478" s="16">
        <v>24</v>
      </c>
      <c r="B478" s="4" t="s">
        <v>11</v>
      </c>
      <c r="C478" s="4">
        <v>20.9</v>
      </c>
      <c r="D478" s="4">
        <v>0</v>
      </c>
      <c r="E478" s="4" t="s">
        <v>9</v>
      </c>
      <c r="F478" s="4" t="s">
        <v>15</v>
      </c>
      <c r="G478" s="14">
        <v>1343.2221568282862</v>
      </c>
      <c r="H478" s="15">
        <v>1580.2613609744549</v>
      </c>
    </row>
    <row r="479" spans="1:8" x14ac:dyDescent="0.25">
      <c r="A479" s="16">
        <v>25</v>
      </c>
      <c r="B479" s="4" t="s">
        <v>11</v>
      </c>
      <c r="C479" s="4">
        <v>22.7</v>
      </c>
      <c r="D479" s="4">
        <v>0</v>
      </c>
      <c r="E479" s="4" t="s">
        <v>12</v>
      </c>
      <c r="F479" s="4" t="s">
        <v>20</v>
      </c>
      <c r="G479" s="14">
        <v>2634.8842118422685</v>
      </c>
      <c r="H479" s="15">
        <v>3099.8637786379636</v>
      </c>
    </row>
    <row r="480" spans="1:8" x14ac:dyDescent="0.25">
      <c r="A480" s="16">
        <v>21</v>
      </c>
      <c r="B480" s="4" t="s">
        <v>11</v>
      </c>
      <c r="C480" s="4">
        <v>22.4</v>
      </c>
      <c r="D480" s="4">
        <v>0</v>
      </c>
      <c r="E480" s="4" t="s">
        <v>12</v>
      </c>
      <c r="F480" s="4" t="s">
        <v>13</v>
      </c>
      <c r="G480" s="14">
        <v>1442.3069651788564</v>
      </c>
      <c r="H480" s="15">
        <v>1696.8317237398321</v>
      </c>
    </row>
    <row r="481" spans="1:8" x14ac:dyDescent="0.25">
      <c r="A481" s="16">
        <v>23</v>
      </c>
      <c r="B481" s="4" t="s">
        <v>11</v>
      </c>
      <c r="C481" s="4">
        <v>23.9</v>
      </c>
      <c r="D481" s="4">
        <v>0</v>
      </c>
      <c r="E481" s="4" t="s">
        <v>12</v>
      </c>
      <c r="F481" s="4" t="s">
        <v>13</v>
      </c>
      <c r="G481" s="14">
        <v>1886.1531950425892</v>
      </c>
      <c r="H481" s="15">
        <v>2219.003758873635</v>
      </c>
    </row>
    <row r="482" spans="1:8" x14ac:dyDescent="0.25">
      <c r="A482" s="16">
        <v>63</v>
      </c>
      <c r="B482" s="4" t="s">
        <v>11</v>
      </c>
      <c r="C482" s="4">
        <v>41.3</v>
      </c>
      <c r="D482" s="4">
        <v>3</v>
      </c>
      <c r="E482" s="4" t="s">
        <v>12</v>
      </c>
      <c r="F482" s="4" t="s">
        <v>20</v>
      </c>
      <c r="G482" s="14">
        <v>2932.1508109545084</v>
      </c>
      <c r="H482" s="15">
        <v>3909.5344146060111</v>
      </c>
    </row>
    <row r="483" spans="1:8" x14ac:dyDescent="0.25">
      <c r="A483" s="16">
        <v>49</v>
      </c>
      <c r="B483" s="4" t="s">
        <v>11</v>
      </c>
      <c r="C483" s="4">
        <v>37.5</v>
      </c>
      <c r="D483" s="4">
        <v>2</v>
      </c>
      <c r="E483" s="4" t="s">
        <v>12</v>
      </c>
      <c r="F483" s="4" t="s">
        <v>13</v>
      </c>
      <c r="G483" s="14">
        <v>2393.9274972844137</v>
      </c>
      <c r="H483" s="15">
        <v>3191.9033297125516</v>
      </c>
    </row>
    <row r="484" spans="1:8" x14ac:dyDescent="0.25">
      <c r="A484" s="16">
        <v>18</v>
      </c>
      <c r="B484" s="4" t="s">
        <v>8</v>
      </c>
      <c r="C484" s="4">
        <v>24.8</v>
      </c>
      <c r="D484" s="4">
        <v>0</v>
      </c>
      <c r="E484" s="4" t="s">
        <v>12</v>
      </c>
      <c r="F484" s="4" t="s">
        <v>13</v>
      </c>
      <c r="G484" s="14">
        <v>1738.4816856374305</v>
      </c>
      <c r="H484" s="15">
        <v>2045.2725713381544</v>
      </c>
    </row>
    <row r="485" spans="1:8" x14ac:dyDescent="0.25">
      <c r="A485" s="16">
        <v>51</v>
      </c>
      <c r="B485" s="4" t="s">
        <v>8</v>
      </c>
      <c r="C485" s="4">
        <v>39.5</v>
      </c>
      <c r="D485" s="4">
        <v>1</v>
      </c>
      <c r="E485" s="4" t="s">
        <v>12</v>
      </c>
      <c r="F485" s="4" t="s">
        <v>21</v>
      </c>
      <c r="G485" s="14">
        <v>5590.577142910417</v>
      </c>
      <c r="H485" s="15">
        <v>5324.3591837242075</v>
      </c>
    </row>
    <row r="486" spans="1:8" x14ac:dyDescent="0.25">
      <c r="A486" s="16">
        <v>48</v>
      </c>
      <c r="B486" s="4" t="s">
        <v>11</v>
      </c>
      <c r="C486" s="4">
        <v>34.299999999999997</v>
      </c>
      <c r="D486" s="4">
        <v>3</v>
      </c>
      <c r="E486" s="4" t="s">
        <v>12</v>
      </c>
      <c r="F486" s="4" t="s">
        <v>21</v>
      </c>
      <c r="G486" s="14">
        <v>1622.1467095457037</v>
      </c>
      <c r="H486" s="15">
        <v>2162.8622793942718</v>
      </c>
    </row>
    <row r="487" spans="1:8" x14ac:dyDescent="0.25">
      <c r="A487" s="16">
        <v>31</v>
      </c>
      <c r="B487" s="4" t="s">
        <v>8</v>
      </c>
      <c r="C487" s="4">
        <v>22.2</v>
      </c>
      <c r="D487" s="4">
        <v>0</v>
      </c>
      <c r="E487" s="4" t="s">
        <v>12</v>
      </c>
      <c r="F487" s="4" t="s">
        <v>15</v>
      </c>
      <c r="G487" s="14">
        <v>1383.3499096920489</v>
      </c>
      <c r="H487" s="15">
        <v>1627.4704819906465</v>
      </c>
    </row>
    <row r="488" spans="1:8" x14ac:dyDescent="0.25">
      <c r="A488" s="16">
        <v>54</v>
      </c>
      <c r="B488" s="4" t="s">
        <v>8</v>
      </c>
      <c r="C488" s="4">
        <v>21.5</v>
      </c>
      <c r="D488" s="4">
        <v>3</v>
      </c>
      <c r="E488" s="4" t="s">
        <v>12</v>
      </c>
      <c r="F488" s="4" t="s">
        <v>20</v>
      </c>
      <c r="G488" s="14">
        <v>1388.8965006997869</v>
      </c>
      <c r="H488" s="15">
        <v>1851.8620009330493</v>
      </c>
    </row>
    <row r="489" spans="1:8" x14ac:dyDescent="0.25">
      <c r="A489" s="16">
        <v>19</v>
      </c>
      <c r="B489" s="4" t="s">
        <v>11</v>
      </c>
      <c r="C489" s="4">
        <v>24</v>
      </c>
      <c r="D489" s="4">
        <v>0</v>
      </c>
      <c r="E489" s="4" t="s">
        <v>12</v>
      </c>
      <c r="F489" s="4" t="s">
        <v>21</v>
      </c>
      <c r="G489" s="14">
        <v>1796.1185114739883</v>
      </c>
      <c r="H489" s="15">
        <v>2113.0806017341047</v>
      </c>
    </row>
    <row r="490" spans="1:8" x14ac:dyDescent="0.25">
      <c r="A490" s="16">
        <v>44</v>
      </c>
      <c r="B490" s="4" t="s">
        <v>8</v>
      </c>
      <c r="C490" s="4">
        <v>38.1</v>
      </c>
      <c r="D490" s="4">
        <v>0</v>
      </c>
      <c r="E490" s="4" t="s">
        <v>9</v>
      </c>
      <c r="F490" s="4" t="s">
        <v>13</v>
      </c>
      <c r="G490" s="14">
        <v>4002.1368845254865</v>
      </c>
      <c r="H490" s="15">
        <v>3811.5589376433218</v>
      </c>
    </row>
    <row r="491" spans="1:8" x14ac:dyDescent="0.25">
      <c r="A491" s="16">
        <v>53</v>
      </c>
      <c r="B491" s="4" t="s">
        <v>11</v>
      </c>
      <c r="C491" s="4">
        <v>31.2</v>
      </c>
      <c r="D491" s="4">
        <v>1</v>
      </c>
      <c r="E491" s="4" t="s">
        <v>12</v>
      </c>
      <c r="F491" s="4" t="s">
        <v>20</v>
      </c>
      <c r="G491" s="14">
        <v>4097.521764009537</v>
      </c>
      <c r="H491" s="15">
        <v>3902.4016800090844</v>
      </c>
    </row>
    <row r="492" spans="1:8" x14ac:dyDescent="0.25">
      <c r="A492" s="16">
        <v>19</v>
      </c>
      <c r="B492" s="4" t="s">
        <v>8</v>
      </c>
      <c r="C492" s="4">
        <v>23.1</v>
      </c>
      <c r="D492" s="4">
        <v>0</v>
      </c>
      <c r="E492" s="4" t="s">
        <v>12</v>
      </c>
      <c r="F492" s="4" t="s">
        <v>21</v>
      </c>
      <c r="G492" s="14">
        <v>1584.1220626450724</v>
      </c>
      <c r="H492" s="15">
        <v>1863.6730148765566</v>
      </c>
    </row>
    <row r="493" spans="1:8" x14ac:dyDescent="0.25">
      <c r="A493" s="16">
        <v>61</v>
      </c>
      <c r="B493" s="4" t="s">
        <v>8</v>
      </c>
      <c r="C493" s="4">
        <v>25.1</v>
      </c>
      <c r="D493" s="4">
        <v>0</v>
      </c>
      <c r="E493" s="4" t="s">
        <v>12</v>
      </c>
      <c r="F493" s="4" t="s">
        <v>13</v>
      </c>
      <c r="G493" s="14">
        <v>4387.6699702227552</v>
      </c>
      <c r="H493" s="15">
        <v>4178.7333049740537</v>
      </c>
    </row>
    <row r="494" spans="1:8" x14ac:dyDescent="0.25">
      <c r="A494" s="16">
        <v>18</v>
      </c>
      <c r="B494" s="4" t="s">
        <v>8</v>
      </c>
      <c r="C494" s="4">
        <v>23.9</v>
      </c>
      <c r="D494" s="4">
        <v>0</v>
      </c>
      <c r="E494" s="4" t="s">
        <v>12</v>
      </c>
      <c r="F494" s="4" t="s">
        <v>15</v>
      </c>
      <c r="G494" s="14">
        <v>1989.9991666581186</v>
      </c>
      <c r="H494" s="15">
        <v>2341.1754901860222</v>
      </c>
    </row>
    <row r="495" spans="1:8" x14ac:dyDescent="0.25">
      <c r="A495" s="16">
        <v>61</v>
      </c>
      <c r="B495" s="4" t="s">
        <v>11</v>
      </c>
      <c r="C495" s="4">
        <v>43.4</v>
      </c>
      <c r="D495" s="4">
        <v>0</v>
      </c>
      <c r="E495" s="4" t="s">
        <v>12</v>
      </c>
      <c r="F495" s="4" t="s">
        <v>21</v>
      </c>
      <c r="G495" s="14">
        <v>5310.1371469238056</v>
      </c>
      <c r="H495" s="15">
        <v>5057.2734732607696</v>
      </c>
    </row>
    <row r="496" spans="1:8" x14ac:dyDescent="0.25">
      <c r="A496" s="16">
        <v>21</v>
      </c>
      <c r="B496" s="4" t="s">
        <v>11</v>
      </c>
      <c r="C496" s="4">
        <v>25.7</v>
      </c>
      <c r="D496" s="4">
        <v>4</v>
      </c>
      <c r="E496" s="4" t="s">
        <v>9</v>
      </c>
      <c r="F496" s="4" t="s">
        <v>21</v>
      </c>
      <c r="G496" s="14">
        <v>1745.1709513499152</v>
      </c>
      <c r="H496" s="15">
        <v>2326.8946017998869</v>
      </c>
    </row>
    <row r="497" spans="1:8" x14ac:dyDescent="0.25">
      <c r="A497" s="16">
        <v>20</v>
      </c>
      <c r="B497" s="4" t="s">
        <v>11</v>
      </c>
      <c r="C497" s="4">
        <v>22.3</v>
      </c>
      <c r="D497" s="4">
        <v>0</v>
      </c>
      <c r="E497" s="4" t="s">
        <v>12</v>
      </c>
      <c r="F497" s="4" t="s">
        <v>15</v>
      </c>
      <c r="G497" s="14">
        <v>1888.2559479512292</v>
      </c>
      <c r="H497" s="15">
        <v>2221.4775858249768</v>
      </c>
    </row>
    <row r="498" spans="1:8" x14ac:dyDescent="0.25">
      <c r="A498" s="16">
        <v>31</v>
      </c>
      <c r="B498" s="4" t="s">
        <v>8</v>
      </c>
      <c r="C498" s="4">
        <v>23.6</v>
      </c>
      <c r="D498" s="4">
        <v>2</v>
      </c>
      <c r="E498" s="4" t="s">
        <v>12</v>
      </c>
      <c r="F498" s="4" t="s">
        <v>21</v>
      </c>
      <c r="G498" s="14">
        <v>1786.0312721691275</v>
      </c>
      <c r="H498" s="15">
        <v>2101.2132613754447</v>
      </c>
    </row>
    <row r="499" spans="1:8" x14ac:dyDescent="0.25">
      <c r="A499" s="16">
        <v>45</v>
      </c>
      <c r="B499" s="4" t="s">
        <v>11</v>
      </c>
      <c r="C499" s="4">
        <v>28.7</v>
      </c>
      <c r="D499" s="4">
        <v>2</v>
      </c>
      <c r="E499" s="4" t="s">
        <v>12</v>
      </c>
      <c r="F499" s="4" t="s">
        <v>21</v>
      </c>
      <c r="G499" s="14">
        <v>2245.0808398913714</v>
      </c>
      <c r="H499" s="15">
        <v>2993.4411198551616</v>
      </c>
    </row>
    <row r="500" spans="1:8" x14ac:dyDescent="0.25">
      <c r="A500" s="16">
        <v>44</v>
      </c>
      <c r="B500" s="4" t="s">
        <v>8</v>
      </c>
      <c r="C500" s="4">
        <v>24</v>
      </c>
      <c r="D500" s="4">
        <v>2</v>
      </c>
      <c r="E500" s="4" t="s">
        <v>12</v>
      </c>
      <c r="F500" s="4" t="s">
        <v>13</v>
      </c>
      <c r="G500" s="14">
        <v>1227.2931857917197</v>
      </c>
      <c r="H500" s="15">
        <v>1636.3909143889596</v>
      </c>
    </row>
    <row r="501" spans="1:8" x14ac:dyDescent="0.25">
      <c r="A501" s="16">
        <v>62</v>
      </c>
      <c r="B501" s="4" t="s">
        <v>8</v>
      </c>
      <c r="C501" s="4">
        <v>39.200000000000003</v>
      </c>
      <c r="D501" s="4">
        <v>0</v>
      </c>
      <c r="E501" s="4" t="s">
        <v>12</v>
      </c>
      <c r="F501" s="4" t="s">
        <v>21</v>
      </c>
      <c r="G501" s="14">
        <v>6168.2013606418204</v>
      </c>
      <c r="H501" s="15">
        <v>5874.4774863255443</v>
      </c>
    </row>
    <row r="502" spans="1:8" x14ac:dyDescent="0.25">
      <c r="A502" s="16">
        <v>29</v>
      </c>
      <c r="B502" s="4" t="s">
        <v>11</v>
      </c>
      <c r="C502" s="4">
        <v>20.100000000000001</v>
      </c>
      <c r="D502" s="4">
        <v>0</v>
      </c>
      <c r="E502" s="4" t="s">
        <v>9</v>
      </c>
      <c r="F502" s="4" t="s">
        <v>21</v>
      </c>
      <c r="G502" s="14">
        <v>1337.9578212217898</v>
      </c>
      <c r="H502" s="15">
        <v>1574.0680249668119</v>
      </c>
    </row>
    <row r="503" spans="1:8" x14ac:dyDescent="0.25">
      <c r="A503" s="16">
        <v>43</v>
      </c>
      <c r="B503" s="4" t="s">
        <v>11</v>
      </c>
      <c r="C503" s="4">
        <v>26</v>
      </c>
      <c r="D503" s="4">
        <v>0</v>
      </c>
      <c r="E503" s="4" t="s">
        <v>12</v>
      </c>
      <c r="F503" s="4" t="s">
        <v>15</v>
      </c>
      <c r="G503" s="14">
        <v>3756.7167781780759</v>
      </c>
      <c r="H503" s="15">
        <v>3577.8255030267405</v>
      </c>
    </row>
    <row r="504" spans="1:8" x14ac:dyDescent="0.25">
      <c r="A504" s="16">
        <v>51</v>
      </c>
      <c r="B504" s="4" t="s">
        <v>11</v>
      </c>
      <c r="C504" s="4">
        <v>23.2</v>
      </c>
      <c r="D504" s="4">
        <v>1</v>
      </c>
      <c r="E504" s="4" t="s">
        <v>9</v>
      </c>
      <c r="F504" s="4" t="s">
        <v>13</v>
      </c>
      <c r="G504" s="14">
        <v>5631.8176221398426</v>
      </c>
      <c r="H504" s="15">
        <v>5363.6358306093753</v>
      </c>
    </row>
    <row r="505" spans="1:8" x14ac:dyDescent="0.25">
      <c r="A505" s="16">
        <v>19</v>
      </c>
      <c r="B505" s="4" t="s">
        <v>11</v>
      </c>
      <c r="C505" s="4">
        <v>22.6</v>
      </c>
      <c r="D505" s="4">
        <v>0</v>
      </c>
      <c r="E505" s="4" t="s">
        <v>9</v>
      </c>
      <c r="F505" s="4" t="s">
        <v>13</v>
      </c>
      <c r="G505" s="14">
        <v>1936.4079371319831</v>
      </c>
      <c r="H505" s="15">
        <v>2278.1269848611569</v>
      </c>
    </row>
    <row r="506" spans="1:8" x14ac:dyDescent="0.25">
      <c r="A506" s="16">
        <v>38</v>
      </c>
      <c r="B506" s="4" t="s">
        <v>8</v>
      </c>
      <c r="C506" s="4">
        <v>21.6</v>
      </c>
      <c r="D506" s="4">
        <v>1</v>
      </c>
      <c r="E506" s="4" t="s">
        <v>12</v>
      </c>
      <c r="F506" s="4" t="s">
        <v>13</v>
      </c>
      <c r="G506" s="14">
        <v>1768.4746985156994</v>
      </c>
      <c r="H506" s="15">
        <v>2080.5584688419999</v>
      </c>
    </row>
    <row r="507" spans="1:8" x14ac:dyDescent="0.25">
      <c r="A507" s="16">
        <v>37</v>
      </c>
      <c r="B507" s="4" t="s">
        <v>11</v>
      </c>
      <c r="C507" s="4">
        <v>30.9</v>
      </c>
      <c r="D507" s="4">
        <v>3</v>
      </c>
      <c r="E507" s="4" t="s">
        <v>12</v>
      </c>
      <c r="F507" s="4" t="s">
        <v>20</v>
      </c>
      <c r="G507" s="14">
        <v>2682.6525386248545</v>
      </c>
      <c r="H507" s="15">
        <v>3576.8700514998059</v>
      </c>
    </row>
    <row r="508" spans="1:8" x14ac:dyDescent="0.25">
      <c r="A508" s="16">
        <v>22</v>
      </c>
      <c r="B508" s="4" t="s">
        <v>11</v>
      </c>
      <c r="C508" s="4">
        <v>20.2</v>
      </c>
      <c r="D508" s="4">
        <v>1</v>
      </c>
      <c r="E508" s="4" t="s">
        <v>12</v>
      </c>
      <c r="F508" s="4" t="s">
        <v>20</v>
      </c>
      <c r="G508" s="14">
        <v>1536.0162378935877</v>
      </c>
      <c r="H508" s="15">
        <v>1807.0779269336335</v>
      </c>
    </row>
    <row r="509" spans="1:8" x14ac:dyDescent="0.25">
      <c r="A509" s="16">
        <v>21</v>
      </c>
      <c r="B509" s="4" t="s">
        <v>11</v>
      </c>
      <c r="C509" s="4">
        <v>22.5</v>
      </c>
      <c r="D509" s="4">
        <v>2</v>
      </c>
      <c r="E509" s="4" t="s">
        <v>12</v>
      </c>
      <c r="F509" s="4" t="s">
        <v>20</v>
      </c>
      <c r="G509" s="14">
        <v>2329.1636619968713</v>
      </c>
      <c r="H509" s="15">
        <v>2740.1925435257313</v>
      </c>
    </row>
    <row r="510" spans="1:8" x14ac:dyDescent="0.25">
      <c r="A510" s="16">
        <v>24</v>
      </c>
      <c r="B510" s="4" t="s">
        <v>8</v>
      </c>
      <c r="C510" s="4">
        <v>20.2</v>
      </c>
      <c r="D510" s="4">
        <v>0</v>
      </c>
      <c r="E510" s="4" t="s">
        <v>12</v>
      </c>
      <c r="F510" s="4" t="s">
        <v>15</v>
      </c>
      <c r="G510" s="14">
        <v>1943.7571164739311</v>
      </c>
      <c r="H510" s="15">
        <v>2286.7730782046256</v>
      </c>
    </row>
    <row r="511" spans="1:8" x14ac:dyDescent="0.25">
      <c r="A511" s="16">
        <v>57</v>
      </c>
      <c r="B511" s="4" t="s">
        <v>8</v>
      </c>
      <c r="C511" s="4">
        <v>28.7</v>
      </c>
      <c r="D511" s="4">
        <v>0</v>
      </c>
      <c r="E511" s="4" t="s">
        <v>12</v>
      </c>
      <c r="F511" s="4" t="s">
        <v>21</v>
      </c>
      <c r="G511" s="14">
        <v>5025.5580692983685</v>
      </c>
      <c r="H511" s="15">
        <v>4786.2457802841618</v>
      </c>
    </row>
    <row r="512" spans="1:8" x14ac:dyDescent="0.25">
      <c r="A512" s="16">
        <v>56</v>
      </c>
      <c r="B512" s="4" t="s">
        <v>11</v>
      </c>
      <c r="C512" s="4">
        <v>32.1</v>
      </c>
      <c r="D512" s="4">
        <v>1</v>
      </c>
      <c r="E512" s="4" t="s">
        <v>12</v>
      </c>
      <c r="F512" s="4" t="s">
        <v>15</v>
      </c>
      <c r="G512" s="14">
        <v>6063.4353786418051</v>
      </c>
      <c r="H512" s="15">
        <v>5774.7003606112448</v>
      </c>
    </row>
    <row r="513" spans="1:8" x14ac:dyDescent="0.25">
      <c r="A513" s="16">
        <v>27</v>
      </c>
      <c r="B513" s="4" t="s">
        <v>11</v>
      </c>
      <c r="C513" s="4">
        <v>21.2</v>
      </c>
      <c r="D513" s="4">
        <v>0</v>
      </c>
      <c r="E513" s="4" t="s">
        <v>12</v>
      </c>
      <c r="F513" s="4" t="s">
        <v>13</v>
      </c>
      <c r="G513" s="14">
        <v>1432.9797377299371</v>
      </c>
      <c r="H513" s="15">
        <v>1685.8585149763976</v>
      </c>
    </row>
    <row r="514" spans="1:8" x14ac:dyDescent="0.25">
      <c r="A514" s="16">
        <v>51</v>
      </c>
      <c r="B514" s="4" t="s">
        <v>11</v>
      </c>
      <c r="C514" s="4">
        <v>22.4</v>
      </c>
      <c r="D514" s="4">
        <v>0</v>
      </c>
      <c r="E514" s="4" t="s">
        <v>12</v>
      </c>
      <c r="F514" s="4" t="s">
        <v>15</v>
      </c>
      <c r="G514" s="14">
        <v>5088.8506533933705</v>
      </c>
      <c r="H514" s="15">
        <v>4846.5244318032119</v>
      </c>
    </row>
    <row r="515" spans="1:8" x14ac:dyDescent="0.25">
      <c r="A515" s="16">
        <v>19</v>
      </c>
      <c r="B515" s="4" t="s">
        <v>11</v>
      </c>
      <c r="C515" s="4">
        <v>21.8</v>
      </c>
      <c r="D515" s="4">
        <v>0</v>
      </c>
      <c r="E515" s="4" t="s">
        <v>12</v>
      </c>
      <c r="F515" s="4" t="s">
        <v>21</v>
      </c>
      <c r="G515" s="14">
        <v>1479.2219071066434</v>
      </c>
      <c r="H515" s="15">
        <v>1740.2610671842872</v>
      </c>
    </row>
    <row r="516" spans="1:8" x14ac:dyDescent="0.25">
      <c r="A516" s="16">
        <v>39</v>
      </c>
      <c r="B516" s="4" t="s">
        <v>11</v>
      </c>
      <c r="C516" s="4">
        <v>21.6</v>
      </c>
      <c r="D516" s="4">
        <v>1</v>
      </c>
      <c r="E516" s="4" t="s">
        <v>9</v>
      </c>
      <c r="F516" s="4" t="s">
        <v>21</v>
      </c>
      <c r="G516" s="14">
        <v>1397.6273745838403</v>
      </c>
      <c r="H516" s="15">
        <v>1644.267499510401</v>
      </c>
    </row>
    <row r="517" spans="1:8" x14ac:dyDescent="0.25">
      <c r="A517" s="16">
        <v>58</v>
      </c>
      <c r="B517" s="4" t="s">
        <v>11</v>
      </c>
      <c r="C517" s="4">
        <v>35.700000000000003</v>
      </c>
      <c r="D517" s="4">
        <v>0</v>
      </c>
      <c r="E517" s="4" t="s">
        <v>12</v>
      </c>
      <c r="F517" s="4" t="s">
        <v>21</v>
      </c>
      <c r="G517" s="14">
        <v>5622.3306521329914</v>
      </c>
      <c r="H517" s="15">
        <v>5354.600621079042</v>
      </c>
    </row>
    <row r="518" spans="1:8" x14ac:dyDescent="0.25">
      <c r="A518" s="16">
        <v>20</v>
      </c>
      <c r="B518" s="4" t="s">
        <v>11</v>
      </c>
      <c r="C518" s="4">
        <v>25.3</v>
      </c>
      <c r="D518" s="4">
        <v>1</v>
      </c>
      <c r="E518" s="4" t="s">
        <v>12</v>
      </c>
      <c r="F518" s="4" t="s">
        <v>13</v>
      </c>
      <c r="G518" s="14">
        <v>2408.398053476044</v>
      </c>
      <c r="H518" s="15">
        <v>2833.4094746776991</v>
      </c>
    </row>
    <row r="519" spans="1:8" x14ac:dyDescent="0.25">
      <c r="A519" s="16">
        <v>45</v>
      </c>
      <c r="B519" s="4" t="s">
        <v>11</v>
      </c>
      <c r="C519" s="4">
        <v>30.5</v>
      </c>
      <c r="D519" s="4">
        <v>2</v>
      </c>
      <c r="E519" s="4" t="s">
        <v>12</v>
      </c>
      <c r="F519" s="4" t="s">
        <v>20</v>
      </c>
      <c r="G519" s="14">
        <v>1803.0635348309684</v>
      </c>
      <c r="H519" s="15">
        <v>2404.0847131079577</v>
      </c>
    </row>
    <row r="520" spans="1:8" x14ac:dyDescent="0.25">
      <c r="A520" s="16">
        <v>35</v>
      </c>
      <c r="B520" s="4" t="s">
        <v>8</v>
      </c>
      <c r="C520" s="4">
        <v>23.1</v>
      </c>
      <c r="D520" s="4">
        <v>1</v>
      </c>
      <c r="E520" s="4" t="s">
        <v>12</v>
      </c>
      <c r="F520" s="4" t="s">
        <v>21</v>
      </c>
      <c r="G520" s="14">
        <v>2487.1312699541559</v>
      </c>
      <c r="H520" s="15">
        <v>2926.0367881813609</v>
      </c>
    </row>
    <row r="521" spans="1:8" x14ac:dyDescent="0.25">
      <c r="A521" s="16">
        <v>31</v>
      </c>
      <c r="B521" s="4" t="s">
        <v>11</v>
      </c>
      <c r="C521" s="4">
        <v>24.5</v>
      </c>
      <c r="D521" s="4">
        <v>0</v>
      </c>
      <c r="E521" s="4" t="s">
        <v>12</v>
      </c>
      <c r="F521" s="4" t="s">
        <v>15</v>
      </c>
      <c r="G521" s="14">
        <v>1489.0638569890186</v>
      </c>
      <c r="H521" s="15">
        <v>1751.8398317517874</v>
      </c>
    </row>
    <row r="522" spans="1:8" x14ac:dyDescent="0.25">
      <c r="A522" s="16">
        <v>50</v>
      </c>
      <c r="B522" s="4" t="s">
        <v>8</v>
      </c>
      <c r="C522" s="4">
        <v>27.4</v>
      </c>
      <c r="D522" s="4">
        <v>0</v>
      </c>
      <c r="E522" s="4" t="s">
        <v>12</v>
      </c>
      <c r="F522" s="4" t="s">
        <v>15</v>
      </c>
      <c r="G522" s="14">
        <v>5469.0676480045749</v>
      </c>
      <c r="H522" s="15">
        <v>5208.6358552424535</v>
      </c>
    </row>
    <row r="523" spans="1:8" x14ac:dyDescent="0.25">
      <c r="A523" s="16">
        <v>32</v>
      </c>
      <c r="B523" s="4" t="s">
        <v>8</v>
      </c>
      <c r="C523" s="4">
        <v>24.1</v>
      </c>
      <c r="D523" s="4">
        <v>0</v>
      </c>
      <c r="E523" s="4" t="s">
        <v>12</v>
      </c>
      <c r="F523" s="4" t="s">
        <v>13</v>
      </c>
      <c r="G523" s="14">
        <v>1531.6509901579836</v>
      </c>
      <c r="H523" s="15">
        <v>1801.9423413623344</v>
      </c>
    </row>
    <row r="524" spans="1:8" x14ac:dyDescent="0.25">
      <c r="A524" s="16">
        <v>51</v>
      </c>
      <c r="B524" s="4" t="s">
        <v>8</v>
      </c>
      <c r="C524" s="4">
        <v>33.9</v>
      </c>
      <c r="D524" s="4">
        <v>0</v>
      </c>
      <c r="E524" s="4" t="s">
        <v>12</v>
      </c>
      <c r="F524" s="4" t="s">
        <v>15</v>
      </c>
      <c r="G524" s="14">
        <v>4887.1819086940086</v>
      </c>
      <c r="H524" s="15">
        <v>4654.4589606609625</v>
      </c>
    </row>
    <row r="525" spans="1:8" x14ac:dyDescent="0.25">
      <c r="A525" s="16">
        <v>38</v>
      </c>
      <c r="B525" s="4" t="s">
        <v>8</v>
      </c>
      <c r="C525" s="4">
        <v>37.700000000000003</v>
      </c>
      <c r="D525" s="4">
        <v>0</v>
      </c>
      <c r="E525" s="4" t="s">
        <v>12</v>
      </c>
      <c r="F525" s="4" t="s">
        <v>13</v>
      </c>
      <c r="G525" s="14">
        <v>4403.5336112441209</v>
      </c>
      <c r="H525" s="15">
        <v>4193.8415345182129</v>
      </c>
    </row>
    <row r="526" spans="1:8" x14ac:dyDescent="0.25">
      <c r="A526" s="16">
        <v>42</v>
      </c>
      <c r="B526" s="4" t="s">
        <v>11</v>
      </c>
      <c r="C526" s="4">
        <v>26.1</v>
      </c>
      <c r="D526" s="4">
        <v>1</v>
      </c>
      <c r="E526" s="4" t="s">
        <v>9</v>
      </c>
      <c r="F526" s="4" t="s">
        <v>13</v>
      </c>
      <c r="G526" s="14">
        <v>1924.9017004795855</v>
      </c>
      <c r="H526" s="15">
        <v>2264.5902358583367</v>
      </c>
    </row>
    <row r="527" spans="1:8" x14ac:dyDescent="0.25">
      <c r="A527" s="16">
        <v>18</v>
      </c>
      <c r="B527" s="4" t="s">
        <v>8</v>
      </c>
      <c r="C527" s="4">
        <v>21.5</v>
      </c>
      <c r="D527" s="4">
        <v>0</v>
      </c>
      <c r="E527" s="4" t="s">
        <v>12</v>
      </c>
      <c r="F527" s="4" t="s">
        <v>13</v>
      </c>
      <c r="G527" s="14">
        <v>1917.2382416386206</v>
      </c>
      <c r="H527" s="15">
        <v>2255.5744019277895</v>
      </c>
    </row>
    <row r="528" spans="1:8" x14ac:dyDescent="0.25">
      <c r="A528" s="16">
        <v>19</v>
      </c>
      <c r="B528" s="4" t="s">
        <v>8</v>
      </c>
      <c r="C528" s="4">
        <v>24.9</v>
      </c>
      <c r="D528" s="4">
        <v>2</v>
      </c>
      <c r="E528" s="4" t="s">
        <v>12</v>
      </c>
      <c r="F528" s="4" t="s">
        <v>20</v>
      </c>
      <c r="G528" s="14">
        <v>2368.0662929867731</v>
      </c>
      <c r="H528" s="15">
        <v>2785.9603446903216</v>
      </c>
    </row>
    <row r="529" spans="1:8" x14ac:dyDescent="0.25">
      <c r="A529" s="16">
        <v>51</v>
      </c>
      <c r="B529" s="4" t="s">
        <v>8</v>
      </c>
      <c r="C529" s="4">
        <v>25.8</v>
      </c>
      <c r="D529" s="4">
        <v>1</v>
      </c>
      <c r="E529" s="4" t="s">
        <v>12</v>
      </c>
      <c r="F529" s="4" t="s">
        <v>21</v>
      </c>
      <c r="G529" s="14">
        <v>4631.6930105639885</v>
      </c>
      <c r="H529" s="15">
        <v>4411.1362005371338</v>
      </c>
    </row>
    <row r="530" spans="1:8" x14ac:dyDescent="0.25">
      <c r="A530" s="16">
        <v>46</v>
      </c>
      <c r="B530" s="4" t="s">
        <v>11</v>
      </c>
      <c r="C530" s="4">
        <v>39.4</v>
      </c>
      <c r="D530" s="4">
        <v>1</v>
      </c>
      <c r="E530" s="4" t="s">
        <v>12</v>
      </c>
      <c r="F530" s="4" t="s">
        <v>15</v>
      </c>
      <c r="G530" s="14">
        <v>4879.3707775311568</v>
      </c>
      <c r="H530" s="15">
        <v>4647.0197881249123</v>
      </c>
    </row>
    <row r="531" spans="1:8" x14ac:dyDescent="0.25">
      <c r="A531" s="16">
        <v>18</v>
      </c>
      <c r="B531" s="4" t="s">
        <v>11</v>
      </c>
      <c r="C531" s="4">
        <v>21.2</v>
      </c>
      <c r="D531" s="4">
        <v>0</v>
      </c>
      <c r="E531" s="4" t="s">
        <v>12</v>
      </c>
      <c r="F531" s="4" t="s">
        <v>15</v>
      </c>
      <c r="G531" s="14">
        <v>1313.0553822931756</v>
      </c>
      <c r="H531" s="15">
        <v>1544.7710379919718</v>
      </c>
    </row>
    <row r="532" spans="1:8" x14ac:dyDescent="0.25">
      <c r="A532" s="16">
        <v>57</v>
      </c>
      <c r="B532" s="4" t="s">
        <v>11</v>
      </c>
      <c r="C532" s="4">
        <v>42.1</v>
      </c>
      <c r="D532" s="4">
        <v>1</v>
      </c>
      <c r="E532" s="4" t="s">
        <v>9</v>
      </c>
      <c r="F532" s="4" t="s">
        <v>13</v>
      </c>
      <c r="G532" s="14">
        <v>4731.6593000401826</v>
      </c>
      <c r="H532" s="15">
        <v>4506.3421905144605</v>
      </c>
    </row>
    <row r="533" spans="1:8" x14ac:dyDescent="0.25">
      <c r="A533" s="16">
        <v>62</v>
      </c>
      <c r="B533" s="4" t="s">
        <v>8</v>
      </c>
      <c r="C533" s="4">
        <v>31.7</v>
      </c>
      <c r="D533" s="4">
        <v>0</v>
      </c>
      <c r="E533" s="4" t="s">
        <v>12</v>
      </c>
      <c r="F533" s="4" t="s">
        <v>15</v>
      </c>
      <c r="G533" s="14">
        <v>5260.3042843775938</v>
      </c>
      <c r="H533" s="15">
        <v>5009.8136041691378</v>
      </c>
    </row>
    <row r="534" spans="1:8" x14ac:dyDescent="0.25">
      <c r="A534" s="16">
        <v>59</v>
      </c>
      <c r="B534" s="4" t="s">
        <v>11</v>
      </c>
      <c r="C534" s="4">
        <v>29.7</v>
      </c>
      <c r="D534" s="4">
        <v>2</v>
      </c>
      <c r="E534" s="4" t="s">
        <v>12</v>
      </c>
      <c r="F534" s="4" t="s">
        <v>13</v>
      </c>
      <c r="G534" s="14">
        <v>1298.8075552014959</v>
      </c>
      <c r="H534" s="15">
        <v>1731.7434069353278</v>
      </c>
    </row>
    <row r="535" spans="1:8" x14ac:dyDescent="0.25">
      <c r="A535" s="16">
        <v>37</v>
      </c>
      <c r="B535" s="4" t="s">
        <v>11</v>
      </c>
      <c r="C535" s="4">
        <v>36.200000000000003</v>
      </c>
      <c r="D535" s="4">
        <v>0</v>
      </c>
      <c r="E535" s="4" t="s">
        <v>12</v>
      </c>
      <c r="F535" s="4" t="s">
        <v>13</v>
      </c>
      <c r="G535" s="14">
        <v>4944.9609849017552</v>
      </c>
      <c r="H535" s="15">
        <v>4709.4866522873881</v>
      </c>
    </row>
    <row r="536" spans="1:8" x14ac:dyDescent="0.25">
      <c r="A536" s="16">
        <v>64</v>
      </c>
      <c r="B536" s="4" t="s">
        <v>11</v>
      </c>
      <c r="C536" s="4">
        <v>40.5</v>
      </c>
      <c r="D536" s="4">
        <v>0</v>
      </c>
      <c r="E536" s="4" t="s">
        <v>12</v>
      </c>
      <c r="F536" s="4" t="s">
        <v>13</v>
      </c>
      <c r="G536" s="14">
        <v>4068.1550629180911</v>
      </c>
      <c r="H536" s="15">
        <v>3874.4333932553263</v>
      </c>
    </row>
    <row r="537" spans="1:8" x14ac:dyDescent="0.25">
      <c r="A537" s="16">
        <v>38</v>
      </c>
      <c r="B537" s="4" t="s">
        <v>11</v>
      </c>
      <c r="C537" s="4">
        <v>24.3</v>
      </c>
      <c r="D537" s="4">
        <v>1</v>
      </c>
      <c r="E537" s="4" t="s">
        <v>12</v>
      </c>
      <c r="F537" s="4" t="s">
        <v>15</v>
      </c>
      <c r="G537" s="14">
        <v>2012.3569720725907</v>
      </c>
      <c r="H537" s="15">
        <v>2367.4787906736369</v>
      </c>
    </row>
    <row r="538" spans="1:8" x14ac:dyDescent="0.25">
      <c r="A538" s="16">
        <v>33</v>
      </c>
      <c r="B538" s="4" t="s">
        <v>8</v>
      </c>
      <c r="C538" s="4">
        <v>38.9</v>
      </c>
      <c r="D538" s="4">
        <v>3</v>
      </c>
      <c r="E538" s="4" t="s">
        <v>12</v>
      </c>
      <c r="F538" s="4" t="s">
        <v>21</v>
      </c>
      <c r="G538" s="14">
        <v>1462.912558334323</v>
      </c>
      <c r="H538" s="15">
        <v>1950.5500777790974</v>
      </c>
    </row>
    <row r="539" spans="1:8" x14ac:dyDescent="0.25">
      <c r="A539" s="16">
        <v>46</v>
      </c>
      <c r="B539" s="4" t="s">
        <v>8</v>
      </c>
      <c r="C539" s="4">
        <v>30.2</v>
      </c>
      <c r="D539" s="4">
        <v>2</v>
      </c>
      <c r="E539" s="4" t="s">
        <v>12</v>
      </c>
      <c r="F539" s="4" t="s">
        <v>21</v>
      </c>
      <c r="G539" s="14">
        <v>2959.1838072092605</v>
      </c>
      <c r="H539" s="15">
        <v>3945.5784096123475</v>
      </c>
    </row>
    <row r="540" spans="1:8" x14ac:dyDescent="0.25">
      <c r="A540" s="16">
        <v>46</v>
      </c>
      <c r="B540" s="4" t="s">
        <v>8</v>
      </c>
      <c r="C540" s="4">
        <v>28.1</v>
      </c>
      <c r="D540" s="4">
        <v>1</v>
      </c>
      <c r="E540" s="4" t="s">
        <v>12</v>
      </c>
      <c r="F540" s="4" t="s">
        <v>13</v>
      </c>
      <c r="G540" s="14">
        <v>5125.1052021576506</v>
      </c>
      <c r="H540" s="15">
        <v>4881.0525734834773</v>
      </c>
    </row>
    <row r="541" spans="1:8" x14ac:dyDescent="0.25">
      <c r="A541" s="16">
        <v>53</v>
      </c>
      <c r="B541" s="4" t="s">
        <v>11</v>
      </c>
      <c r="C541" s="4">
        <v>31.4</v>
      </c>
      <c r="D541" s="4">
        <v>0</v>
      </c>
      <c r="E541" s="4" t="s">
        <v>12</v>
      </c>
      <c r="F541" s="4" t="s">
        <v>13</v>
      </c>
      <c r="G541" s="14">
        <v>5835.8353615855067</v>
      </c>
      <c r="H541" s="15">
        <v>5557.9384396052455</v>
      </c>
    </row>
    <row r="542" spans="1:8" x14ac:dyDescent="0.25">
      <c r="A542" s="16">
        <v>34</v>
      </c>
      <c r="B542" s="4" t="s">
        <v>8</v>
      </c>
      <c r="C542" s="4">
        <v>38</v>
      </c>
      <c r="D542" s="4">
        <v>3</v>
      </c>
      <c r="E542" s="4" t="s">
        <v>12</v>
      </c>
      <c r="F542" s="4" t="s">
        <v>21</v>
      </c>
      <c r="G542" s="14">
        <v>2098.2119331128706</v>
      </c>
      <c r="H542" s="15">
        <v>2797.6159108171605</v>
      </c>
    </row>
    <row r="543" spans="1:8" x14ac:dyDescent="0.25">
      <c r="A543" s="16">
        <v>20</v>
      </c>
      <c r="B543" s="4" t="s">
        <v>8</v>
      </c>
      <c r="C543" s="4">
        <v>20.100000000000001</v>
      </c>
      <c r="D543" s="4">
        <v>2</v>
      </c>
      <c r="E543" s="4" t="s">
        <v>12</v>
      </c>
      <c r="F543" s="4" t="s">
        <v>13</v>
      </c>
      <c r="G543" s="14">
        <v>1974.2904877846277</v>
      </c>
      <c r="H543" s="15">
        <v>2322.6946915113272</v>
      </c>
    </row>
    <row r="544" spans="1:8" x14ac:dyDescent="0.25">
      <c r="A544" s="16">
        <v>63</v>
      </c>
      <c r="B544" s="4" t="s">
        <v>8</v>
      </c>
      <c r="C544" s="4">
        <v>36.299999999999997</v>
      </c>
      <c r="D544" s="4">
        <v>0</v>
      </c>
      <c r="E544" s="4" t="s">
        <v>12</v>
      </c>
      <c r="F544" s="4" t="s">
        <v>13</v>
      </c>
      <c r="G544" s="14">
        <v>5073.3037248618493</v>
      </c>
      <c r="H544" s="15">
        <v>4831.7178332017629</v>
      </c>
    </row>
    <row r="545" spans="1:8" x14ac:dyDescent="0.25">
      <c r="A545" s="16">
        <v>54</v>
      </c>
      <c r="B545" s="4" t="s">
        <v>8</v>
      </c>
      <c r="C545" s="4">
        <v>47.4</v>
      </c>
      <c r="D545" s="4">
        <v>0</v>
      </c>
      <c r="E545" s="4" t="s">
        <v>9</v>
      </c>
      <c r="F545" s="4" t="s">
        <v>13</v>
      </c>
      <c r="G545" s="14">
        <v>4105.0233810427062</v>
      </c>
      <c r="H545" s="15">
        <v>3909.5460771835315</v>
      </c>
    </row>
    <row r="546" spans="1:8" x14ac:dyDescent="0.25">
      <c r="A546" s="16">
        <v>54</v>
      </c>
      <c r="B546" s="4" t="s">
        <v>11</v>
      </c>
      <c r="C546" s="4">
        <v>30.2</v>
      </c>
      <c r="D546" s="4">
        <v>0</v>
      </c>
      <c r="E546" s="4" t="s">
        <v>12</v>
      </c>
      <c r="F546" s="4" t="s">
        <v>20</v>
      </c>
      <c r="G546" s="14">
        <v>5707.5287729528636</v>
      </c>
      <c r="H546" s="15">
        <v>5435.7416885265384</v>
      </c>
    </row>
    <row r="547" spans="1:8" x14ac:dyDescent="0.25">
      <c r="A547" s="16">
        <v>49</v>
      </c>
      <c r="B547" s="4" t="s">
        <v>11</v>
      </c>
      <c r="C547" s="4">
        <v>25.8</v>
      </c>
      <c r="D547" s="4">
        <v>2</v>
      </c>
      <c r="E547" s="4" t="s">
        <v>9</v>
      </c>
      <c r="F547" s="4" t="s">
        <v>20</v>
      </c>
      <c r="G547" s="14">
        <v>1608.7560391981515</v>
      </c>
      <c r="H547" s="15">
        <v>2145.008052264202</v>
      </c>
    </row>
    <row r="548" spans="1:8" x14ac:dyDescent="0.25">
      <c r="A548" s="16">
        <v>28</v>
      </c>
      <c r="B548" s="4" t="s">
        <v>11</v>
      </c>
      <c r="C548" s="4">
        <v>21.7</v>
      </c>
      <c r="D548" s="4">
        <v>0</v>
      </c>
      <c r="E548" s="4" t="s">
        <v>12</v>
      </c>
      <c r="F548" s="4" t="s">
        <v>15</v>
      </c>
      <c r="G548" s="14">
        <v>1923.6280597381574</v>
      </c>
      <c r="H548" s="15">
        <v>2263.0918349860685</v>
      </c>
    </row>
    <row r="549" spans="1:8" x14ac:dyDescent="0.25">
      <c r="A549" s="16">
        <v>54</v>
      </c>
      <c r="B549" s="4" t="s">
        <v>8</v>
      </c>
      <c r="C549" s="4">
        <v>46.7</v>
      </c>
      <c r="D549" s="4">
        <v>2</v>
      </c>
      <c r="E549" s="4" t="s">
        <v>12</v>
      </c>
      <c r="F549" s="4" t="s">
        <v>21</v>
      </c>
      <c r="G549" s="14">
        <v>1823.2315869750892</v>
      </c>
      <c r="H549" s="15">
        <v>2430.9754493001187</v>
      </c>
    </row>
    <row r="550" spans="1:8" x14ac:dyDescent="0.25">
      <c r="A550" s="16">
        <v>25</v>
      </c>
      <c r="B550" s="4" t="s">
        <v>8</v>
      </c>
      <c r="C550" s="4">
        <v>24.1</v>
      </c>
      <c r="D550" s="4">
        <v>0</v>
      </c>
      <c r="E550" s="4" t="s">
        <v>12</v>
      </c>
      <c r="F550" s="4" t="s">
        <v>15</v>
      </c>
      <c r="G550" s="14">
        <v>1639.0517662020854</v>
      </c>
      <c r="H550" s="15">
        <v>1928.2961955318658</v>
      </c>
    </row>
    <row r="551" spans="1:8" x14ac:dyDescent="0.25">
      <c r="A551" s="16">
        <v>43</v>
      </c>
      <c r="B551" s="4" t="s">
        <v>8</v>
      </c>
      <c r="C551" s="4">
        <v>46.2</v>
      </c>
      <c r="D551" s="4">
        <v>0</v>
      </c>
      <c r="E551" s="4" t="s">
        <v>9</v>
      </c>
      <c r="F551" s="4" t="s">
        <v>13</v>
      </c>
      <c r="G551" s="14">
        <v>5598.7674051799913</v>
      </c>
      <c r="H551" s="15">
        <v>5332.1594335047548</v>
      </c>
    </row>
    <row r="552" spans="1:8" x14ac:dyDescent="0.25">
      <c r="A552" s="16">
        <v>63</v>
      </c>
      <c r="B552" s="4" t="s">
        <v>11</v>
      </c>
      <c r="C552" s="4">
        <v>30.8</v>
      </c>
      <c r="D552" s="4">
        <v>0</v>
      </c>
      <c r="E552" s="4" t="s">
        <v>12</v>
      </c>
      <c r="F552" s="4" t="s">
        <v>21</v>
      </c>
      <c r="G552" s="14">
        <v>5443.3660314796916</v>
      </c>
      <c r="H552" s="15">
        <v>5184.1581252187552</v>
      </c>
    </row>
    <row r="553" spans="1:8" x14ac:dyDescent="0.25">
      <c r="A553" s="16">
        <v>32</v>
      </c>
      <c r="B553" s="4" t="s">
        <v>8</v>
      </c>
      <c r="C553" s="4">
        <v>24</v>
      </c>
      <c r="D553" s="4">
        <v>0</v>
      </c>
      <c r="E553" s="4" t="s">
        <v>12</v>
      </c>
      <c r="F553" s="4" t="s">
        <v>13</v>
      </c>
      <c r="G553" s="14">
        <v>1609.4625500703328</v>
      </c>
      <c r="H553" s="15">
        <v>1893.4853530239216</v>
      </c>
    </row>
    <row r="554" spans="1:8" x14ac:dyDescent="0.25">
      <c r="A554" s="16">
        <v>62</v>
      </c>
      <c r="B554" s="4" t="s">
        <v>11</v>
      </c>
      <c r="C554" s="4">
        <v>21.4</v>
      </c>
      <c r="D554" s="4">
        <v>0</v>
      </c>
      <c r="E554" s="4" t="s">
        <v>12</v>
      </c>
      <c r="F554" s="4" t="s">
        <v>21</v>
      </c>
      <c r="G554" s="14">
        <v>5055.4769764123503</v>
      </c>
      <c r="H554" s="15">
        <v>4814.7399775355734</v>
      </c>
    </row>
    <row r="555" spans="1:8" x14ac:dyDescent="0.25">
      <c r="A555" s="16">
        <v>52</v>
      </c>
      <c r="B555" s="4" t="s">
        <v>8</v>
      </c>
      <c r="C555" s="4">
        <v>31.7</v>
      </c>
      <c r="D555" s="4">
        <v>2</v>
      </c>
      <c r="E555" s="4" t="s">
        <v>12</v>
      </c>
      <c r="F555" s="4" t="s">
        <v>20</v>
      </c>
      <c r="G555" s="14">
        <v>1777.7011694368007</v>
      </c>
      <c r="H555" s="15">
        <v>2370.2682259157341</v>
      </c>
    </row>
    <row r="556" spans="1:8" x14ac:dyDescent="0.25">
      <c r="A556" s="16">
        <v>25</v>
      </c>
      <c r="B556" s="4" t="s">
        <v>8</v>
      </c>
      <c r="C556" s="4">
        <v>23.7</v>
      </c>
      <c r="D556" s="4">
        <v>0</v>
      </c>
      <c r="E556" s="4" t="s">
        <v>12</v>
      </c>
      <c r="F556" s="4" t="s">
        <v>15</v>
      </c>
      <c r="G556" s="14">
        <v>1935.2027128063837</v>
      </c>
      <c r="H556" s="15">
        <v>2276.7090738898642</v>
      </c>
    </row>
    <row r="557" spans="1:8" x14ac:dyDescent="0.25">
      <c r="A557" s="16">
        <v>28</v>
      </c>
      <c r="B557" s="4" t="s">
        <v>11</v>
      </c>
      <c r="C557" s="4">
        <v>23.8</v>
      </c>
      <c r="D557" s="4">
        <v>2</v>
      </c>
      <c r="E557" s="4" t="s">
        <v>12</v>
      </c>
      <c r="F557" s="4" t="s">
        <v>21</v>
      </c>
      <c r="G557" s="14">
        <v>2081.0114346383666</v>
      </c>
      <c r="H557" s="15">
        <v>2448.2487466333732</v>
      </c>
    </row>
    <row r="558" spans="1:8" x14ac:dyDescent="0.25">
      <c r="A558" s="16">
        <v>46</v>
      </c>
      <c r="B558" s="4" t="s">
        <v>11</v>
      </c>
      <c r="C558" s="4">
        <v>33.4</v>
      </c>
      <c r="D558" s="4">
        <v>1</v>
      </c>
      <c r="E558" s="4" t="s">
        <v>12</v>
      </c>
      <c r="F558" s="4" t="s">
        <v>15</v>
      </c>
      <c r="G558" s="14">
        <v>4182.938333456158</v>
      </c>
      <c r="H558" s="15">
        <v>3983.750793767771</v>
      </c>
    </row>
    <row r="559" spans="1:8" x14ac:dyDescent="0.25">
      <c r="A559" s="16">
        <v>34</v>
      </c>
      <c r="B559" s="4" t="s">
        <v>11</v>
      </c>
      <c r="C559" s="4">
        <v>20.5</v>
      </c>
      <c r="D559" s="4">
        <v>0</v>
      </c>
      <c r="E559" s="4" t="s">
        <v>12</v>
      </c>
      <c r="F559" s="4" t="s">
        <v>13</v>
      </c>
      <c r="G559" s="14">
        <v>1884.824043671578</v>
      </c>
      <c r="H559" s="15">
        <v>2217.4400513783276</v>
      </c>
    </row>
    <row r="560" spans="1:8" x14ac:dyDescent="0.25">
      <c r="A560" s="16">
        <v>35</v>
      </c>
      <c r="B560" s="4" t="s">
        <v>8</v>
      </c>
      <c r="C560" s="4">
        <v>34.1</v>
      </c>
      <c r="D560" s="4">
        <v>3</v>
      </c>
      <c r="E560" s="4" t="s">
        <v>9</v>
      </c>
      <c r="F560" s="4" t="s">
        <v>20</v>
      </c>
      <c r="G560" s="14">
        <v>1978.5161380342347</v>
      </c>
      <c r="H560" s="15">
        <v>2638.0215173789798</v>
      </c>
    </row>
    <row r="561" spans="1:8" x14ac:dyDescent="0.25">
      <c r="A561" s="16">
        <v>19</v>
      </c>
      <c r="B561" s="4" t="s">
        <v>11</v>
      </c>
      <c r="C561" s="4">
        <v>22.9</v>
      </c>
      <c r="D561" s="4">
        <v>0</v>
      </c>
      <c r="E561" s="4" t="s">
        <v>12</v>
      </c>
      <c r="F561" s="4" t="s">
        <v>20</v>
      </c>
      <c r="G561" s="14">
        <v>1653.1807737838576</v>
      </c>
      <c r="H561" s="15">
        <v>1944.9185573927743</v>
      </c>
    </row>
    <row r="562" spans="1:8" x14ac:dyDescent="0.25">
      <c r="A562" s="16">
        <v>46</v>
      </c>
      <c r="B562" s="4" t="s">
        <v>8</v>
      </c>
      <c r="C562" s="4">
        <v>20</v>
      </c>
      <c r="D562" s="4">
        <v>2</v>
      </c>
      <c r="E562" s="4" t="s">
        <v>12</v>
      </c>
      <c r="F562" s="4" t="s">
        <v>20</v>
      </c>
      <c r="G562" s="14">
        <v>2115.6016308451535</v>
      </c>
      <c r="H562" s="15">
        <v>2488.9430951119461</v>
      </c>
    </row>
    <row r="563" spans="1:8" x14ac:dyDescent="0.25">
      <c r="A563" s="16">
        <v>54</v>
      </c>
      <c r="B563" s="4" t="s">
        <v>8</v>
      </c>
      <c r="C563" s="4">
        <v>32.700000000000003</v>
      </c>
      <c r="D563" s="4">
        <v>0</v>
      </c>
      <c r="E563" s="4" t="s">
        <v>12</v>
      </c>
      <c r="F563" s="4" t="s">
        <v>15</v>
      </c>
      <c r="G563" s="14">
        <v>3716.1636483710668</v>
      </c>
      <c r="H563" s="15">
        <v>3539.2034746391128</v>
      </c>
    </row>
    <row r="564" spans="1:8" x14ac:dyDescent="0.25">
      <c r="A564" s="16">
        <v>27</v>
      </c>
      <c r="B564" s="4" t="s">
        <v>11</v>
      </c>
      <c r="C564" s="4">
        <v>21.2</v>
      </c>
      <c r="D564" s="4">
        <v>0</v>
      </c>
      <c r="E564" s="4" t="s">
        <v>12</v>
      </c>
      <c r="F564" s="4" t="s">
        <v>21</v>
      </c>
      <c r="G564" s="14">
        <v>2460.3349772898255</v>
      </c>
      <c r="H564" s="15">
        <v>2894.5117379880303</v>
      </c>
    </row>
    <row r="565" spans="1:8" x14ac:dyDescent="0.25">
      <c r="A565" s="16">
        <v>50</v>
      </c>
      <c r="B565" s="4" t="s">
        <v>11</v>
      </c>
      <c r="C565" s="4">
        <v>44.8</v>
      </c>
      <c r="D565" s="4">
        <v>1</v>
      </c>
      <c r="E565" s="4" t="s">
        <v>12</v>
      </c>
      <c r="F565" s="4" t="s">
        <v>13</v>
      </c>
      <c r="G565" s="14">
        <v>5480.5071970922691</v>
      </c>
      <c r="H565" s="15">
        <v>5219.5306638973998</v>
      </c>
    </row>
    <row r="566" spans="1:8" x14ac:dyDescent="0.25">
      <c r="A566" s="16">
        <v>18</v>
      </c>
      <c r="B566" s="4" t="s">
        <v>8</v>
      </c>
      <c r="C566" s="4">
        <v>22.5</v>
      </c>
      <c r="D566" s="4">
        <v>2</v>
      </c>
      <c r="E566" s="4" t="s">
        <v>12</v>
      </c>
      <c r="F566" s="4" t="s">
        <v>13</v>
      </c>
      <c r="G566" s="14">
        <v>1998.331836822505</v>
      </c>
      <c r="H566" s="15">
        <v>2350.9786315558886</v>
      </c>
    </row>
    <row r="567" spans="1:8" x14ac:dyDescent="0.25">
      <c r="A567" s="16">
        <v>19</v>
      </c>
      <c r="B567" s="4" t="s">
        <v>8</v>
      </c>
      <c r="C567" s="4">
        <v>22.1</v>
      </c>
      <c r="D567" s="4">
        <v>0</v>
      </c>
      <c r="E567" s="4" t="s">
        <v>12</v>
      </c>
      <c r="F567" s="4" t="s">
        <v>20</v>
      </c>
      <c r="G567" s="14">
        <v>1811.4664754230878</v>
      </c>
      <c r="H567" s="15">
        <v>2131.1370299095161</v>
      </c>
    </row>
    <row r="568" spans="1:8" x14ac:dyDescent="0.25">
      <c r="A568" s="16">
        <v>38</v>
      </c>
      <c r="B568" s="4" t="s">
        <v>8</v>
      </c>
      <c r="C568" s="4">
        <v>40.6</v>
      </c>
      <c r="D568" s="4">
        <v>1</v>
      </c>
      <c r="E568" s="4" t="s">
        <v>12</v>
      </c>
      <c r="F568" s="4" t="s">
        <v>20</v>
      </c>
      <c r="G568" s="14">
        <v>5343.1060860769576</v>
      </c>
      <c r="H568" s="15">
        <v>5088.6724629304372</v>
      </c>
    </row>
    <row r="569" spans="1:8" x14ac:dyDescent="0.25">
      <c r="A569" s="16">
        <v>41</v>
      </c>
      <c r="B569" s="4" t="s">
        <v>11</v>
      </c>
      <c r="C569" s="4">
        <v>30.6</v>
      </c>
      <c r="D569" s="4">
        <v>2</v>
      </c>
      <c r="E569" s="4" t="s">
        <v>12</v>
      </c>
      <c r="F569" s="4" t="s">
        <v>20</v>
      </c>
      <c r="G569" s="14">
        <v>1213.4208954993014</v>
      </c>
      <c r="H569" s="15">
        <v>1617.8945273324018</v>
      </c>
    </row>
    <row r="570" spans="1:8" x14ac:dyDescent="0.25">
      <c r="A570" s="16">
        <v>49</v>
      </c>
      <c r="B570" s="4" t="s">
        <v>8</v>
      </c>
      <c r="C570" s="4">
        <v>31.9</v>
      </c>
      <c r="D570" s="4">
        <v>5</v>
      </c>
      <c r="E570" s="4" t="s">
        <v>12</v>
      </c>
      <c r="F570" s="4" t="s">
        <v>21</v>
      </c>
      <c r="G570" s="14">
        <v>2749.1183002808143</v>
      </c>
      <c r="H570" s="15">
        <v>3665.4910670410859</v>
      </c>
    </row>
    <row r="571" spans="1:8" x14ac:dyDescent="0.25">
      <c r="A571" s="16">
        <v>48</v>
      </c>
      <c r="B571" s="4" t="s">
        <v>11</v>
      </c>
      <c r="C571" s="4">
        <v>40.6</v>
      </c>
      <c r="D571" s="4">
        <v>2</v>
      </c>
      <c r="E571" s="4" t="s">
        <v>9</v>
      </c>
      <c r="F571" s="4" t="s">
        <v>20</v>
      </c>
      <c r="G571" s="14">
        <v>2593.5177436091317</v>
      </c>
      <c r="H571" s="15">
        <v>3458.0236581455092</v>
      </c>
    </row>
    <row r="572" spans="1:8" x14ac:dyDescent="0.25">
      <c r="A572" s="16">
        <v>31</v>
      </c>
      <c r="B572" s="4" t="s">
        <v>8</v>
      </c>
      <c r="C572" s="4">
        <v>23.1</v>
      </c>
      <c r="D572" s="4">
        <v>0</v>
      </c>
      <c r="E572" s="4" t="s">
        <v>12</v>
      </c>
      <c r="F572" s="4" t="s">
        <v>21</v>
      </c>
      <c r="G572" s="14">
        <v>1984.9053451460311</v>
      </c>
      <c r="H572" s="15">
        <v>2335.1827589953318</v>
      </c>
    </row>
    <row r="573" spans="1:8" x14ac:dyDescent="0.25">
      <c r="A573" s="16">
        <v>18</v>
      </c>
      <c r="B573" s="4" t="s">
        <v>8</v>
      </c>
      <c r="C573" s="4">
        <v>22.4</v>
      </c>
      <c r="D573" s="4">
        <v>1</v>
      </c>
      <c r="E573" s="4" t="s">
        <v>12</v>
      </c>
      <c r="F573" s="4" t="s">
        <v>13</v>
      </c>
      <c r="G573" s="14">
        <v>2392.0949160267037</v>
      </c>
      <c r="H573" s="15">
        <v>2814.2293129725931</v>
      </c>
    </row>
    <row r="574" spans="1:8" x14ac:dyDescent="0.25">
      <c r="A574" s="16">
        <v>30</v>
      </c>
      <c r="B574" s="4" t="s">
        <v>8</v>
      </c>
      <c r="C574" s="4">
        <v>43.1</v>
      </c>
      <c r="D574" s="4">
        <v>2</v>
      </c>
      <c r="E574" s="4" t="s">
        <v>12</v>
      </c>
      <c r="F574" s="4" t="s">
        <v>13</v>
      </c>
      <c r="G574" s="14">
        <v>3004.674973472801</v>
      </c>
      <c r="H574" s="15">
        <v>4006.2332979637349</v>
      </c>
    </row>
    <row r="575" spans="1:8" x14ac:dyDescent="0.25">
      <c r="A575" s="16">
        <v>62</v>
      </c>
      <c r="B575" s="4" t="s">
        <v>8</v>
      </c>
      <c r="C575" s="4">
        <v>36.9</v>
      </c>
      <c r="D575" s="4">
        <v>1</v>
      </c>
      <c r="E575" s="4" t="s">
        <v>12</v>
      </c>
      <c r="F575" s="4" t="s">
        <v>15</v>
      </c>
      <c r="G575" s="14">
        <v>6220.86640899539</v>
      </c>
      <c r="H575" s="15">
        <v>5924.6346752337067</v>
      </c>
    </row>
    <row r="576" spans="1:8" x14ac:dyDescent="0.25">
      <c r="A576" s="16">
        <v>57</v>
      </c>
      <c r="B576" s="4" t="s">
        <v>8</v>
      </c>
      <c r="C576" s="4">
        <v>34.299999999999997</v>
      </c>
      <c r="D576" s="4">
        <v>2</v>
      </c>
      <c r="E576" s="4" t="s">
        <v>12</v>
      </c>
      <c r="F576" s="4" t="s">
        <v>15</v>
      </c>
      <c r="G576" s="14">
        <v>1805.5186453498293</v>
      </c>
      <c r="H576" s="15">
        <v>2407.3581937997724</v>
      </c>
    </row>
    <row r="577" spans="1:8" x14ac:dyDescent="0.25">
      <c r="A577" s="16">
        <v>58</v>
      </c>
      <c r="B577" s="4" t="s">
        <v>8</v>
      </c>
      <c r="C577" s="4">
        <v>27.2</v>
      </c>
      <c r="D577" s="4">
        <v>0</v>
      </c>
      <c r="E577" s="4" t="s">
        <v>12</v>
      </c>
      <c r="F577" s="4" t="s">
        <v>20</v>
      </c>
      <c r="G577" s="14">
        <v>4400.8256123175779</v>
      </c>
      <c r="H577" s="15">
        <v>4191.2624879215045</v>
      </c>
    </row>
    <row r="578" spans="1:8" x14ac:dyDescent="0.25">
      <c r="A578" s="16">
        <v>22</v>
      </c>
      <c r="B578" s="4" t="s">
        <v>11</v>
      </c>
      <c r="C578" s="4">
        <v>20.6</v>
      </c>
      <c r="D578" s="4">
        <v>0</v>
      </c>
      <c r="E578" s="4" t="s">
        <v>12</v>
      </c>
      <c r="F578" s="4" t="s">
        <v>13</v>
      </c>
      <c r="G578" s="14">
        <v>1768.7903005542937</v>
      </c>
      <c r="H578" s="15">
        <v>2080.9297653579933</v>
      </c>
    </row>
    <row r="579" spans="1:8" x14ac:dyDescent="0.25">
      <c r="A579" s="16">
        <v>31</v>
      </c>
      <c r="B579" s="4" t="s">
        <v>8</v>
      </c>
      <c r="C579" s="4">
        <v>24.3</v>
      </c>
      <c r="D579" s="4">
        <v>1</v>
      </c>
      <c r="E579" s="4" t="s">
        <v>9</v>
      </c>
      <c r="F579" s="4" t="s">
        <v>15</v>
      </c>
      <c r="G579" s="14">
        <v>1384.0812768289024</v>
      </c>
      <c r="H579" s="15">
        <v>1628.3309139163566</v>
      </c>
    </row>
    <row r="580" spans="1:8" x14ac:dyDescent="0.25">
      <c r="A580" s="16">
        <v>52</v>
      </c>
      <c r="B580" s="4" t="s">
        <v>11</v>
      </c>
      <c r="C580" s="4">
        <v>30.2</v>
      </c>
      <c r="D580" s="4">
        <v>1</v>
      </c>
      <c r="E580" s="4" t="s">
        <v>12</v>
      </c>
      <c r="F580" s="4" t="s">
        <v>21</v>
      </c>
      <c r="G580" s="14">
        <v>5293.9159791797429</v>
      </c>
      <c r="H580" s="15">
        <v>5041.8247420759471</v>
      </c>
    </row>
    <row r="581" spans="1:8" x14ac:dyDescent="0.25">
      <c r="A581" s="16">
        <v>25</v>
      </c>
      <c r="B581" s="4" t="s">
        <v>8</v>
      </c>
      <c r="C581" s="4">
        <v>23.4</v>
      </c>
      <c r="D581" s="4">
        <v>0</v>
      </c>
      <c r="E581" s="4" t="s">
        <v>12</v>
      </c>
      <c r="F581" s="4" t="s">
        <v>15</v>
      </c>
      <c r="G581" s="14">
        <v>2370.6727129681703</v>
      </c>
      <c r="H581" s="15">
        <v>2789.0267211390246</v>
      </c>
    </row>
    <row r="582" spans="1:8" x14ac:dyDescent="0.25">
      <c r="A582" s="16">
        <v>59</v>
      </c>
      <c r="B582" s="4" t="s">
        <v>11</v>
      </c>
      <c r="C582" s="4">
        <v>25.5</v>
      </c>
      <c r="D582" s="4">
        <v>1</v>
      </c>
      <c r="E582" s="4" t="s">
        <v>12</v>
      </c>
      <c r="F582" s="4" t="s">
        <v>15</v>
      </c>
      <c r="G582" s="14">
        <v>4910.3464001060838</v>
      </c>
      <c r="H582" s="15">
        <v>4676.5203810534149</v>
      </c>
    </row>
    <row r="583" spans="1:8" x14ac:dyDescent="0.25">
      <c r="A583" s="16">
        <v>19</v>
      </c>
      <c r="B583" s="4" t="s">
        <v>11</v>
      </c>
      <c r="C583" s="4">
        <v>23.8</v>
      </c>
      <c r="D583" s="4">
        <v>0</v>
      </c>
      <c r="E583" s="4" t="s">
        <v>12</v>
      </c>
      <c r="F583" s="4" t="s">
        <v>20</v>
      </c>
      <c r="G583" s="14">
        <v>1834.7355568127025</v>
      </c>
      <c r="H583" s="15">
        <v>2158.5124197796508</v>
      </c>
    </row>
    <row r="584" spans="1:8" x14ac:dyDescent="0.25">
      <c r="A584" s="16">
        <v>39</v>
      </c>
      <c r="B584" s="4" t="s">
        <v>11</v>
      </c>
      <c r="C584" s="4">
        <v>45.4</v>
      </c>
      <c r="D584" s="4">
        <v>2</v>
      </c>
      <c r="E584" s="4" t="s">
        <v>12</v>
      </c>
      <c r="F584" s="4" t="s">
        <v>13</v>
      </c>
      <c r="G584" s="14">
        <v>1897.0441296953029</v>
      </c>
      <c r="H584" s="15">
        <v>2529.3921729270705</v>
      </c>
    </row>
    <row r="585" spans="1:8" x14ac:dyDescent="0.25">
      <c r="A585" s="16">
        <v>32</v>
      </c>
      <c r="B585" s="4" t="s">
        <v>8</v>
      </c>
      <c r="C585" s="4">
        <v>23.9</v>
      </c>
      <c r="D585" s="4">
        <v>1</v>
      </c>
      <c r="E585" s="4" t="s">
        <v>12</v>
      </c>
      <c r="F585" s="4" t="s">
        <v>13</v>
      </c>
      <c r="G585" s="14">
        <v>2099.8662246822582</v>
      </c>
      <c r="H585" s="15">
        <v>2470.4308525673632</v>
      </c>
    </row>
    <row r="586" spans="1:8" x14ac:dyDescent="0.25">
      <c r="A586" s="16">
        <v>19</v>
      </c>
      <c r="B586" s="4" t="s">
        <v>11</v>
      </c>
      <c r="C586" s="4">
        <v>25.7</v>
      </c>
      <c r="D586" s="4">
        <v>0</v>
      </c>
      <c r="E586" s="4" t="s">
        <v>12</v>
      </c>
      <c r="F586" s="4" t="s">
        <v>21</v>
      </c>
      <c r="G586" s="14">
        <v>1681.5847379542856</v>
      </c>
      <c r="H586" s="15">
        <v>1978.3349858285724</v>
      </c>
    </row>
    <row r="587" spans="1:8" x14ac:dyDescent="0.25">
      <c r="A587" s="16">
        <v>33</v>
      </c>
      <c r="B587" s="4" t="s">
        <v>8</v>
      </c>
      <c r="C587" s="4">
        <v>22</v>
      </c>
      <c r="D587" s="4">
        <v>1</v>
      </c>
      <c r="E587" s="4" t="s">
        <v>12</v>
      </c>
      <c r="F587" s="4" t="s">
        <v>13</v>
      </c>
      <c r="G587" s="14">
        <v>1685.2574309685183</v>
      </c>
      <c r="H587" s="15">
        <v>1982.6558011394341</v>
      </c>
    </row>
    <row r="588" spans="1:8" x14ac:dyDescent="0.25">
      <c r="A588" s="16">
        <v>21</v>
      </c>
      <c r="B588" s="4" t="s">
        <v>11</v>
      </c>
      <c r="C588" s="4">
        <v>20.2</v>
      </c>
      <c r="D588" s="4">
        <v>3</v>
      </c>
      <c r="E588" s="4" t="s">
        <v>12</v>
      </c>
      <c r="F588" s="4" t="s">
        <v>15</v>
      </c>
      <c r="G588" s="14">
        <v>2063.7641495595362</v>
      </c>
      <c r="H588" s="15">
        <v>2427.9578230112197</v>
      </c>
    </row>
    <row r="589" spans="1:8" x14ac:dyDescent="0.25">
      <c r="A589" s="16">
        <v>34</v>
      </c>
      <c r="B589" s="4" t="s">
        <v>8</v>
      </c>
      <c r="C589" s="4">
        <v>22</v>
      </c>
      <c r="D589" s="4">
        <v>1</v>
      </c>
      <c r="E589" s="4" t="s">
        <v>9</v>
      </c>
      <c r="F589" s="4" t="s">
        <v>20</v>
      </c>
      <c r="G589" s="14">
        <v>1791.4747216057369</v>
      </c>
      <c r="H589" s="15">
        <v>2107.6173195361616</v>
      </c>
    </row>
    <row r="590" spans="1:8" x14ac:dyDescent="0.25">
      <c r="A590" s="16">
        <v>61</v>
      </c>
      <c r="B590" s="4" t="s">
        <v>8</v>
      </c>
      <c r="C590" s="4">
        <v>35.9</v>
      </c>
      <c r="D590" s="4">
        <v>0</v>
      </c>
      <c r="E590" s="4" t="s">
        <v>12</v>
      </c>
      <c r="F590" s="4" t="s">
        <v>15</v>
      </c>
      <c r="G590" s="14">
        <v>5940.2416485247122</v>
      </c>
      <c r="H590" s="15">
        <v>5657.3729985949658</v>
      </c>
    </row>
    <row r="591" spans="1:8" x14ac:dyDescent="0.25">
      <c r="A591" s="16">
        <v>38</v>
      </c>
      <c r="B591" s="4" t="s">
        <v>8</v>
      </c>
      <c r="C591" s="4">
        <v>24.4</v>
      </c>
      <c r="D591" s="4">
        <v>1</v>
      </c>
      <c r="E591" s="4" t="s">
        <v>12</v>
      </c>
      <c r="F591" s="4" t="s">
        <v>13</v>
      </c>
      <c r="G591" s="14">
        <v>2233.555700474868</v>
      </c>
      <c r="H591" s="15">
        <v>2627.7125887939628</v>
      </c>
    </row>
    <row r="592" spans="1:8" x14ac:dyDescent="0.25">
      <c r="A592" s="16">
        <v>58</v>
      </c>
      <c r="B592" s="4" t="s">
        <v>8</v>
      </c>
      <c r="C592" s="4">
        <v>29</v>
      </c>
      <c r="D592" s="4">
        <v>0</v>
      </c>
      <c r="E592" s="4" t="s">
        <v>12</v>
      </c>
      <c r="F592" s="4" t="s">
        <v>21</v>
      </c>
      <c r="G592" s="14">
        <v>4735.2220676847974</v>
      </c>
      <c r="H592" s="15">
        <v>4509.7353025569519</v>
      </c>
    </row>
    <row r="593" spans="1:8" x14ac:dyDescent="0.25">
      <c r="A593" s="16">
        <v>47</v>
      </c>
      <c r="B593" s="4" t="s">
        <v>11</v>
      </c>
      <c r="C593" s="4">
        <v>19.600000000000001</v>
      </c>
      <c r="D593" s="4">
        <v>1</v>
      </c>
      <c r="E593" s="4" t="s">
        <v>12</v>
      </c>
      <c r="F593" s="4" t="s">
        <v>20</v>
      </c>
      <c r="G593" s="14">
        <v>3116.9242060213965</v>
      </c>
      <c r="H593" s="15">
        <v>3666.9696541428193</v>
      </c>
    </row>
    <row r="594" spans="1:8" x14ac:dyDescent="0.25">
      <c r="A594" s="16">
        <v>20</v>
      </c>
      <c r="B594" s="4" t="s">
        <v>11</v>
      </c>
      <c r="C594" s="4">
        <v>25.8</v>
      </c>
      <c r="D594" s="4">
        <v>2</v>
      </c>
      <c r="E594" s="4" t="s">
        <v>12</v>
      </c>
      <c r="F594" s="4" t="s">
        <v>13</v>
      </c>
      <c r="G594" s="14">
        <v>1477.8294788013925</v>
      </c>
      <c r="H594" s="15">
        <v>1738.6229162369327</v>
      </c>
    </row>
    <row r="595" spans="1:8" x14ac:dyDescent="0.25">
      <c r="A595" s="16">
        <v>21</v>
      </c>
      <c r="B595" s="4" t="s">
        <v>8</v>
      </c>
      <c r="C595" s="4">
        <v>22.1</v>
      </c>
      <c r="D595" s="4">
        <v>1</v>
      </c>
      <c r="E595" s="4" t="s">
        <v>9</v>
      </c>
      <c r="F595" s="4" t="s">
        <v>15</v>
      </c>
      <c r="G595" s="14">
        <v>1383.2050614901254</v>
      </c>
      <c r="H595" s="15">
        <v>1627.3000723413249</v>
      </c>
    </row>
    <row r="596" spans="1:8" x14ac:dyDescent="0.25">
      <c r="A596" s="16">
        <v>41</v>
      </c>
      <c r="B596" s="4" t="s">
        <v>11</v>
      </c>
      <c r="C596" s="4">
        <v>40.299999999999997</v>
      </c>
      <c r="D596" s="4">
        <v>0</v>
      </c>
      <c r="E596" s="4" t="s">
        <v>12</v>
      </c>
      <c r="F596" s="4" t="s">
        <v>13</v>
      </c>
      <c r="G596" s="14">
        <v>5049.7598353601752</v>
      </c>
      <c r="H596" s="15">
        <v>4809.2950812954059</v>
      </c>
    </row>
    <row r="597" spans="1:8" x14ac:dyDescent="0.25">
      <c r="A597" s="16">
        <v>46</v>
      </c>
      <c r="B597" s="4" t="s">
        <v>8</v>
      </c>
      <c r="C597" s="4">
        <v>33.700000000000003</v>
      </c>
      <c r="D597" s="4">
        <v>1</v>
      </c>
      <c r="E597" s="4" t="s">
        <v>12</v>
      </c>
      <c r="F597" s="4" t="s">
        <v>15</v>
      </c>
      <c r="G597" s="14">
        <v>5725.4478643275679</v>
      </c>
      <c r="H597" s="15">
        <v>5452.8074898357809</v>
      </c>
    </row>
    <row r="598" spans="1:8" x14ac:dyDescent="0.25">
      <c r="A598" s="16">
        <v>42</v>
      </c>
      <c r="B598" s="4" t="s">
        <v>8</v>
      </c>
      <c r="C598" s="4">
        <v>29.5</v>
      </c>
      <c r="D598" s="4">
        <v>2</v>
      </c>
      <c r="E598" s="4" t="s">
        <v>12</v>
      </c>
      <c r="F598" s="4" t="s">
        <v>13</v>
      </c>
      <c r="G598" s="14">
        <v>2764.0353056310023</v>
      </c>
      <c r="H598" s="15">
        <v>3685.3804075080029</v>
      </c>
    </row>
    <row r="599" spans="1:8" x14ac:dyDescent="0.25">
      <c r="A599" s="16">
        <v>34</v>
      </c>
      <c r="B599" s="4" t="s">
        <v>8</v>
      </c>
      <c r="C599" s="4">
        <v>25.5</v>
      </c>
      <c r="D599" s="4">
        <v>1</v>
      </c>
      <c r="E599" s="4" t="s">
        <v>12</v>
      </c>
      <c r="F599" s="4" t="s">
        <v>15</v>
      </c>
      <c r="G599" s="14">
        <v>2358.6086293950611</v>
      </c>
      <c r="H599" s="15">
        <v>2774.8336816412498</v>
      </c>
    </row>
    <row r="600" spans="1:8" x14ac:dyDescent="0.25">
      <c r="A600" s="16">
        <v>43</v>
      </c>
      <c r="B600" s="4" t="s">
        <v>11</v>
      </c>
      <c r="C600" s="4">
        <v>32.6</v>
      </c>
      <c r="D600" s="4">
        <v>2</v>
      </c>
      <c r="E600" s="4" t="s">
        <v>12</v>
      </c>
      <c r="F600" s="4" t="s">
        <v>21</v>
      </c>
      <c r="G600" s="14">
        <v>1348.1358485529938</v>
      </c>
      <c r="H600" s="15">
        <v>1797.5144647373252</v>
      </c>
    </row>
    <row r="601" spans="1:8" x14ac:dyDescent="0.25">
      <c r="A601" s="16">
        <v>52</v>
      </c>
      <c r="B601" s="4" t="s">
        <v>8</v>
      </c>
      <c r="C601" s="4">
        <v>37.5</v>
      </c>
      <c r="D601" s="4">
        <v>2</v>
      </c>
      <c r="E601" s="4" t="s">
        <v>12</v>
      </c>
      <c r="F601" s="4" t="s">
        <v>20</v>
      </c>
      <c r="G601" s="14">
        <v>2000.7932749540109</v>
      </c>
      <c r="H601" s="15">
        <v>2667.7243666053478</v>
      </c>
    </row>
    <row r="602" spans="1:8" x14ac:dyDescent="0.25">
      <c r="A602" s="16">
        <v>18</v>
      </c>
      <c r="B602" s="4" t="s">
        <v>8</v>
      </c>
      <c r="C602" s="4">
        <v>25</v>
      </c>
      <c r="D602" s="4">
        <v>0</v>
      </c>
      <c r="E602" s="4" t="s">
        <v>12</v>
      </c>
      <c r="F602" s="4" t="s">
        <v>13</v>
      </c>
      <c r="G602" s="14">
        <v>1305.4955750745098</v>
      </c>
      <c r="H602" s="15">
        <v>1535.8771471464831</v>
      </c>
    </row>
    <row r="603" spans="1:8" x14ac:dyDescent="0.25">
      <c r="A603" s="16">
        <v>51</v>
      </c>
      <c r="B603" s="4" t="s">
        <v>11</v>
      </c>
      <c r="C603" s="4">
        <v>31.6</v>
      </c>
      <c r="D603" s="4">
        <v>0</v>
      </c>
      <c r="E603" s="4" t="s">
        <v>12</v>
      </c>
      <c r="F603" s="4" t="s">
        <v>20</v>
      </c>
      <c r="G603" s="14">
        <v>4425.0231355034166</v>
      </c>
      <c r="H603" s="15">
        <v>4214.3077480984939</v>
      </c>
    </row>
    <row r="604" spans="1:8" x14ac:dyDescent="0.25">
      <c r="A604" s="16">
        <v>56</v>
      </c>
      <c r="B604" s="4" t="s">
        <v>8</v>
      </c>
      <c r="C604" s="4">
        <v>25.3</v>
      </c>
      <c r="D604" s="4">
        <v>0</v>
      </c>
      <c r="E604" s="4" t="s">
        <v>12</v>
      </c>
      <c r="F604" s="4" t="s">
        <v>21</v>
      </c>
      <c r="G604" s="14">
        <v>5275.407380657839</v>
      </c>
      <c r="H604" s="15">
        <v>5024.1975053884198</v>
      </c>
    </row>
    <row r="605" spans="1:8" x14ac:dyDescent="0.25">
      <c r="A605" s="16">
        <v>64</v>
      </c>
      <c r="B605" s="4" t="s">
        <v>8</v>
      </c>
      <c r="C605" s="4">
        <v>39.1</v>
      </c>
      <c r="D605" s="4">
        <v>3</v>
      </c>
      <c r="E605" s="4" t="s">
        <v>12</v>
      </c>
      <c r="F605" s="4" t="s">
        <v>13</v>
      </c>
      <c r="G605" s="14">
        <v>3838.2899887584472</v>
      </c>
      <c r="H605" s="15">
        <v>5117.7199850112629</v>
      </c>
    </row>
    <row r="606" spans="1:8" x14ac:dyDescent="0.25">
      <c r="A606" s="16">
        <v>19</v>
      </c>
      <c r="B606" s="4" t="s">
        <v>8</v>
      </c>
      <c r="C606" s="4">
        <v>21.9</v>
      </c>
      <c r="D606" s="4">
        <v>0</v>
      </c>
      <c r="E606" s="4" t="s">
        <v>9</v>
      </c>
      <c r="F606" s="4" t="s">
        <v>20</v>
      </c>
      <c r="G606" s="14">
        <v>1665.8445764481464</v>
      </c>
      <c r="H606" s="15">
        <v>1959.8171487625261</v>
      </c>
    </row>
    <row r="607" spans="1:8" x14ac:dyDescent="0.25">
      <c r="A607" s="16">
        <v>51</v>
      </c>
      <c r="B607" s="4" t="s">
        <v>8</v>
      </c>
      <c r="C607" s="4">
        <v>34.1</v>
      </c>
      <c r="D607" s="4">
        <v>0</v>
      </c>
      <c r="E607" s="4" t="s">
        <v>12</v>
      </c>
      <c r="F607" s="4" t="s">
        <v>13</v>
      </c>
      <c r="G607" s="14">
        <v>6116.9566426234087</v>
      </c>
      <c r="H607" s="15">
        <v>5825.6729929746771</v>
      </c>
    </row>
    <row r="608" spans="1:8" x14ac:dyDescent="0.25">
      <c r="A608" s="16">
        <v>27</v>
      </c>
      <c r="B608" s="4" t="s">
        <v>8</v>
      </c>
      <c r="C608" s="4">
        <v>24.3</v>
      </c>
      <c r="D608" s="4">
        <v>0</v>
      </c>
      <c r="E608" s="4" t="s">
        <v>12</v>
      </c>
      <c r="F608" s="4" t="s">
        <v>15</v>
      </c>
      <c r="G608" s="14">
        <v>2218.2129265548365</v>
      </c>
      <c r="H608" s="15">
        <v>2609.6622665351024</v>
      </c>
    </row>
    <row r="609" spans="1:8" x14ac:dyDescent="0.25">
      <c r="A609" s="16">
        <v>59</v>
      </c>
      <c r="B609" s="4" t="s">
        <v>8</v>
      </c>
      <c r="C609" s="4">
        <v>23.7</v>
      </c>
      <c r="D609" s="4">
        <v>0</v>
      </c>
      <c r="E609" s="4" t="s">
        <v>9</v>
      </c>
      <c r="F609" s="4" t="s">
        <v>20</v>
      </c>
      <c r="G609" s="14">
        <v>4693.2136902764169</v>
      </c>
      <c r="H609" s="15">
        <v>4469.7273240727791</v>
      </c>
    </row>
    <row r="610" spans="1:8" x14ac:dyDescent="0.25">
      <c r="A610" s="16">
        <v>28</v>
      </c>
      <c r="B610" s="4" t="s">
        <v>11</v>
      </c>
      <c r="C610" s="4">
        <v>27</v>
      </c>
      <c r="D610" s="4">
        <v>2</v>
      </c>
      <c r="E610" s="4" t="s">
        <v>12</v>
      </c>
      <c r="F610" s="4" t="s">
        <v>15</v>
      </c>
      <c r="G610" s="14">
        <v>1844.7524265510669</v>
      </c>
      <c r="H610" s="15">
        <v>2459.6699020680894</v>
      </c>
    </row>
    <row r="611" spans="1:8" x14ac:dyDescent="0.25">
      <c r="A611" s="16">
        <v>30</v>
      </c>
      <c r="B611" s="4" t="s">
        <v>11</v>
      </c>
      <c r="C611" s="4">
        <v>37.799999999999997</v>
      </c>
      <c r="D611" s="4">
        <v>2</v>
      </c>
      <c r="E611" s="4" t="s">
        <v>9</v>
      </c>
      <c r="F611" s="4" t="s">
        <v>21</v>
      </c>
      <c r="G611" s="14">
        <v>1102.8832814910741</v>
      </c>
      <c r="H611" s="15">
        <v>1470.5110419880987</v>
      </c>
    </row>
    <row r="612" spans="1:8" x14ac:dyDescent="0.25">
      <c r="A612" s="16">
        <v>47</v>
      </c>
      <c r="B612" s="4" t="s">
        <v>8</v>
      </c>
      <c r="C612" s="4">
        <v>29.4</v>
      </c>
      <c r="D612" s="4">
        <v>1</v>
      </c>
      <c r="E612" s="4" t="s">
        <v>12</v>
      </c>
      <c r="F612" s="4" t="s">
        <v>13</v>
      </c>
      <c r="G612" s="14">
        <v>4926.3394939243235</v>
      </c>
      <c r="H612" s="15">
        <v>4691.7518989755472</v>
      </c>
    </row>
    <row r="613" spans="1:8" x14ac:dyDescent="0.25">
      <c r="A613" s="16">
        <v>38</v>
      </c>
      <c r="B613" s="4" t="s">
        <v>8</v>
      </c>
      <c r="C613" s="4">
        <v>34.799999999999997</v>
      </c>
      <c r="D613" s="4">
        <v>2</v>
      </c>
      <c r="E613" s="4" t="s">
        <v>12</v>
      </c>
      <c r="F613" s="4" t="s">
        <v>21</v>
      </c>
      <c r="G613" s="14">
        <v>1874.3692452083774</v>
      </c>
      <c r="H613" s="15">
        <v>2499.15899361117</v>
      </c>
    </row>
    <row r="614" spans="1:8" x14ac:dyDescent="0.25">
      <c r="A614" s="16">
        <v>18</v>
      </c>
      <c r="B614" s="4" t="s">
        <v>8</v>
      </c>
      <c r="C614" s="4">
        <v>21.3</v>
      </c>
      <c r="D614" s="4">
        <v>0</v>
      </c>
      <c r="E614" s="4" t="s">
        <v>12</v>
      </c>
      <c r="F614" s="4" t="s">
        <v>15</v>
      </c>
      <c r="G614" s="14">
        <v>2164.2012005940646</v>
      </c>
      <c r="H614" s="15">
        <v>2546.1190595224298</v>
      </c>
    </row>
    <row r="615" spans="1:8" x14ac:dyDescent="0.25">
      <c r="A615" s="16">
        <v>34</v>
      </c>
      <c r="B615" s="4" t="s">
        <v>8</v>
      </c>
      <c r="C615" s="4">
        <v>19</v>
      </c>
      <c r="D615" s="4">
        <v>3</v>
      </c>
      <c r="E615" s="4" t="s">
        <v>12</v>
      </c>
      <c r="F615" s="4" t="s">
        <v>15</v>
      </c>
      <c r="G615" s="14">
        <v>1577.6532186706208</v>
      </c>
      <c r="H615" s="15">
        <v>2103.5376248941611</v>
      </c>
    </row>
    <row r="616" spans="1:8" x14ac:dyDescent="0.25">
      <c r="A616" s="16">
        <v>20</v>
      </c>
      <c r="B616" s="4" t="s">
        <v>8</v>
      </c>
      <c r="C616" s="4">
        <v>25.7</v>
      </c>
      <c r="D616" s="4">
        <v>0</v>
      </c>
      <c r="E616" s="4" t="s">
        <v>12</v>
      </c>
      <c r="F616" s="4" t="s">
        <v>13</v>
      </c>
      <c r="G616" s="14">
        <v>2354.9971340573775</v>
      </c>
      <c r="H616" s="15">
        <v>2770.5848635969155</v>
      </c>
    </row>
    <row r="617" spans="1:8" x14ac:dyDescent="0.25">
      <c r="A617" s="16">
        <v>47</v>
      </c>
      <c r="B617" s="4" t="s">
        <v>8</v>
      </c>
      <c r="C617" s="4">
        <v>36.6</v>
      </c>
      <c r="D617" s="4">
        <v>1</v>
      </c>
      <c r="E617" s="4" t="s">
        <v>9</v>
      </c>
      <c r="F617" s="4" t="s">
        <v>13</v>
      </c>
      <c r="G617" s="14">
        <v>3499.0189233002525</v>
      </c>
      <c r="H617" s="15">
        <v>3332.3989745716708</v>
      </c>
    </row>
    <row r="618" spans="1:8" x14ac:dyDescent="0.25">
      <c r="A618" s="16">
        <v>56</v>
      </c>
      <c r="B618" s="4" t="s">
        <v>8</v>
      </c>
      <c r="C618" s="4">
        <v>28.6</v>
      </c>
      <c r="D618" s="4">
        <v>0</v>
      </c>
      <c r="E618" s="4" t="s">
        <v>12</v>
      </c>
      <c r="F618" s="4" t="s">
        <v>15</v>
      </c>
      <c r="G618" s="14">
        <v>5548.9753155497419</v>
      </c>
      <c r="H618" s="15">
        <v>5284.7383957616603</v>
      </c>
    </row>
    <row r="619" spans="1:8" x14ac:dyDescent="0.25">
      <c r="A619" s="16">
        <v>49</v>
      </c>
      <c r="B619" s="4" t="s">
        <v>11</v>
      </c>
      <c r="C619" s="4">
        <v>25.6</v>
      </c>
      <c r="D619" s="4">
        <v>2</v>
      </c>
      <c r="E619" s="4" t="s">
        <v>9</v>
      </c>
      <c r="F619" s="4" t="s">
        <v>21</v>
      </c>
      <c r="G619" s="14">
        <v>2065.9364433993483</v>
      </c>
      <c r="H619" s="15">
        <v>2754.5819245324642</v>
      </c>
    </row>
    <row r="620" spans="1:8" x14ac:dyDescent="0.25">
      <c r="A620" s="16">
        <v>19</v>
      </c>
      <c r="B620" s="4" t="s">
        <v>8</v>
      </c>
      <c r="C620" s="4">
        <v>20.8</v>
      </c>
      <c r="D620" s="4">
        <v>0</v>
      </c>
      <c r="E620" s="4" t="s">
        <v>9</v>
      </c>
      <c r="F620" s="4" t="s">
        <v>13</v>
      </c>
      <c r="G620" s="14">
        <v>1562.6560235672694</v>
      </c>
      <c r="H620" s="15">
        <v>1838.4188512556118</v>
      </c>
    </row>
    <row r="621" spans="1:8" x14ac:dyDescent="0.25">
      <c r="A621" s="16">
        <v>55</v>
      </c>
      <c r="B621" s="4" t="s">
        <v>8</v>
      </c>
      <c r="C621" s="4">
        <v>37.1</v>
      </c>
      <c r="D621" s="4">
        <v>0</v>
      </c>
      <c r="E621" s="4" t="s">
        <v>12</v>
      </c>
      <c r="F621" s="4" t="s">
        <v>21</v>
      </c>
      <c r="G621" s="14">
        <v>4856.0236924531964</v>
      </c>
      <c r="H621" s="15">
        <v>4624.7844690030452</v>
      </c>
    </row>
    <row r="622" spans="1:8" x14ac:dyDescent="0.25">
      <c r="A622" s="16">
        <v>30</v>
      </c>
      <c r="B622" s="4" t="s">
        <v>11</v>
      </c>
      <c r="C622" s="4">
        <v>21</v>
      </c>
      <c r="D622" s="4">
        <v>1</v>
      </c>
      <c r="E622" s="4" t="s">
        <v>12</v>
      </c>
      <c r="F622" s="4" t="s">
        <v>21</v>
      </c>
      <c r="G622" s="14">
        <v>2038.9735054897963</v>
      </c>
      <c r="H622" s="15">
        <v>2398.7923593997612</v>
      </c>
    </row>
    <row r="623" spans="1:8" x14ac:dyDescent="0.25">
      <c r="A623" s="16">
        <v>37</v>
      </c>
      <c r="B623" s="4" t="s">
        <v>11</v>
      </c>
      <c r="C623" s="4">
        <v>34.1</v>
      </c>
      <c r="D623" s="4">
        <v>4</v>
      </c>
      <c r="E623" s="4" t="s">
        <v>9</v>
      </c>
      <c r="F623" s="4" t="s">
        <v>21</v>
      </c>
      <c r="G623" s="14">
        <v>3294.5250846796571</v>
      </c>
      <c r="H623" s="15">
        <v>4392.7001129062091</v>
      </c>
    </row>
    <row r="624" spans="1:8" x14ac:dyDescent="0.25">
      <c r="A624" s="16">
        <v>49</v>
      </c>
      <c r="B624" s="4" t="s">
        <v>8</v>
      </c>
      <c r="C624" s="4">
        <v>21.3</v>
      </c>
      <c r="D624" s="4">
        <v>1</v>
      </c>
      <c r="E624" s="4" t="s">
        <v>12</v>
      </c>
      <c r="F624" s="4" t="s">
        <v>21</v>
      </c>
      <c r="G624" s="14">
        <v>2151.8406429623342</v>
      </c>
      <c r="H624" s="15">
        <v>2531.5772270145112</v>
      </c>
    </row>
    <row r="625" spans="1:8" x14ac:dyDescent="0.25">
      <c r="A625" s="16">
        <v>18</v>
      </c>
      <c r="B625" s="4" t="s">
        <v>11</v>
      </c>
      <c r="C625" s="4">
        <v>22.5</v>
      </c>
      <c r="D625" s="4">
        <v>0</v>
      </c>
      <c r="E625" s="4" t="s">
        <v>9</v>
      </c>
      <c r="F625" s="4" t="s">
        <v>15</v>
      </c>
      <c r="G625" s="14">
        <v>1341.5124779361101</v>
      </c>
      <c r="H625" s="15">
        <v>1578.2499740424832</v>
      </c>
    </row>
    <row r="626" spans="1:8" x14ac:dyDescent="0.25">
      <c r="A626" s="16">
        <v>59</v>
      </c>
      <c r="B626" s="4" t="s">
        <v>11</v>
      </c>
      <c r="C626" s="4">
        <v>28.8</v>
      </c>
      <c r="D626" s="4">
        <v>0</v>
      </c>
      <c r="E626" s="4" t="s">
        <v>12</v>
      </c>
      <c r="F626" s="4" t="s">
        <v>20</v>
      </c>
      <c r="G626" s="14">
        <v>3665.049254457494</v>
      </c>
      <c r="H626" s="15">
        <v>3490.5230994833291</v>
      </c>
    </row>
    <row r="627" spans="1:8" x14ac:dyDescent="0.25">
      <c r="A627" s="16">
        <v>29</v>
      </c>
      <c r="B627" s="4" t="s">
        <v>8</v>
      </c>
      <c r="C627" s="4">
        <v>20.8</v>
      </c>
      <c r="D627" s="4">
        <v>0</v>
      </c>
      <c r="E627" s="4" t="s">
        <v>12</v>
      </c>
      <c r="F627" s="4" t="s">
        <v>20</v>
      </c>
      <c r="G627" s="14">
        <v>1543.9984290536881</v>
      </c>
      <c r="H627" s="15">
        <v>1816.4687400631633</v>
      </c>
    </row>
    <row r="628" spans="1:8" x14ac:dyDescent="0.25">
      <c r="A628" s="16">
        <v>36</v>
      </c>
      <c r="B628" s="4" t="s">
        <v>11</v>
      </c>
      <c r="C628" s="4">
        <v>28.9</v>
      </c>
      <c r="D628" s="4">
        <v>3</v>
      </c>
      <c r="E628" s="4" t="s">
        <v>12</v>
      </c>
      <c r="F628" s="4" t="s">
        <v>15</v>
      </c>
      <c r="G628" s="14">
        <v>2639.0889686902506</v>
      </c>
      <c r="H628" s="15">
        <v>3518.7852915870008</v>
      </c>
    </row>
    <row r="629" spans="1:8" x14ac:dyDescent="0.25">
      <c r="A629" s="16">
        <v>33</v>
      </c>
      <c r="B629" s="4" t="s">
        <v>11</v>
      </c>
      <c r="C629" s="4">
        <v>24.2</v>
      </c>
      <c r="D629" s="4">
        <v>1</v>
      </c>
      <c r="E629" s="4" t="s">
        <v>12</v>
      </c>
      <c r="F629" s="4" t="s">
        <v>13</v>
      </c>
      <c r="G629" s="14">
        <v>2391.4792659348532</v>
      </c>
      <c r="H629" s="15">
        <v>2813.505018746886</v>
      </c>
    </row>
    <row r="630" spans="1:8" x14ac:dyDescent="0.25">
      <c r="A630" s="16">
        <v>58</v>
      </c>
      <c r="B630" s="4" t="s">
        <v>11</v>
      </c>
      <c r="C630" s="4">
        <v>38</v>
      </c>
      <c r="D630" s="4">
        <v>0</v>
      </c>
      <c r="E630" s="4" t="s">
        <v>12</v>
      </c>
      <c r="F630" s="4" t="s">
        <v>21</v>
      </c>
      <c r="G630" s="14">
        <v>3817.7252095097551</v>
      </c>
      <c r="H630" s="15">
        <v>3635.9287709616733</v>
      </c>
    </row>
    <row r="631" spans="1:8" x14ac:dyDescent="0.25">
      <c r="A631" s="16">
        <v>44</v>
      </c>
      <c r="B631" s="4" t="s">
        <v>8</v>
      </c>
      <c r="C631" s="4">
        <v>39</v>
      </c>
      <c r="D631" s="4">
        <v>0</v>
      </c>
      <c r="E631" s="4" t="s">
        <v>9</v>
      </c>
      <c r="F631" s="4" t="s">
        <v>20</v>
      </c>
      <c r="G631" s="14">
        <v>4435.7217638136035</v>
      </c>
      <c r="H631" s="15">
        <v>4224.4969179177187</v>
      </c>
    </row>
    <row r="632" spans="1:8" x14ac:dyDescent="0.25">
      <c r="A632" s="16">
        <v>53</v>
      </c>
      <c r="B632" s="4" t="s">
        <v>11</v>
      </c>
      <c r="C632" s="4">
        <v>36.1</v>
      </c>
      <c r="D632" s="4">
        <v>1</v>
      </c>
      <c r="E632" s="4" t="s">
        <v>12</v>
      </c>
      <c r="F632" s="4" t="s">
        <v>21</v>
      </c>
      <c r="G632" s="14">
        <v>5417.9451972951065</v>
      </c>
      <c r="H632" s="15">
        <v>5159.9478069477218</v>
      </c>
    </row>
    <row r="633" spans="1:8" x14ac:dyDescent="0.25">
      <c r="A633" s="16">
        <v>24</v>
      </c>
      <c r="B633" s="4" t="s">
        <v>11</v>
      </c>
      <c r="C633" s="4">
        <v>20.399999999999999</v>
      </c>
      <c r="D633" s="4">
        <v>0</v>
      </c>
      <c r="E633" s="4" t="s">
        <v>12</v>
      </c>
      <c r="F633" s="4" t="s">
        <v>21</v>
      </c>
      <c r="G633" s="14">
        <v>2262.8795208706229</v>
      </c>
      <c r="H633" s="15">
        <v>2662.2112010242627</v>
      </c>
    </row>
    <row r="634" spans="1:8" x14ac:dyDescent="0.25">
      <c r="A634" s="16">
        <v>29</v>
      </c>
      <c r="B634" s="4" t="s">
        <v>8</v>
      </c>
      <c r="C634" s="4">
        <v>20.399999999999999</v>
      </c>
      <c r="D634" s="4">
        <v>0</v>
      </c>
      <c r="E634" s="4" t="s">
        <v>12</v>
      </c>
      <c r="F634" s="4" t="s">
        <v>13</v>
      </c>
      <c r="G634" s="14">
        <v>2502.3545483004018</v>
      </c>
      <c r="H634" s="15">
        <v>2943.9465274122385</v>
      </c>
    </row>
    <row r="635" spans="1:8" x14ac:dyDescent="0.25">
      <c r="A635" s="16">
        <v>40</v>
      </c>
      <c r="B635" s="4" t="s">
        <v>11</v>
      </c>
      <c r="C635" s="4">
        <v>22.7</v>
      </c>
      <c r="D635" s="4">
        <v>2</v>
      </c>
      <c r="E635" s="4" t="s">
        <v>12</v>
      </c>
      <c r="F635" s="4" t="s">
        <v>15</v>
      </c>
      <c r="G635" s="14">
        <v>2340.4815816127302</v>
      </c>
      <c r="H635" s="15">
        <v>3120.6421088169736</v>
      </c>
    </row>
    <row r="636" spans="1:8" x14ac:dyDescent="0.25">
      <c r="A636" s="16">
        <v>51</v>
      </c>
      <c r="B636" s="4" t="s">
        <v>11</v>
      </c>
      <c r="C636" s="4">
        <v>39.700000000000003</v>
      </c>
      <c r="D636" s="4">
        <v>1</v>
      </c>
      <c r="E636" s="4" t="s">
        <v>12</v>
      </c>
      <c r="F636" s="4" t="s">
        <v>21</v>
      </c>
      <c r="G636" s="14">
        <v>4653.602528925293</v>
      </c>
      <c r="H636" s="15">
        <v>4432.0024085002806</v>
      </c>
    </row>
    <row r="637" spans="1:8" x14ac:dyDescent="0.25">
      <c r="A637" s="16">
        <v>64</v>
      </c>
      <c r="B637" s="4" t="s">
        <v>11</v>
      </c>
      <c r="C637" s="4">
        <v>38.200000000000003</v>
      </c>
      <c r="D637" s="4">
        <v>0</v>
      </c>
      <c r="E637" s="4" t="s">
        <v>12</v>
      </c>
      <c r="F637" s="4" t="s">
        <v>15</v>
      </c>
      <c r="G637" s="14">
        <v>4526.177396157248</v>
      </c>
      <c r="H637" s="15">
        <v>4310.6451391973806</v>
      </c>
    </row>
    <row r="638" spans="1:8" x14ac:dyDescent="0.25">
      <c r="A638" s="16">
        <v>19</v>
      </c>
      <c r="B638" s="4" t="s">
        <v>8</v>
      </c>
      <c r="C638" s="4">
        <v>24.5</v>
      </c>
      <c r="D638" s="4">
        <v>1</v>
      </c>
      <c r="E638" s="4" t="s">
        <v>12</v>
      </c>
      <c r="F638" s="4" t="s">
        <v>20</v>
      </c>
      <c r="G638" s="14">
        <v>1995.3193817865022</v>
      </c>
      <c r="H638" s="15">
        <v>2347.4345668076508</v>
      </c>
    </row>
    <row r="639" spans="1:8" x14ac:dyDescent="0.25">
      <c r="A639" s="16">
        <v>35</v>
      </c>
      <c r="B639" s="4" t="s">
        <v>8</v>
      </c>
      <c r="C639" s="4">
        <v>38.1</v>
      </c>
      <c r="D639" s="4">
        <v>2</v>
      </c>
      <c r="E639" s="4" t="s">
        <v>12</v>
      </c>
      <c r="F639" s="4" t="s">
        <v>15</v>
      </c>
      <c r="G639" s="14">
        <v>1537.0756877884346</v>
      </c>
      <c r="H639" s="15">
        <v>2049.4342503845796</v>
      </c>
    </row>
    <row r="640" spans="1:8" x14ac:dyDescent="0.25">
      <c r="A640" s="16">
        <v>39</v>
      </c>
      <c r="B640" s="4" t="s">
        <v>11</v>
      </c>
      <c r="C640" s="4">
        <v>21</v>
      </c>
      <c r="D640" s="4">
        <v>0</v>
      </c>
      <c r="E640" s="4" t="s">
        <v>9</v>
      </c>
      <c r="F640" s="4" t="s">
        <v>15</v>
      </c>
      <c r="G640" s="14">
        <v>2158.5271865007826</v>
      </c>
      <c r="H640" s="15">
        <v>2539.4437488244507</v>
      </c>
    </row>
    <row r="641" spans="1:8" x14ac:dyDescent="0.25">
      <c r="A641" s="16">
        <v>56</v>
      </c>
      <c r="B641" s="4" t="s">
        <v>11</v>
      </c>
      <c r="C641" s="4">
        <v>33.700000000000003</v>
      </c>
      <c r="D641" s="4">
        <v>4</v>
      </c>
      <c r="E641" s="4" t="s">
        <v>12</v>
      </c>
      <c r="F641" s="4" t="s">
        <v>13</v>
      </c>
      <c r="G641" s="14">
        <v>2456.1091586444518</v>
      </c>
      <c r="H641" s="15">
        <v>3274.8122115259357</v>
      </c>
    </row>
    <row r="642" spans="1:8" x14ac:dyDescent="0.25">
      <c r="A642" s="16">
        <v>33</v>
      </c>
      <c r="B642" s="4" t="s">
        <v>11</v>
      </c>
      <c r="C642" s="4">
        <v>42.4</v>
      </c>
      <c r="D642" s="4">
        <v>5</v>
      </c>
      <c r="E642" s="4" t="s">
        <v>12</v>
      </c>
      <c r="F642" s="4" t="s">
        <v>21</v>
      </c>
      <c r="G642" s="14">
        <v>3226.8722842962188</v>
      </c>
      <c r="H642" s="15">
        <v>4302.4963790616248</v>
      </c>
    </row>
    <row r="643" spans="1:8" x14ac:dyDescent="0.25">
      <c r="A643" s="16">
        <v>42</v>
      </c>
      <c r="B643" s="4" t="s">
        <v>11</v>
      </c>
      <c r="C643" s="4">
        <v>28.3</v>
      </c>
      <c r="D643" s="4">
        <v>3</v>
      </c>
      <c r="E643" s="4" t="s">
        <v>9</v>
      </c>
      <c r="F643" s="4" t="s">
        <v>20</v>
      </c>
      <c r="G643" s="14">
        <v>2266.8127467072813</v>
      </c>
      <c r="H643" s="15">
        <v>3022.4169956097085</v>
      </c>
    </row>
    <row r="644" spans="1:8" x14ac:dyDescent="0.25">
      <c r="A644" s="16">
        <v>61</v>
      </c>
      <c r="B644" s="4" t="s">
        <v>11</v>
      </c>
      <c r="C644" s="4">
        <v>33.9</v>
      </c>
      <c r="D644" s="4">
        <v>0</v>
      </c>
      <c r="E644" s="4" t="s">
        <v>12</v>
      </c>
      <c r="F644" s="4" t="s">
        <v>15</v>
      </c>
      <c r="G644" s="14">
        <v>4943.805121690646</v>
      </c>
      <c r="H644" s="15">
        <v>4708.3858301815699</v>
      </c>
    </row>
    <row r="645" spans="1:8" x14ac:dyDescent="0.25">
      <c r="A645" s="16">
        <v>23</v>
      </c>
      <c r="B645" s="4" t="s">
        <v>8</v>
      </c>
      <c r="C645" s="4">
        <v>35</v>
      </c>
      <c r="D645" s="4">
        <v>3</v>
      </c>
      <c r="E645" s="4" t="s">
        <v>12</v>
      </c>
      <c r="F645" s="4" t="s">
        <v>20</v>
      </c>
      <c r="G645" s="14">
        <v>1396.9194641230911</v>
      </c>
      <c r="H645" s="15">
        <v>1862.5592854974548</v>
      </c>
    </row>
    <row r="646" spans="1:8" x14ac:dyDescent="0.25">
      <c r="A646" s="16">
        <v>43</v>
      </c>
      <c r="B646" s="4" t="s">
        <v>11</v>
      </c>
      <c r="C646" s="4">
        <v>35.299999999999997</v>
      </c>
      <c r="D646" s="4">
        <v>2</v>
      </c>
      <c r="E646" s="4" t="s">
        <v>12</v>
      </c>
      <c r="F646" s="4" t="s">
        <v>13</v>
      </c>
      <c r="G646" s="14">
        <v>2751.3993007591334</v>
      </c>
      <c r="H646" s="15">
        <v>3668.5324010121781</v>
      </c>
    </row>
    <row r="647" spans="1:8" x14ac:dyDescent="0.25">
      <c r="A647" s="16">
        <v>48</v>
      </c>
      <c r="B647" s="4" t="s">
        <v>11</v>
      </c>
      <c r="C647" s="4">
        <v>30.8</v>
      </c>
      <c r="D647" s="4">
        <v>3</v>
      </c>
      <c r="E647" s="4" t="s">
        <v>12</v>
      </c>
      <c r="F647" s="4" t="s">
        <v>15</v>
      </c>
      <c r="G647" s="14">
        <v>2491.646109276332</v>
      </c>
      <c r="H647" s="15">
        <v>3322.1948123684429</v>
      </c>
    </row>
    <row r="648" spans="1:8" x14ac:dyDescent="0.25">
      <c r="A648" s="16">
        <v>39</v>
      </c>
      <c r="B648" s="4" t="s">
        <v>11</v>
      </c>
      <c r="C648" s="4">
        <v>24.4</v>
      </c>
      <c r="D648" s="4">
        <v>1</v>
      </c>
      <c r="E648" s="4" t="s">
        <v>12</v>
      </c>
      <c r="F648" s="4" t="s">
        <v>20</v>
      </c>
      <c r="G648" s="14">
        <v>1500.9600551444748</v>
      </c>
      <c r="H648" s="15">
        <v>1765.8353589935007</v>
      </c>
    </row>
    <row r="649" spans="1:8" x14ac:dyDescent="0.25">
      <c r="A649" s="16">
        <v>40</v>
      </c>
      <c r="B649" s="4" t="s">
        <v>8</v>
      </c>
      <c r="C649" s="4">
        <v>23.4</v>
      </c>
      <c r="D649" s="4">
        <v>3</v>
      </c>
      <c r="E649" s="4" t="s">
        <v>12</v>
      </c>
      <c r="F649" s="4" t="s">
        <v>15</v>
      </c>
      <c r="G649" s="14">
        <v>1927.1926771981418</v>
      </c>
      <c r="H649" s="15">
        <v>2569.5902362641891</v>
      </c>
    </row>
    <row r="650" spans="1:8" x14ac:dyDescent="0.25">
      <c r="A650" s="16">
        <v>18</v>
      </c>
      <c r="B650" s="4" t="s">
        <v>11</v>
      </c>
      <c r="C650" s="4">
        <v>22.7</v>
      </c>
      <c r="D650" s="4">
        <v>0</v>
      </c>
      <c r="E650" s="4" t="s">
        <v>12</v>
      </c>
      <c r="F650" s="4" t="s">
        <v>15</v>
      </c>
      <c r="G650" s="14">
        <v>1948.3062408612454</v>
      </c>
      <c r="H650" s="15">
        <v>2292.1249892485248</v>
      </c>
    </row>
    <row r="651" spans="1:8" x14ac:dyDescent="0.25">
      <c r="A651" s="16">
        <v>58</v>
      </c>
      <c r="B651" s="4" t="s">
        <v>8</v>
      </c>
      <c r="C651" s="4">
        <v>33</v>
      </c>
      <c r="D651" s="4">
        <v>0</v>
      </c>
      <c r="E651" s="4" t="s">
        <v>12</v>
      </c>
      <c r="F651" s="4" t="s">
        <v>15</v>
      </c>
      <c r="G651" s="14">
        <v>3687.7849785616354</v>
      </c>
      <c r="H651" s="15">
        <v>3512.1761700587022</v>
      </c>
    </row>
    <row r="652" spans="1:8" x14ac:dyDescent="0.25">
      <c r="A652" s="16">
        <v>49</v>
      </c>
      <c r="B652" s="4" t="s">
        <v>8</v>
      </c>
      <c r="C652" s="4">
        <v>42.7</v>
      </c>
      <c r="D652" s="4">
        <v>2</v>
      </c>
      <c r="E652" s="4" t="s">
        <v>12</v>
      </c>
      <c r="F652" s="4" t="s">
        <v>13</v>
      </c>
      <c r="G652" s="14">
        <v>3534.9513471137298</v>
      </c>
      <c r="H652" s="15">
        <v>4713.268462818306</v>
      </c>
    </row>
    <row r="653" spans="1:8" x14ac:dyDescent="0.25">
      <c r="A653" s="16">
        <v>53</v>
      </c>
      <c r="B653" s="4" t="s">
        <v>8</v>
      </c>
      <c r="C653" s="4">
        <v>39.6</v>
      </c>
      <c r="D653" s="4">
        <v>1</v>
      </c>
      <c r="E653" s="4" t="s">
        <v>12</v>
      </c>
      <c r="F653" s="4" t="s">
        <v>13</v>
      </c>
      <c r="G653" s="14">
        <v>4483.1482350054139</v>
      </c>
      <c r="H653" s="15">
        <v>4269.6649857194425</v>
      </c>
    </row>
    <row r="654" spans="1:8" x14ac:dyDescent="0.25">
      <c r="A654" s="16">
        <v>48</v>
      </c>
      <c r="B654" s="4" t="s">
        <v>8</v>
      </c>
      <c r="C654" s="4">
        <v>31.1</v>
      </c>
      <c r="D654" s="4">
        <v>0</v>
      </c>
      <c r="E654" s="4" t="s">
        <v>12</v>
      </c>
      <c r="F654" s="4" t="s">
        <v>13</v>
      </c>
      <c r="G654" s="14">
        <v>5019.2326633054263</v>
      </c>
      <c r="H654" s="15">
        <v>4780.2215841004072</v>
      </c>
    </row>
    <row r="655" spans="1:8" x14ac:dyDescent="0.25">
      <c r="A655" s="16">
        <v>45</v>
      </c>
      <c r="B655" s="4" t="s">
        <v>8</v>
      </c>
      <c r="C655" s="4">
        <v>36.299999999999997</v>
      </c>
      <c r="D655" s="4">
        <v>2</v>
      </c>
      <c r="E655" s="4" t="s">
        <v>12</v>
      </c>
      <c r="F655" s="4" t="s">
        <v>13</v>
      </c>
      <c r="G655" s="14">
        <v>1434.0410477806849</v>
      </c>
      <c r="H655" s="15">
        <v>1912.0547303742467</v>
      </c>
    </row>
    <row r="656" spans="1:8" x14ac:dyDescent="0.25">
      <c r="A656" s="16">
        <v>59</v>
      </c>
      <c r="B656" s="4" t="s">
        <v>8</v>
      </c>
      <c r="C656" s="4">
        <v>35.200000000000003</v>
      </c>
      <c r="D656" s="4">
        <v>0</v>
      </c>
      <c r="E656" s="4" t="s">
        <v>12</v>
      </c>
      <c r="F656" s="4" t="s">
        <v>13</v>
      </c>
      <c r="G656" s="14">
        <v>4061.3840591493527</v>
      </c>
      <c r="H656" s="15">
        <v>3867.9848182374799</v>
      </c>
    </row>
    <row r="657" spans="1:8" x14ac:dyDescent="0.25">
      <c r="A657" s="16">
        <v>52</v>
      </c>
      <c r="B657" s="4" t="s">
        <v>8</v>
      </c>
      <c r="C657" s="4">
        <v>25.3</v>
      </c>
      <c r="D657" s="4">
        <v>2</v>
      </c>
      <c r="E657" s="4" t="s">
        <v>9</v>
      </c>
      <c r="F657" s="4" t="s">
        <v>13</v>
      </c>
      <c r="G657" s="14">
        <v>2257.8293332627177</v>
      </c>
      <c r="H657" s="15">
        <v>3010.4391110169568</v>
      </c>
    </row>
    <row r="658" spans="1:8" x14ac:dyDescent="0.25">
      <c r="A658" s="16">
        <v>26</v>
      </c>
      <c r="B658" s="4" t="s">
        <v>8</v>
      </c>
      <c r="C658" s="4">
        <v>21.6</v>
      </c>
      <c r="D658" s="4">
        <v>1</v>
      </c>
      <c r="E658" s="4" t="s">
        <v>12</v>
      </c>
      <c r="F658" s="4" t="s">
        <v>21</v>
      </c>
      <c r="G658" s="14">
        <v>2112.2281685852954</v>
      </c>
      <c r="H658" s="15">
        <v>2484.9743159827012</v>
      </c>
    </row>
    <row r="659" spans="1:8" x14ac:dyDescent="0.25">
      <c r="A659" s="16">
        <v>27</v>
      </c>
      <c r="B659" s="4" t="s">
        <v>11</v>
      </c>
      <c r="C659" s="4">
        <v>33.200000000000003</v>
      </c>
      <c r="D659" s="4">
        <v>2</v>
      </c>
      <c r="E659" s="4" t="s">
        <v>12</v>
      </c>
      <c r="F659" s="4" t="s">
        <v>20</v>
      </c>
      <c r="G659" s="14">
        <v>2772.9202048182906</v>
      </c>
      <c r="H659" s="15">
        <v>3697.2269397577206</v>
      </c>
    </row>
    <row r="660" spans="1:8" x14ac:dyDescent="0.25">
      <c r="A660" s="16">
        <v>48</v>
      </c>
      <c r="B660" s="4" t="s">
        <v>8</v>
      </c>
      <c r="C660" s="4">
        <v>35.9</v>
      </c>
      <c r="D660" s="4">
        <v>1</v>
      </c>
      <c r="E660" s="4" t="s">
        <v>12</v>
      </c>
      <c r="F660" s="4" t="s">
        <v>15</v>
      </c>
      <c r="G660" s="14">
        <v>4702.4598316809916</v>
      </c>
      <c r="H660" s="15">
        <v>4478.5331730295175</v>
      </c>
    </row>
    <row r="661" spans="1:8" x14ac:dyDescent="0.25">
      <c r="A661" s="16">
        <v>57</v>
      </c>
      <c r="B661" s="4" t="s">
        <v>8</v>
      </c>
      <c r="C661" s="4">
        <v>28.8</v>
      </c>
      <c r="D661" s="4">
        <v>4</v>
      </c>
      <c r="E661" s="4" t="s">
        <v>12</v>
      </c>
      <c r="F661" s="4" t="s">
        <v>15</v>
      </c>
      <c r="G661" s="14">
        <v>1671.2900483543576</v>
      </c>
      <c r="H661" s="15">
        <v>2228.3867311391436</v>
      </c>
    </row>
    <row r="662" spans="1:8" x14ac:dyDescent="0.25">
      <c r="A662" s="16">
        <v>37</v>
      </c>
      <c r="B662" s="4" t="s">
        <v>11</v>
      </c>
      <c r="C662" s="4">
        <v>46.5</v>
      </c>
      <c r="D662" s="4">
        <v>3</v>
      </c>
      <c r="E662" s="4" t="s">
        <v>12</v>
      </c>
      <c r="F662" s="4" t="s">
        <v>13</v>
      </c>
      <c r="G662" s="14">
        <v>3340.6868153749415</v>
      </c>
      <c r="H662" s="15">
        <v>4454.2490871665887</v>
      </c>
    </row>
    <row r="663" spans="1:8" x14ac:dyDescent="0.25">
      <c r="A663" s="16">
        <v>57</v>
      </c>
      <c r="B663" s="4" t="s">
        <v>8</v>
      </c>
      <c r="C663" s="4">
        <v>24</v>
      </c>
      <c r="D663" s="4">
        <v>1</v>
      </c>
      <c r="E663" s="4" t="s">
        <v>12</v>
      </c>
      <c r="F663" s="4" t="s">
        <v>13</v>
      </c>
      <c r="G663" s="14">
        <v>4779.3148038992585</v>
      </c>
      <c r="H663" s="15">
        <v>4551.7283846659611</v>
      </c>
    </row>
    <row r="664" spans="1:8" x14ac:dyDescent="0.25">
      <c r="A664" s="16">
        <v>32</v>
      </c>
      <c r="B664" s="4" t="s">
        <v>8</v>
      </c>
      <c r="C664" s="4">
        <v>21.2</v>
      </c>
      <c r="D664" s="4">
        <v>1</v>
      </c>
      <c r="E664" s="4" t="s">
        <v>12</v>
      </c>
      <c r="F664" s="4" t="s">
        <v>15</v>
      </c>
      <c r="G664" s="14">
        <v>2022.3545064918821</v>
      </c>
      <c r="H664" s="15">
        <v>2379.2405958728032</v>
      </c>
    </row>
    <row r="665" spans="1:8" x14ac:dyDescent="0.25">
      <c r="A665" s="16">
        <v>18</v>
      </c>
      <c r="B665" s="4" t="s">
        <v>11</v>
      </c>
      <c r="C665" s="4">
        <v>20.5</v>
      </c>
      <c r="D665" s="4">
        <v>0</v>
      </c>
      <c r="E665" s="4" t="s">
        <v>12</v>
      </c>
      <c r="F665" s="4" t="s">
        <v>13</v>
      </c>
      <c r="G665" s="14">
        <v>1412.0581536922566</v>
      </c>
      <c r="H665" s="15">
        <v>1661.2448866967734</v>
      </c>
    </row>
    <row r="666" spans="1:8" x14ac:dyDescent="0.25">
      <c r="A666" s="16">
        <v>64</v>
      </c>
      <c r="B666" s="4" t="s">
        <v>8</v>
      </c>
      <c r="C666" s="4">
        <v>23</v>
      </c>
      <c r="D666" s="4">
        <v>0</v>
      </c>
      <c r="E666" s="4" t="s">
        <v>9</v>
      </c>
      <c r="F666" s="4" t="s">
        <v>13</v>
      </c>
      <c r="G666" s="14">
        <v>4651.6946411434465</v>
      </c>
      <c r="H666" s="15">
        <v>4430.1853725175697</v>
      </c>
    </row>
    <row r="667" spans="1:8" x14ac:dyDescent="0.25">
      <c r="A667" s="16">
        <v>43</v>
      </c>
      <c r="B667" s="4" t="s">
        <v>11</v>
      </c>
      <c r="C667" s="4">
        <v>38.1</v>
      </c>
      <c r="D667" s="4">
        <v>2</v>
      </c>
      <c r="E667" s="4" t="s">
        <v>9</v>
      </c>
      <c r="F667" s="4" t="s">
        <v>13</v>
      </c>
      <c r="G667" s="14">
        <v>2871.7488507611888</v>
      </c>
      <c r="H667" s="15">
        <v>3828.9984676815848</v>
      </c>
    </row>
    <row r="668" spans="1:8" x14ac:dyDescent="0.25">
      <c r="A668" s="16">
        <v>49</v>
      </c>
      <c r="B668" s="4" t="s">
        <v>11</v>
      </c>
      <c r="C668" s="4">
        <v>28.7</v>
      </c>
      <c r="D668" s="4">
        <v>1</v>
      </c>
      <c r="E668" s="4" t="s">
        <v>12</v>
      </c>
      <c r="F668" s="4" t="s">
        <v>21</v>
      </c>
      <c r="G668" s="14">
        <v>4750.1687035122341</v>
      </c>
      <c r="H668" s="15">
        <v>4523.9701938211765</v>
      </c>
    </row>
    <row r="669" spans="1:8" x14ac:dyDescent="0.25">
      <c r="A669" s="16">
        <v>40</v>
      </c>
      <c r="B669" s="4" t="s">
        <v>8</v>
      </c>
      <c r="C669" s="4">
        <v>32.799999999999997</v>
      </c>
      <c r="D669" s="4">
        <v>2</v>
      </c>
      <c r="E669" s="4" t="s">
        <v>9</v>
      </c>
      <c r="F669" s="4" t="s">
        <v>20</v>
      </c>
      <c r="G669" s="14">
        <v>1273.4736501329107</v>
      </c>
      <c r="H669" s="15">
        <v>1697.9648668438811</v>
      </c>
    </row>
    <row r="670" spans="1:8" x14ac:dyDescent="0.25">
      <c r="A670" s="16">
        <v>62</v>
      </c>
      <c r="B670" s="4" t="s">
        <v>11</v>
      </c>
      <c r="C670" s="4">
        <v>32</v>
      </c>
      <c r="D670" s="4">
        <v>0</v>
      </c>
      <c r="E670" s="4" t="s">
        <v>9</v>
      </c>
      <c r="F670" s="4" t="s">
        <v>15</v>
      </c>
      <c r="G670" s="14">
        <v>5089.6832323934977</v>
      </c>
      <c r="H670" s="15">
        <v>4847.3173641842841</v>
      </c>
    </row>
    <row r="671" spans="1:8" x14ac:dyDescent="0.25">
      <c r="A671" s="16">
        <v>40</v>
      </c>
      <c r="B671" s="4" t="s">
        <v>8</v>
      </c>
      <c r="C671" s="4">
        <v>29.8</v>
      </c>
      <c r="D671" s="4">
        <v>1</v>
      </c>
      <c r="E671" s="4" t="s">
        <v>12</v>
      </c>
      <c r="F671" s="4" t="s">
        <v>13</v>
      </c>
      <c r="G671" s="14">
        <v>4165.8651047938265</v>
      </c>
      <c r="H671" s="15">
        <v>3967.4905759941221</v>
      </c>
    </row>
    <row r="672" spans="1:8" x14ac:dyDescent="0.25">
      <c r="A672" s="16">
        <v>30</v>
      </c>
      <c r="B672" s="4" t="s">
        <v>11</v>
      </c>
      <c r="C672" s="4">
        <v>31.6</v>
      </c>
      <c r="D672" s="4">
        <v>3</v>
      </c>
      <c r="E672" s="4" t="s">
        <v>12</v>
      </c>
      <c r="F672" s="4" t="s">
        <v>13</v>
      </c>
      <c r="G672" s="14">
        <v>1539.8009993466717</v>
      </c>
      <c r="H672" s="15">
        <v>2053.0679991288957</v>
      </c>
    </row>
    <row r="673" spans="1:8" x14ac:dyDescent="0.25">
      <c r="A673" s="16">
        <v>29</v>
      </c>
      <c r="B673" s="4" t="s">
        <v>8</v>
      </c>
      <c r="C673" s="4">
        <v>20.100000000000001</v>
      </c>
      <c r="D673" s="4">
        <v>0</v>
      </c>
      <c r="E673" s="4" t="s">
        <v>12</v>
      </c>
      <c r="F673" s="4" t="s">
        <v>15</v>
      </c>
      <c r="G673" s="14">
        <v>1506.2785878603386</v>
      </c>
      <c r="H673" s="15">
        <v>1772.0924563062813</v>
      </c>
    </row>
    <row r="674" spans="1:8" x14ac:dyDescent="0.25">
      <c r="A674" s="16">
        <v>36</v>
      </c>
      <c r="B674" s="4" t="s">
        <v>11</v>
      </c>
      <c r="C674" s="4">
        <v>22.7</v>
      </c>
      <c r="D674" s="4">
        <v>0</v>
      </c>
      <c r="E674" s="4" t="s">
        <v>12</v>
      </c>
      <c r="F674" s="4" t="s">
        <v>13</v>
      </c>
      <c r="G674" s="14">
        <v>2197.0328811895147</v>
      </c>
      <c r="H674" s="15">
        <v>2584.7445661053121</v>
      </c>
    </row>
    <row r="675" spans="1:8" x14ac:dyDescent="0.25">
      <c r="A675" s="16">
        <v>41</v>
      </c>
      <c r="B675" s="4" t="s">
        <v>8</v>
      </c>
      <c r="C675" s="4">
        <v>31</v>
      </c>
      <c r="D675" s="4">
        <v>0</v>
      </c>
      <c r="E675" s="4" t="s">
        <v>12</v>
      </c>
      <c r="F675" s="4" t="s">
        <v>13</v>
      </c>
      <c r="G675" s="14">
        <v>5445.1691794785202</v>
      </c>
      <c r="H675" s="15">
        <v>5185.8754090271632</v>
      </c>
    </row>
    <row r="676" spans="1:8" x14ac:dyDescent="0.25">
      <c r="A676" s="16">
        <v>44</v>
      </c>
      <c r="B676" s="4" t="s">
        <v>8</v>
      </c>
      <c r="C676" s="4">
        <v>43.9</v>
      </c>
      <c r="D676" s="4">
        <v>2</v>
      </c>
      <c r="E676" s="4" t="s">
        <v>9</v>
      </c>
      <c r="F676" s="4" t="s">
        <v>13</v>
      </c>
      <c r="G676" s="14">
        <v>2625.3795750677555</v>
      </c>
      <c r="H676" s="15">
        <v>3500.5061000903406</v>
      </c>
    </row>
    <row r="677" spans="1:8" x14ac:dyDescent="0.25">
      <c r="A677" s="16">
        <v>45</v>
      </c>
      <c r="B677" s="4" t="s">
        <v>11</v>
      </c>
      <c r="C677" s="4">
        <v>21.4</v>
      </c>
      <c r="D677" s="4">
        <v>0</v>
      </c>
      <c r="E677" s="4" t="s">
        <v>12</v>
      </c>
      <c r="F677" s="4" t="s">
        <v>20</v>
      </c>
      <c r="G677" s="14">
        <v>1656.8186750326204</v>
      </c>
      <c r="H677" s="15">
        <v>1949.1984412148483</v>
      </c>
    </row>
    <row r="678" spans="1:8" x14ac:dyDescent="0.25">
      <c r="A678" s="16">
        <v>55</v>
      </c>
      <c r="B678" s="4" t="s">
        <v>8</v>
      </c>
      <c r="C678" s="4">
        <v>40.799999999999997</v>
      </c>
      <c r="D678" s="4">
        <v>3</v>
      </c>
      <c r="E678" s="4" t="s">
        <v>12</v>
      </c>
      <c r="F678" s="4" t="s">
        <v>13</v>
      </c>
      <c r="G678" s="14">
        <v>2626.6702309839743</v>
      </c>
      <c r="H678" s="15">
        <v>3502.2269746452989</v>
      </c>
    </row>
    <row r="679" spans="1:8" x14ac:dyDescent="0.25">
      <c r="A679" s="16">
        <v>60</v>
      </c>
      <c r="B679" s="4" t="s">
        <v>11</v>
      </c>
      <c r="C679" s="4">
        <v>31.4</v>
      </c>
      <c r="D679" s="4">
        <v>3</v>
      </c>
      <c r="E679" s="4" t="s">
        <v>9</v>
      </c>
      <c r="F679" s="4" t="s">
        <v>20</v>
      </c>
      <c r="G679" s="14">
        <v>1974.0543804972513</v>
      </c>
      <c r="H679" s="15">
        <v>2632.0725073296685</v>
      </c>
    </row>
    <row r="680" spans="1:8" x14ac:dyDescent="0.25">
      <c r="A680" s="16">
        <v>56</v>
      </c>
      <c r="B680" s="4" t="s">
        <v>11</v>
      </c>
      <c r="C680" s="4">
        <v>36.1</v>
      </c>
      <c r="D680" s="4">
        <v>3</v>
      </c>
      <c r="E680" s="4" t="s">
        <v>12</v>
      </c>
      <c r="F680" s="4" t="s">
        <v>21</v>
      </c>
      <c r="G680" s="14">
        <v>3316.4730945056453</v>
      </c>
      <c r="H680" s="15">
        <v>4421.9641260075268</v>
      </c>
    </row>
    <row r="681" spans="1:8" x14ac:dyDescent="0.25">
      <c r="A681" s="16">
        <v>49</v>
      </c>
      <c r="B681" s="4" t="s">
        <v>8</v>
      </c>
      <c r="C681" s="4">
        <v>23.2</v>
      </c>
      <c r="D681" s="4">
        <v>2</v>
      </c>
      <c r="E681" s="4" t="s">
        <v>12</v>
      </c>
      <c r="F681" s="4" t="s">
        <v>20</v>
      </c>
      <c r="G681" s="14">
        <v>1372.8948754845981</v>
      </c>
      <c r="H681" s="15">
        <v>1830.5265006461307</v>
      </c>
    </row>
    <row r="682" spans="1:8" x14ac:dyDescent="0.25">
      <c r="A682" s="16">
        <v>21</v>
      </c>
      <c r="B682" s="4" t="s">
        <v>8</v>
      </c>
      <c r="C682" s="4">
        <v>23.4</v>
      </c>
      <c r="D682" s="4">
        <v>1</v>
      </c>
      <c r="E682" s="4" t="s">
        <v>12</v>
      </c>
      <c r="F682" s="4" t="s">
        <v>21</v>
      </c>
      <c r="G682" s="14">
        <v>1568.6906554465752</v>
      </c>
      <c r="H682" s="15">
        <v>1845.5184181724421</v>
      </c>
    </row>
    <row r="683" spans="1:8" x14ac:dyDescent="0.25">
      <c r="A683" s="16">
        <v>19</v>
      </c>
      <c r="B683" s="4" t="s">
        <v>11</v>
      </c>
      <c r="C683" s="4">
        <v>22.3</v>
      </c>
      <c r="D683" s="4">
        <v>0</v>
      </c>
      <c r="E683" s="4" t="s">
        <v>12</v>
      </c>
      <c r="F683" s="4" t="s">
        <v>21</v>
      </c>
      <c r="G683" s="14">
        <v>1733.5486286636458</v>
      </c>
      <c r="H683" s="15">
        <v>2039.4689748984076</v>
      </c>
    </row>
    <row r="684" spans="1:8" x14ac:dyDescent="0.25">
      <c r="A684" s="16">
        <v>39</v>
      </c>
      <c r="B684" s="4" t="s">
        <v>11</v>
      </c>
      <c r="C684" s="4">
        <v>35.299999999999997</v>
      </c>
      <c r="D684" s="4">
        <v>2</v>
      </c>
      <c r="E684" s="4" t="s">
        <v>9</v>
      </c>
      <c r="F684" s="4" t="s">
        <v>21</v>
      </c>
      <c r="G684" s="14">
        <v>2153.5483816852593</v>
      </c>
      <c r="H684" s="15">
        <v>2871.3978422470122</v>
      </c>
    </row>
    <row r="685" spans="1:8" x14ac:dyDescent="0.25">
      <c r="A685" s="16">
        <v>53</v>
      </c>
      <c r="B685" s="4" t="s">
        <v>11</v>
      </c>
      <c r="C685" s="4">
        <v>24.3</v>
      </c>
      <c r="D685" s="4">
        <v>0</v>
      </c>
      <c r="E685" s="4" t="s">
        <v>12</v>
      </c>
      <c r="F685" s="4" t="s">
        <v>20</v>
      </c>
      <c r="G685" s="14">
        <v>5393.7170944179979</v>
      </c>
      <c r="H685" s="15">
        <v>5136.8734232552379</v>
      </c>
    </row>
    <row r="686" spans="1:8" x14ac:dyDescent="0.25">
      <c r="A686" s="16">
        <v>33</v>
      </c>
      <c r="B686" s="4" t="s">
        <v>8</v>
      </c>
      <c r="C686" s="4">
        <v>20.100000000000001</v>
      </c>
      <c r="D686" s="4">
        <v>1</v>
      </c>
      <c r="E686" s="4" t="s">
        <v>12</v>
      </c>
      <c r="F686" s="4" t="s">
        <v>21</v>
      </c>
      <c r="G686" s="14">
        <v>2131.3221780323274</v>
      </c>
      <c r="H686" s="15">
        <v>2507.4378565086213</v>
      </c>
    </row>
    <row r="687" spans="1:8" x14ac:dyDescent="0.25">
      <c r="A687" s="16">
        <v>53</v>
      </c>
      <c r="B687" s="4" t="s">
        <v>11</v>
      </c>
      <c r="C687" s="4">
        <v>26.4</v>
      </c>
      <c r="D687" s="4">
        <v>2</v>
      </c>
      <c r="E687" s="4" t="s">
        <v>12</v>
      </c>
      <c r="F687" s="4" t="s">
        <v>15</v>
      </c>
      <c r="G687" s="14">
        <v>1588.7215779880826</v>
      </c>
      <c r="H687" s="15">
        <v>2118.2954373174434</v>
      </c>
    </row>
    <row r="688" spans="1:8" x14ac:dyDescent="0.25">
      <c r="A688" s="16">
        <v>42</v>
      </c>
      <c r="B688" s="4" t="s">
        <v>11</v>
      </c>
      <c r="C688" s="4">
        <v>26.1</v>
      </c>
      <c r="D688" s="4">
        <v>2</v>
      </c>
      <c r="E688" s="4" t="s">
        <v>12</v>
      </c>
      <c r="F688" s="4" t="s">
        <v>15</v>
      </c>
      <c r="G688" s="14">
        <v>2680.6926280047969</v>
      </c>
      <c r="H688" s="15">
        <v>3574.2568373397294</v>
      </c>
    </row>
    <row r="689" spans="1:8" x14ac:dyDescent="0.25">
      <c r="A689" s="16">
        <v>40</v>
      </c>
      <c r="B689" s="4" t="s">
        <v>11</v>
      </c>
      <c r="C689" s="4">
        <v>41.7</v>
      </c>
      <c r="D689" s="4">
        <v>0</v>
      </c>
      <c r="E689" s="4" t="s">
        <v>12</v>
      </c>
      <c r="F689" s="4" t="s">
        <v>13</v>
      </c>
      <c r="G689" s="14">
        <v>4801.3123979522143</v>
      </c>
      <c r="H689" s="15">
        <v>4572.6784742402051</v>
      </c>
    </row>
    <row r="690" spans="1:8" x14ac:dyDescent="0.25">
      <c r="A690" s="16">
        <v>47</v>
      </c>
      <c r="B690" s="4" t="s">
        <v>8</v>
      </c>
      <c r="C690" s="4">
        <v>24.1</v>
      </c>
      <c r="D690" s="4">
        <v>1</v>
      </c>
      <c r="E690" s="4" t="s">
        <v>12</v>
      </c>
      <c r="F690" s="4" t="s">
        <v>21</v>
      </c>
      <c r="G690" s="14">
        <v>4333.6408516638166</v>
      </c>
      <c r="H690" s="15">
        <v>4127.277001584589</v>
      </c>
    </row>
    <row r="691" spans="1:8" x14ac:dyDescent="0.25">
      <c r="A691" s="16">
        <v>27</v>
      </c>
      <c r="B691" s="4" t="s">
        <v>11</v>
      </c>
      <c r="C691" s="4">
        <v>24.3</v>
      </c>
      <c r="D691" s="4">
        <v>1</v>
      </c>
      <c r="E691" s="4" t="s">
        <v>9</v>
      </c>
      <c r="F691" s="4" t="s">
        <v>13</v>
      </c>
      <c r="G691" s="14">
        <v>1778.0966831928718</v>
      </c>
      <c r="H691" s="15">
        <v>2091.8784508151439</v>
      </c>
    </row>
    <row r="692" spans="1:8" x14ac:dyDescent="0.25">
      <c r="A692" s="16">
        <v>21</v>
      </c>
      <c r="B692" s="4" t="s">
        <v>11</v>
      </c>
      <c r="C692" s="4">
        <v>22.4</v>
      </c>
      <c r="D692" s="4">
        <v>0</v>
      </c>
      <c r="E692" s="4" t="s">
        <v>12</v>
      </c>
      <c r="F692" s="4" t="s">
        <v>15</v>
      </c>
      <c r="G692" s="14">
        <v>1719.8347165531095</v>
      </c>
      <c r="H692" s="15">
        <v>2023.3349606507177</v>
      </c>
    </row>
    <row r="693" spans="1:8" x14ac:dyDescent="0.25">
      <c r="A693" s="16">
        <v>47</v>
      </c>
      <c r="B693" s="4" t="s">
        <v>11</v>
      </c>
      <c r="C693" s="4">
        <v>36.200000000000003</v>
      </c>
      <c r="D693" s="4">
        <v>1</v>
      </c>
      <c r="E693" s="4" t="s">
        <v>12</v>
      </c>
      <c r="F693" s="4" t="s">
        <v>21</v>
      </c>
      <c r="G693" s="14">
        <v>5549.128996876545</v>
      </c>
      <c r="H693" s="15">
        <v>5284.884758930044</v>
      </c>
    </row>
    <row r="694" spans="1:8" x14ac:dyDescent="0.25">
      <c r="A694" s="16">
        <v>20</v>
      </c>
      <c r="B694" s="4" t="s">
        <v>11</v>
      </c>
      <c r="C694" s="4">
        <v>25.7</v>
      </c>
      <c r="D694" s="4">
        <v>1</v>
      </c>
      <c r="E694" s="4" t="s">
        <v>12</v>
      </c>
      <c r="F694" s="4" t="s">
        <v>20</v>
      </c>
      <c r="G694" s="14">
        <v>1976.1836805077407</v>
      </c>
      <c r="H694" s="15">
        <v>2324.921977067931</v>
      </c>
    </row>
    <row r="695" spans="1:8" x14ac:dyDescent="0.25">
      <c r="A695" s="16">
        <v>24</v>
      </c>
      <c r="B695" s="4" t="s">
        <v>11</v>
      </c>
      <c r="C695" s="4">
        <v>24.1</v>
      </c>
      <c r="D695" s="4">
        <v>0</v>
      </c>
      <c r="E695" s="4" t="s">
        <v>12</v>
      </c>
      <c r="F695" s="4" t="s">
        <v>20</v>
      </c>
      <c r="G695" s="14">
        <v>2502.8804673913419</v>
      </c>
      <c r="H695" s="15">
        <v>2944.5652557545209</v>
      </c>
    </row>
    <row r="696" spans="1:8" x14ac:dyDescent="0.25">
      <c r="A696" s="16">
        <v>27</v>
      </c>
      <c r="B696" s="4" t="s">
        <v>8</v>
      </c>
      <c r="C696" s="4">
        <v>24.6</v>
      </c>
      <c r="D696" s="4">
        <v>1</v>
      </c>
      <c r="E696" s="4" t="s">
        <v>12</v>
      </c>
      <c r="F696" s="4" t="s">
        <v>21</v>
      </c>
      <c r="G696" s="14">
        <v>1862.8719127689994</v>
      </c>
      <c r="H696" s="15">
        <v>2191.6140150223528</v>
      </c>
    </row>
    <row r="697" spans="1:8" x14ac:dyDescent="0.25">
      <c r="A697" s="16">
        <v>26</v>
      </c>
      <c r="B697" s="4" t="s">
        <v>8</v>
      </c>
      <c r="C697" s="4">
        <v>21.9</v>
      </c>
      <c r="D697" s="4">
        <v>0</v>
      </c>
      <c r="E697" s="4" t="s">
        <v>12</v>
      </c>
      <c r="F697" s="4" t="s">
        <v>20</v>
      </c>
      <c r="G697" s="14">
        <v>2143.9692832497576</v>
      </c>
      <c r="H697" s="15">
        <v>2522.3168038232452</v>
      </c>
    </row>
    <row r="698" spans="1:8" x14ac:dyDescent="0.25">
      <c r="A698" s="16">
        <v>53</v>
      </c>
      <c r="B698" s="4" t="s">
        <v>8</v>
      </c>
      <c r="C698" s="4">
        <v>32.299999999999997</v>
      </c>
      <c r="D698" s="4">
        <v>2</v>
      </c>
      <c r="E698" s="4" t="s">
        <v>12</v>
      </c>
      <c r="F698" s="4" t="s">
        <v>15</v>
      </c>
      <c r="G698" s="14">
        <v>1795.503762657514</v>
      </c>
      <c r="H698" s="15">
        <v>2394.0050168766852</v>
      </c>
    </row>
    <row r="699" spans="1:8" x14ac:dyDescent="0.25">
      <c r="A699" s="16">
        <v>41</v>
      </c>
      <c r="B699" s="4" t="s">
        <v>11</v>
      </c>
      <c r="C699" s="4">
        <v>35.799999999999997</v>
      </c>
      <c r="D699" s="4">
        <v>1</v>
      </c>
      <c r="E699" s="4" t="s">
        <v>9</v>
      </c>
      <c r="F699" s="4" t="s">
        <v>13</v>
      </c>
      <c r="G699" s="14">
        <v>3519.8327009752484</v>
      </c>
      <c r="H699" s="15">
        <v>3352.2216199764289</v>
      </c>
    </row>
    <row r="700" spans="1:8" x14ac:dyDescent="0.25">
      <c r="A700" s="16">
        <v>56</v>
      </c>
      <c r="B700" s="4" t="s">
        <v>11</v>
      </c>
      <c r="C700" s="4">
        <v>33.700000000000003</v>
      </c>
      <c r="D700" s="4">
        <v>0</v>
      </c>
      <c r="E700" s="4" t="s">
        <v>12</v>
      </c>
      <c r="F700" s="4" t="s">
        <v>20</v>
      </c>
      <c r="G700" s="14">
        <v>4460.7292746880157</v>
      </c>
      <c r="H700" s="15">
        <v>4248.3135949409689</v>
      </c>
    </row>
    <row r="701" spans="1:8" x14ac:dyDescent="0.25">
      <c r="A701" s="16">
        <v>23</v>
      </c>
      <c r="B701" s="4" t="s">
        <v>8</v>
      </c>
      <c r="C701" s="4">
        <v>39.299999999999997</v>
      </c>
      <c r="D701" s="4">
        <v>2</v>
      </c>
      <c r="E701" s="4" t="s">
        <v>12</v>
      </c>
      <c r="F701" s="4" t="s">
        <v>13</v>
      </c>
      <c r="G701" s="14">
        <v>1789.3747302487723</v>
      </c>
      <c r="H701" s="15">
        <v>2385.8329736650298</v>
      </c>
    </row>
    <row r="702" spans="1:8" x14ac:dyDescent="0.25">
      <c r="A702" s="16">
        <v>21</v>
      </c>
      <c r="B702" s="4" t="s">
        <v>8</v>
      </c>
      <c r="C702" s="4">
        <v>21.7</v>
      </c>
      <c r="D702" s="4">
        <v>0</v>
      </c>
      <c r="E702" s="4" t="s">
        <v>12</v>
      </c>
      <c r="F702" s="4" t="s">
        <v>13</v>
      </c>
      <c r="G702" s="14">
        <v>1640.5119781039971</v>
      </c>
      <c r="H702" s="15">
        <v>1930.0140918870563</v>
      </c>
    </row>
    <row r="703" spans="1:8" x14ac:dyDescent="0.25">
      <c r="A703" s="16">
        <v>50</v>
      </c>
      <c r="B703" s="4" t="s">
        <v>8</v>
      </c>
      <c r="C703" s="4">
        <v>44.7</v>
      </c>
      <c r="D703" s="4">
        <v>0</v>
      </c>
      <c r="E703" s="4" t="s">
        <v>12</v>
      </c>
      <c r="F703" s="4" t="s">
        <v>15</v>
      </c>
      <c r="G703" s="14">
        <v>4163.8235839957306</v>
      </c>
      <c r="H703" s="15">
        <v>3965.5462704721258</v>
      </c>
    </row>
    <row r="704" spans="1:8" x14ac:dyDescent="0.25">
      <c r="A704" s="16">
        <v>53</v>
      </c>
      <c r="B704" s="4" t="s">
        <v>11</v>
      </c>
      <c r="C704" s="4">
        <v>41.5</v>
      </c>
      <c r="D704" s="4">
        <v>0</v>
      </c>
      <c r="E704" s="4" t="s">
        <v>12</v>
      </c>
      <c r="F704" s="4" t="s">
        <v>13</v>
      </c>
      <c r="G704" s="14">
        <v>4497.6567662132493</v>
      </c>
      <c r="H704" s="15">
        <v>4283.4826344888106</v>
      </c>
    </row>
    <row r="705" spans="1:8" x14ac:dyDescent="0.25">
      <c r="A705" s="16">
        <v>34</v>
      </c>
      <c r="B705" s="4" t="s">
        <v>8</v>
      </c>
      <c r="C705" s="4">
        <v>25.7</v>
      </c>
      <c r="D705" s="4">
        <v>1</v>
      </c>
      <c r="E705" s="4" t="s">
        <v>12</v>
      </c>
      <c r="F705" s="4" t="s">
        <v>20</v>
      </c>
      <c r="G705" s="14">
        <v>1606.8778026496902</v>
      </c>
      <c r="H705" s="15">
        <v>1890.4444737055187</v>
      </c>
    </row>
    <row r="706" spans="1:8" x14ac:dyDescent="0.25">
      <c r="A706" s="16">
        <v>47</v>
      </c>
      <c r="B706" s="4" t="s">
        <v>8</v>
      </c>
      <c r="C706" s="4">
        <v>29.5</v>
      </c>
      <c r="D706" s="4">
        <v>1</v>
      </c>
      <c r="E706" s="4" t="s">
        <v>12</v>
      </c>
      <c r="F706" s="4" t="s">
        <v>20</v>
      </c>
      <c r="G706" s="14">
        <v>4189.2044934699879</v>
      </c>
      <c r="H706" s="15">
        <v>3989.7185652095141</v>
      </c>
    </row>
    <row r="707" spans="1:8" x14ac:dyDescent="0.25">
      <c r="A707" s="16">
        <v>33</v>
      </c>
      <c r="B707" s="4" t="s">
        <v>8</v>
      </c>
      <c r="C707" s="4">
        <v>32.9</v>
      </c>
      <c r="D707" s="4">
        <v>2</v>
      </c>
      <c r="E707" s="4" t="s">
        <v>12</v>
      </c>
      <c r="F707" s="4" t="s">
        <v>21</v>
      </c>
      <c r="G707" s="14">
        <v>2200.010687671368</v>
      </c>
      <c r="H707" s="15">
        <v>2933.3475835618242</v>
      </c>
    </row>
    <row r="708" spans="1:8" x14ac:dyDescent="0.25">
      <c r="A708" s="16">
        <v>51</v>
      </c>
      <c r="B708" s="4" t="s">
        <v>8</v>
      </c>
      <c r="C708" s="4">
        <v>38.1</v>
      </c>
      <c r="D708" s="4">
        <v>0</v>
      </c>
      <c r="E708" s="4" t="s">
        <v>9</v>
      </c>
      <c r="F708" s="4" t="s">
        <v>13</v>
      </c>
      <c r="G708" s="14">
        <v>4278.056851346133</v>
      </c>
      <c r="H708" s="15">
        <v>4074.3398584248903</v>
      </c>
    </row>
    <row r="709" spans="1:8" x14ac:dyDescent="0.25">
      <c r="A709" s="16">
        <v>49</v>
      </c>
      <c r="B709" s="4" t="s">
        <v>11</v>
      </c>
      <c r="C709" s="4">
        <v>28.7</v>
      </c>
      <c r="D709" s="4">
        <v>3</v>
      </c>
      <c r="E709" s="4" t="s">
        <v>12</v>
      </c>
      <c r="F709" s="4" t="s">
        <v>20</v>
      </c>
      <c r="G709" s="14">
        <v>1450.7490575151578</v>
      </c>
      <c r="H709" s="15">
        <v>1934.3320766868771</v>
      </c>
    </row>
    <row r="710" spans="1:8" x14ac:dyDescent="0.25">
      <c r="A710" s="16">
        <v>31</v>
      </c>
      <c r="B710" s="4" t="s">
        <v>8</v>
      </c>
      <c r="C710" s="4">
        <v>30.5</v>
      </c>
      <c r="D710" s="4">
        <v>3</v>
      </c>
      <c r="E710" s="4" t="s">
        <v>12</v>
      </c>
      <c r="F710" s="4" t="s">
        <v>15</v>
      </c>
      <c r="G710" s="14">
        <v>1569.524979178686</v>
      </c>
      <c r="H710" s="15">
        <v>2092.6999722382479</v>
      </c>
    </row>
    <row r="711" spans="1:8" x14ac:dyDescent="0.25">
      <c r="A711" s="16">
        <v>36</v>
      </c>
      <c r="B711" s="4" t="s">
        <v>8</v>
      </c>
      <c r="C711" s="4">
        <v>20.7</v>
      </c>
      <c r="D711" s="4">
        <v>0</v>
      </c>
      <c r="E711" s="4" t="s">
        <v>12</v>
      </c>
      <c r="F711" s="4" t="s">
        <v>15</v>
      </c>
      <c r="G711" s="14">
        <v>2089.8829794621702</v>
      </c>
      <c r="H711" s="15">
        <v>2458.6858581907895</v>
      </c>
    </row>
    <row r="712" spans="1:8" x14ac:dyDescent="0.25">
      <c r="A712" s="16">
        <v>18</v>
      </c>
      <c r="B712" s="4" t="s">
        <v>11</v>
      </c>
      <c r="C712" s="4">
        <v>23.6</v>
      </c>
      <c r="D712" s="4">
        <v>1</v>
      </c>
      <c r="E712" s="4" t="s">
        <v>12</v>
      </c>
      <c r="F712" s="4" t="s">
        <v>13</v>
      </c>
      <c r="G712" s="14">
        <v>1858.371402112014</v>
      </c>
      <c r="H712" s="15">
        <v>2186.3192966023703</v>
      </c>
    </row>
    <row r="713" spans="1:8" x14ac:dyDescent="0.25">
      <c r="A713" s="16">
        <v>50</v>
      </c>
      <c r="B713" s="4" t="s">
        <v>8</v>
      </c>
      <c r="C713" s="4">
        <v>23.5</v>
      </c>
      <c r="D713" s="4">
        <v>2</v>
      </c>
      <c r="E713" s="4" t="s">
        <v>12</v>
      </c>
      <c r="F713" s="4" t="s">
        <v>13</v>
      </c>
      <c r="G713" s="14">
        <v>1356.7024095042059</v>
      </c>
      <c r="H713" s="15">
        <v>1808.9365460056079</v>
      </c>
    </row>
    <row r="714" spans="1:8" x14ac:dyDescent="0.25">
      <c r="A714" s="16">
        <v>43</v>
      </c>
      <c r="B714" s="4" t="s">
        <v>8</v>
      </c>
      <c r="C714" s="4">
        <v>30.7</v>
      </c>
      <c r="D714" s="4">
        <v>2</v>
      </c>
      <c r="E714" s="4" t="s">
        <v>12</v>
      </c>
      <c r="F714" s="4" t="s">
        <v>20</v>
      </c>
      <c r="G714" s="14">
        <v>2738.1214575643467</v>
      </c>
      <c r="H714" s="15">
        <v>3650.8286100857954</v>
      </c>
    </row>
    <row r="715" spans="1:8" x14ac:dyDescent="0.25">
      <c r="A715" s="16">
        <v>20</v>
      </c>
      <c r="B715" s="4" t="s">
        <v>11</v>
      </c>
      <c r="C715" s="4">
        <v>24.9</v>
      </c>
      <c r="D715" s="4">
        <v>0</v>
      </c>
      <c r="E715" s="4" t="s">
        <v>12</v>
      </c>
      <c r="F715" s="4" t="s">
        <v>15</v>
      </c>
      <c r="G715" s="14">
        <v>1416.8325760929586</v>
      </c>
      <c r="H715" s="15">
        <v>1666.861854227011</v>
      </c>
    </row>
    <row r="716" spans="1:8" x14ac:dyDescent="0.25">
      <c r="A716" s="16">
        <v>24</v>
      </c>
      <c r="B716" s="4" t="s">
        <v>8</v>
      </c>
      <c r="C716" s="4">
        <v>24.7</v>
      </c>
      <c r="D716" s="4">
        <v>0</v>
      </c>
      <c r="E716" s="4" t="s">
        <v>12</v>
      </c>
      <c r="F716" s="4" t="s">
        <v>21</v>
      </c>
      <c r="G716" s="14">
        <v>1529.1623492442079</v>
      </c>
      <c r="H716" s="15">
        <v>1799.0145285225981</v>
      </c>
    </row>
    <row r="717" spans="1:8" x14ac:dyDescent="0.25">
      <c r="A717" s="16">
        <v>60</v>
      </c>
      <c r="B717" s="4" t="s">
        <v>11</v>
      </c>
      <c r="C717" s="4">
        <v>28.9</v>
      </c>
      <c r="D717" s="4">
        <v>0</v>
      </c>
      <c r="E717" s="4" t="s">
        <v>12</v>
      </c>
      <c r="F717" s="4" t="s">
        <v>21</v>
      </c>
      <c r="G717" s="14">
        <v>4686.0400046710856</v>
      </c>
      <c r="H717" s="15">
        <v>4462.8952425438929</v>
      </c>
    </row>
    <row r="718" spans="1:8" x14ac:dyDescent="0.25">
      <c r="A718" s="16">
        <v>49</v>
      </c>
      <c r="B718" s="4" t="s">
        <v>8</v>
      </c>
      <c r="C718" s="4">
        <v>22.6</v>
      </c>
      <c r="D718" s="4">
        <v>1</v>
      </c>
      <c r="E718" s="4" t="s">
        <v>12</v>
      </c>
      <c r="F718" s="4" t="s">
        <v>20</v>
      </c>
      <c r="G718" s="14">
        <v>4431.1477681958677</v>
      </c>
      <c r="H718" s="15">
        <v>4220.1407316151144</v>
      </c>
    </row>
    <row r="719" spans="1:8" x14ac:dyDescent="0.25">
      <c r="A719" s="16">
        <v>60</v>
      </c>
      <c r="B719" s="4" t="s">
        <v>11</v>
      </c>
      <c r="C719" s="4">
        <v>24.3</v>
      </c>
      <c r="D719" s="4">
        <v>1</v>
      </c>
      <c r="E719" s="4" t="s">
        <v>12</v>
      </c>
      <c r="F719" s="4" t="s">
        <v>20</v>
      </c>
      <c r="G719" s="14">
        <v>5772.64545638038</v>
      </c>
      <c r="H719" s="15">
        <v>5497.7575775051255</v>
      </c>
    </row>
    <row r="720" spans="1:8" x14ac:dyDescent="0.25">
      <c r="A720" s="16">
        <v>51</v>
      </c>
      <c r="B720" s="4" t="s">
        <v>8</v>
      </c>
      <c r="C720" s="4">
        <v>36.700000000000003</v>
      </c>
      <c r="D720" s="4">
        <v>2</v>
      </c>
      <c r="E720" s="4" t="s">
        <v>12</v>
      </c>
      <c r="F720" s="4" t="s">
        <v>20</v>
      </c>
      <c r="G720" s="14">
        <v>1744.2329418216532</v>
      </c>
      <c r="H720" s="15">
        <v>2325.6439224288711</v>
      </c>
    </row>
    <row r="721" spans="1:8" x14ac:dyDescent="0.25">
      <c r="A721" s="16">
        <v>58</v>
      </c>
      <c r="B721" s="4" t="s">
        <v>8</v>
      </c>
      <c r="C721" s="4">
        <v>33.4</v>
      </c>
      <c r="D721" s="4">
        <v>0</v>
      </c>
      <c r="E721" s="4" t="s">
        <v>12</v>
      </c>
      <c r="F721" s="4" t="s">
        <v>20</v>
      </c>
      <c r="G721" s="14">
        <v>4084.3045777992415</v>
      </c>
      <c r="H721" s="15">
        <v>3889.8138836183266</v>
      </c>
    </row>
    <row r="722" spans="1:8" x14ac:dyDescent="0.25">
      <c r="A722" s="16">
        <v>51</v>
      </c>
      <c r="B722" s="4" t="s">
        <v>8</v>
      </c>
      <c r="C722" s="4">
        <v>40.700000000000003</v>
      </c>
      <c r="D722" s="4">
        <v>0</v>
      </c>
      <c r="E722" s="4" t="s">
        <v>12</v>
      </c>
      <c r="F722" s="4" t="s">
        <v>15</v>
      </c>
      <c r="G722" s="14">
        <v>4343.2417250182152</v>
      </c>
      <c r="H722" s="15">
        <v>4136.42069049354</v>
      </c>
    </row>
    <row r="723" spans="1:8" x14ac:dyDescent="0.25">
      <c r="A723" s="16">
        <v>53</v>
      </c>
      <c r="B723" s="4" t="s">
        <v>11</v>
      </c>
      <c r="C723" s="4">
        <v>36.6</v>
      </c>
      <c r="D723" s="4">
        <v>3</v>
      </c>
      <c r="E723" s="4" t="s">
        <v>12</v>
      </c>
      <c r="F723" s="4" t="s">
        <v>21</v>
      </c>
      <c r="G723" s="14">
        <v>2149.4087099726353</v>
      </c>
      <c r="H723" s="15">
        <v>2865.8782799635137</v>
      </c>
    </row>
    <row r="724" spans="1:8" x14ac:dyDescent="0.25">
      <c r="A724" s="16">
        <v>62</v>
      </c>
      <c r="B724" s="4" t="s">
        <v>11</v>
      </c>
      <c r="C724" s="4">
        <v>37.4</v>
      </c>
      <c r="D724" s="4">
        <v>0</v>
      </c>
      <c r="E724" s="4" t="s">
        <v>12</v>
      </c>
      <c r="F724" s="4" t="s">
        <v>21</v>
      </c>
      <c r="G724" s="14">
        <v>5428.8187484649889</v>
      </c>
      <c r="H724" s="15">
        <v>5170.3035699666571</v>
      </c>
    </row>
    <row r="725" spans="1:8" x14ac:dyDescent="0.25">
      <c r="A725" s="16">
        <v>19</v>
      </c>
      <c r="B725" s="4" t="s">
        <v>11</v>
      </c>
      <c r="C725" s="4">
        <v>20.3</v>
      </c>
      <c r="D725" s="4">
        <v>0</v>
      </c>
      <c r="E725" s="4" t="s">
        <v>12</v>
      </c>
      <c r="F725" s="4" t="s">
        <v>21</v>
      </c>
      <c r="G725" s="14">
        <v>1908.0254265847589</v>
      </c>
      <c r="H725" s="15">
        <v>2244.7357959820702</v>
      </c>
    </row>
    <row r="726" spans="1:8" x14ac:dyDescent="0.25">
      <c r="A726" s="16">
        <v>50</v>
      </c>
      <c r="B726" s="4" t="s">
        <v>8</v>
      </c>
      <c r="C726" s="4">
        <v>27.1</v>
      </c>
      <c r="D726" s="4">
        <v>1</v>
      </c>
      <c r="E726" s="4" t="s">
        <v>12</v>
      </c>
      <c r="F726" s="4" t="s">
        <v>15</v>
      </c>
      <c r="G726" s="14">
        <v>3716.9760093547197</v>
      </c>
      <c r="H726" s="15">
        <v>3539.9771517664012</v>
      </c>
    </row>
    <row r="727" spans="1:8" x14ac:dyDescent="0.25">
      <c r="A727" s="16">
        <v>30</v>
      </c>
      <c r="B727" s="4" t="s">
        <v>8</v>
      </c>
      <c r="C727" s="4">
        <v>39.1</v>
      </c>
      <c r="D727" s="4">
        <v>3</v>
      </c>
      <c r="E727" s="4" t="s">
        <v>9</v>
      </c>
      <c r="F727" s="4" t="s">
        <v>13</v>
      </c>
      <c r="G727" s="14">
        <v>1001.1721086308917</v>
      </c>
      <c r="H727" s="15">
        <v>1334.896144841189</v>
      </c>
    </row>
    <row r="728" spans="1:8" x14ac:dyDescent="0.25">
      <c r="A728" s="16">
        <v>41</v>
      </c>
      <c r="B728" s="4" t="s">
        <v>11</v>
      </c>
      <c r="C728" s="4">
        <v>28.4</v>
      </c>
      <c r="D728" s="4">
        <v>1</v>
      </c>
      <c r="E728" s="4" t="s">
        <v>12</v>
      </c>
      <c r="F728" s="4" t="s">
        <v>20</v>
      </c>
      <c r="G728" s="14">
        <v>4845.275820060122</v>
      </c>
      <c r="H728" s="15">
        <v>4614.5484000572596</v>
      </c>
    </row>
    <row r="729" spans="1:8" x14ac:dyDescent="0.25">
      <c r="A729" s="16">
        <v>29</v>
      </c>
      <c r="B729" s="4" t="s">
        <v>8</v>
      </c>
      <c r="C729" s="4">
        <v>25.8</v>
      </c>
      <c r="D729" s="4">
        <v>1</v>
      </c>
      <c r="E729" s="4" t="s">
        <v>9</v>
      </c>
      <c r="F729" s="4" t="s">
        <v>15</v>
      </c>
      <c r="G729" s="14">
        <v>1489.6187021532407</v>
      </c>
      <c r="H729" s="15">
        <v>1752.4925907685192</v>
      </c>
    </row>
    <row r="730" spans="1:8" x14ac:dyDescent="0.25">
      <c r="A730" s="16">
        <v>18</v>
      </c>
      <c r="B730" s="4" t="s">
        <v>8</v>
      </c>
      <c r="C730" s="4">
        <v>21.3</v>
      </c>
      <c r="D730" s="4">
        <v>0</v>
      </c>
      <c r="E730" s="4" t="s">
        <v>12</v>
      </c>
      <c r="F730" s="4" t="s">
        <v>15</v>
      </c>
      <c r="G730" s="14">
        <v>1446.5103100575025</v>
      </c>
      <c r="H730" s="15">
        <v>1701.7768353617685</v>
      </c>
    </row>
    <row r="731" spans="1:8" x14ac:dyDescent="0.25">
      <c r="A731" s="16">
        <v>41</v>
      </c>
      <c r="B731" s="4" t="s">
        <v>8</v>
      </c>
      <c r="C731" s="4">
        <v>36.1</v>
      </c>
      <c r="D731" s="4">
        <v>1</v>
      </c>
      <c r="E731" s="4" t="s">
        <v>12</v>
      </c>
      <c r="F731" s="4" t="s">
        <v>13</v>
      </c>
      <c r="G731" s="14">
        <v>5462.6846974138707</v>
      </c>
      <c r="H731" s="15">
        <v>5202.5568546798786</v>
      </c>
    </row>
    <row r="732" spans="1:8" x14ac:dyDescent="0.25">
      <c r="A732" s="16">
        <v>35</v>
      </c>
      <c r="B732" s="4" t="s">
        <v>11</v>
      </c>
      <c r="C732" s="4">
        <v>24.4</v>
      </c>
      <c r="D732" s="4">
        <v>3</v>
      </c>
      <c r="E732" s="4" t="s">
        <v>9</v>
      </c>
      <c r="F732" s="4" t="s">
        <v>13</v>
      </c>
      <c r="G732" s="14">
        <v>1804.8348359676656</v>
      </c>
      <c r="H732" s="15">
        <v>2406.4464479568874</v>
      </c>
    </row>
    <row r="733" spans="1:8" x14ac:dyDescent="0.25">
      <c r="A733" s="16">
        <v>53</v>
      </c>
      <c r="B733" s="4" t="s">
        <v>11</v>
      </c>
      <c r="C733" s="4">
        <v>21.4</v>
      </c>
      <c r="D733" s="4">
        <v>1</v>
      </c>
      <c r="E733" s="4" t="s">
        <v>12</v>
      </c>
      <c r="F733" s="4" t="s">
        <v>21</v>
      </c>
      <c r="G733" s="14">
        <v>4485.5883071018307</v>
      </c>
      <c r="H733" s="15">
        <v>4271.9888639065066</v>
      </c>
    </row>
    <row r="734" spans="1:8" x14ac:dyDescent="0.25">
      <c r="A734" s="16">
        <v>24</v>
      </c>
      <c r="B734" s="4" t="s">
        <v>8</v>
      </c>
      <c r="C734" s="4">
        <v>30.1</v>
      </c>
      <c r="D734" s="4">
        <v>3</v>
      </c>
      <c r="E734" s="4" t="s">
        <v>12</v>
      </c>
      <c r="F734" s="4" t="s">
        <v>21</v>
      </c>
      <c r="G734" s="14">
        <v>1263.2067313797938</v>
      </c>
      <c r="H734" s="15">
        <v>1684.275641839725</v>
      </c>
    </row>
    <row r="735" spans="1:8" x14ac:dyDescent="0.25">
      <c r="A735" s="16">
        <v>48</v>
      </c>
      <c r="B735" s="4" t="s">
        <v>8</v>
      </c>
      <c r="C735" s="4">
        <v>27.3</v>
      </c>
      <c r="D735" s="4">
        <v>1</v>
      </c>
      <c r="E735" s="4" t="s">
        <v>12</v>
      </c>
      <c r="F735" s="4" t="s">
        <v>15</v>
      </c>
      <c r="G735" s="14">
        <v>4537.9094703209739</v>
      </c>
      <c r="H735" s="15">
        <v>4321.8185431628344</v>
      </c>
    </row>
    <row r="736" spans="1:8" x14ac:dyDescent="0.25">
      <c r="A736" s="16">
        <v>59</v>
      </c>
      <c r="B736" s="4" t="s">
        <v>8</v>
      </c>
      <c r="C736" s="4">
        <v>32.1</v>
      </c>
      <c r="D736" s="4">
        <v>3</v>
      </c>
      <c r="E736" s="4" t="s">
        <v>12</v>
      </c>
      <c r="F736" s="4" t="s">
        <v>21</v>
      </c>
      <c r="G736" s="14">
        <v>3100.9670746886186</v>
      </c>
      <c r="H736" s="15">
        <v>4134.6227662514912</v>
      </c>
    </row>
    <row r="737" spans="1:8" x14ac:dyDescent="0.25">
      <c r="A737" s="16">
        <v>49</v>
      </c>
      <c r="B737" s="4" t="s">
        <v>8</v>
      </c>
      <c r="C737" s="4">
        <v>34.799999999999997</v>
      </c>
      <c r="D737" s="4">
        <v>1</v>
      </c>
      <c r="E737" s="4" t="s">
        <v>12</v>
      </c>
      <c r="F737" s="4" t="s">
        <v>20</v>
      </c>
      <c r="G737" s="14">
        <v>4370.807173862182</v>
      </c>
      <c r="H737" s="15">
        <v>4162.673498916366</v>
      </c>
    </row>
    <row r="738" spans="1:8" x14ac:dyDescent="0.25">
      <c r="A738" s="16">
        <v>37</v>
      </c>
      <c r="B738" s="4" t="s">
        <v>8</v>
      </c>
      <c r="C738" s="4">
        <v>38.4</v>
      </c>
      <c r="D738" s="4">
        <v>0</v>
      </c>
      <c r="E738" s="4" t="s">
        <v>9</v>
      </c>
      <c r="F738" s="4" t="s">
        <v>13</v>
      </c>
      <c r="G738" s="14">
        <v>3646.5645154746621</v>
      </c>
      <c r="H738" s="15">
        <v>3472.9185861663464</v>
      </c>
    </row>
    <row r="739" spans="1:8" x14ac:dyDescent="0.25">
      <c r="A739" s="16">
        <v>26</v>
      </c>
      <c r="B739" s="4" t="s">
        <v>11</v>
      </c>
      <c r="C739" s="4">
        <v>22</v>
      </c>
      <c r="D739" s="4">
        <v>2</v>
      </c>
      <c r="E739" s="4" t="s">
        <v>12</v>
      </c>
      <c r="F739" s="4" t="s">
        <v>21</v>
      </c>
      <c r="G739" s="14">
        <v>1881.4081981886784</v>
      </c>
      <c r="H739" s="15">
        <v>2213.42140963374</v>
      </c>
    </row>
    <row r="740" spans="1:8" x14ac:dyDescent="0.25">
      <c r="A740" s="16">
        <v>23</v>
      </c>
      <c r="B740" s="4" t="s">
        <v>11</v>
      </c>
      <c r="C740" s="4">
        <v>31.7</v>
      </c>
      <c r="D740" s="4">
        <v>3</v>
      </c>
      <c r="E740" s="4" t="s">
        <v>9</v>
      </c>
      <c r="F740" s="4" t="s">
        <v>15</v>
      </c>
      <c r="G740" s="14">
        <v>1280.1785586382352</v>
      </c>
      <c r="H740" s="15">
        <v>1706.9047448509803</v>
      </c>
    </row>
    <row r="741" spans="1:8" x14ac:dyDescent="0.25">
      <c r="A741" s="16">
        <v>29</v>
      </c>
      <c r="B741" s="4" t="s">
        <v>11</v>
      </c>
      <c r="C741" s="4">
        <v>35.5</v>
      </c>
      <c r="D741" s="4">
        <v>2</v>
      </c>
      <c r="E741" s="4" t="s">
        <v>9</v>
      </c>
      <c r="F741" s="4" t="s">
        <v>21</v>
      </c>
      <c r="G741" s="14">
        <v>1229.3068026720543</v>
      </c>
      <c r="H741" s="15">
        <v>1639.0757368960726</v>
      </c>
    </row>
    <row r="742" spans="1:8" x14ac:dyDescent="0.25">
      <c r="A742" s="16">
        <v>45</v>
      </c>
      <c r="B742" s="4" t="s">
        <v>11</v>
      </c>
      <c r="C742" s="4">
        <v>24</v>
      </c>
      <c r="D742" s="4">
        <v>2</v>
      </c>
      <c r="E742" s="4" t="s">
        <v>12</v>
      </c>
      <c r="F742" s="4" t="s">
        <v>15</v>
      </c>
      <c r="G742" s="14">
        <v>2781.8547318212841</v>
      </c>
      <c r="H742" s="15">
        <v>3709.1396424283789</v>
      </c>
    </row>
    <row r="743" spans="1:8" x14ac:dyDescent="0.25">
      <c r="A743" s="16">
        <v>27</v>
      </c>
      <c r="B743" s="4" t="s">
        <v>11</v>
      </c>
      <c r="C743" s="4">
        <v>21.1</v>
      </c>
      <c r="D743" s="4">
        <v>0</v>
      </c>
      <c r="E743" s="4" t="s">
        <v>9</v>
      </c>
      <c r="F743" s="4" t="s">
        <v>13</v>
      </c>
      <c r="G743" s="14">
        <v>1816.3421034989656</v>
      </c>
      <c r="H743" s="15">
        <v>2136.8730629399606</v>
      </c>
    </row>
    <row r="744" spans="1:8" x14ac:dyDescent="0.25">
      <c r="A744" s="16">
        <v>53</v>
      </c>
      <c r="B744" s="4" t="s">
        <v>11</v>
      </c>
      <c r="C744" s="4">
        <v>34.1</v>
      </c>
      <c r="D744" s="4">
        <v>0</v>
      </c>
      <c r="E744" s="4" t="s">
        <v>9</v>
      </c>
      <c r="F744" s="4" t="s">
        <v>15</v>
      </c>
      <c r="G744" s="14">
        <v>5605.6567974427153</v>
      </c>
      <c r="H744" s="15">
        <v>5338.7207594692545</v>
      </c>
    </row>
    <row r="745" spans="1:8" x14ac:dyDescent="0.25">
      <c r="A745" s="16">
        <v>31</v>
      </c>
      <c r="B745" s="4" t="s">
        <v>8</v>
      </c>
      <c r="C745" s="4">
        <v>22.2</v>
      </c>
      <c r="D745" s="4">
        <v>0</v>
      </c>
      <c r="E745" s="4" t="s">
        <v>12</v>
      </c>
      <c r="F745" s="4" t="s">
        <v>13</v>
      </c>
      <c r="G745" s="14">
        <v>1732.4722159552559</v>
      </c>
      <c r="H745" s="15">
        <v>2038.2026070061843</v>
      </c>
    </row>
    <row r="746" spans="1:8" x14ac:dyDescent="0.25">
      <c r="A746" s="16">
        <v>50</v>
      </c>
      <c r="B746" s="4" t="s">
        <v>11</v>
      </c>
      <c r="C746" s="4">
        <v>26.4</v>
      </c>
      <c r="D746" s="4">
        <v>0</v>
      </c>
      <c r="E746" s="4" t="s">
        <v>12</v>
      </c>
      <c r="F746" s="4" t="s">
        <v>20</v>
      </c>
      <c r="G746" s="14">
        <v>3879.9764251812826</v>
      </c>
      <c r="H746" s="15">
        <v>3695.2156430297946</v>
      </c>
    </row>
    <row r="747" spans="1:8" x14ac:dyDescent="0.25">
      <c r="A747" s="16">
        <v>50</v>
      </c>
      <c r="B747" s="4" t="s">
        <v>8</v>
      </c>
      <c r="C747" s="4">
        <v>30.1</v>
      </c>
      <c r="D747" s="4">
        <v>1</v>
      </c>
      <c r="E747" s="4" t="s">
        <v>12</v>
      </c>
      <c r="F747" s="4" t="s">
        <v>20</v>
      </c>
      <c r="G747" s="14">
        <v>4482.774978619369</v>
      </c>
      <c r="H747" s="15">
        <v>4269.3095034470198</v>
      </c>
    </row>
    <row r="748" spans="1:8" x14ac:dyDescent="0.25">
      <c r="A748" s="16">
        <v>34</v>
      </c>
      <c r="B748" s="4" t="s">
        <v>11</v>
      </c>
      <c r="C748" s="4">
        <v>27</v>
      </c>
      <c r="D748" s="4">
        <v>2</v>
      </c>
      <c r="E748" s="4" t="s">
        <v>12</v>
      </c>
      <c r="F748" s="4" t="s">
        <v>21</v>
      </c>
      <c r="G748" s="14">
        <v>1367.6810237023021</v>
      </c>
      <c r="H748" s="15">
        <v>1823.5746982697362</v>
      </c>
    </row>
    <row r="749" spans="1:8" x14ac:dyDescent="0.25">
      <c r="A749" s="16">
        <v>19</v>
      </c>
      <c r="B749" s="4" t="s">
        <v>11</v>
      </c>
      <c r="C749" s="4">
        <v>20.3</v>
      </c>
      <c r="D749" s="4">
        <v>0</v>
      </c>
      <c r="E749" s="4" t="s">
        <v>12</v>
      </c>
      <c r="F749" s="4" t="s">
        <v>20</v>
      </c>
      <c r="G749" s="14">
        <v>1871.6553689676475</v>
      </c>
      <c r="H749" s="15">
        <v>2201.9474929031157</v>
      </c>
    </row>
    <row r="750" spans="1:8" x14ac:dyDescent="0.25">
      <c r="A750" s="16">
        <v>47</v>
      </c>
      <c r="B750" s="4" t="s">
        <v>8</v>
      </c>
      <c r="C750" s="4">
        <v>36</v>
      </c>
      <c r="D750" s="4">
        <v>1</v>
      </c>
      <c r="E750" s="4" t="s">
        <v>12</v>
      </c>
      <c r="F750" s="4" t="s">
        <v>21</v>
      </c>
      <c r="G750" s="14">
        <v>4353.5865362729028</v>
      </c>
      <c r="H750" s="15">
        <v>4146.2728916884807</v>
      </c>
    </row>
    <row r="751" spans="1:8" x14ac:dyDescent="0.25">
      <c r="A751" s="16">
        <v>28</v>
      </c>
      <c r="B751" s="4" t="s">
        <v>11</v>
      </c>
      <c r="C751" s="4">
        <v>25</v>
      </c>
      <c r="D751" s="4">
        <v>0</v>
      </c>
      <c r="E751" s="4" t="s">
        <v>12</v>
      </c>
      <c r="F751" s="4" t="s">
        <v>20</v>
      </c>
      <c r="G751" s="14">
        <v>1564.2266080215329</v>
      </c>
      <c r="H751" s="15">
        <v>1840.2665976723924</v>
      </c>
    </row>
    <row r="752" spans="1:8" x14ac:dyDescent="0.25">
      <c r="A752" s="16">
        <v>37</v>
      </c>
      <c r="B752" s="4" t="s">
        <v>8</v>
      </c>
      <c r="C752" s="4">
        <v>21.5</v>
      </c>
      <c r="D752" s="4">
        <v>0</v>
      </c>
      <c r="E752" s="4" t="s">
        <v>9</v>
      </c>
      <c r="F752" s="4" t="s">
        <v>13</v>
      </c>
      <c r="G752" s="14">
        <v>1457.7126063778892</v>
      </c>
      <c r="H752" s="15">
        <v>1714.9560075033999</v>
      </c>
    </row>
    <row r="753" spans="1:8" x14ac:dyDescent="0.25">
      <c r="A753" s="16">
        <v>21</v>
      </c>
      <c r="B753" s="4" t="s">
        <v>11</v>
      </c>
      <c r="C753" s="4">
        <v>23.1</v>
      </c>
      <c r="D753" s="4">
        <v>0</v>
      </c>
      <c r="E753" s="4" t="s">
        <v>12</v>
      </c>
      <c r="F753" s="4" t="s">
        <v>20</v>
      </c>
      <c r="G753" s="14">
        <v>1926.652757401579</v>
      </c>
      <c r="H753" s="15">
        <v>2266.6503028253878</v>
      </c>
    </row>
    <row r="754" spans="1:8" x14ac:dyDescent="0.25">
      <c r="A754" s="16">
        <v>64</v>
      </c>
      <c r="B754" s="4" t="s">
        <v>11</v>
      </c>
      <c r="C754" s="4">
        <v>37.9</v>
      </c>
      <c r="D754" s="4">
        <v>0</v>
      </c>
      <c r="E754" s="4" t="s">
        <v>12</v>
      </c>
      <c r="F754" s="4" t="s">
        <v>20</v>
      </c>
      <c r="G754" s="14">
        <v>4323.2052131565233</v>
      </c>
      <c r="H754" s="15">
        <v>4117.338298244309</v>
      </c>
    </row>
    <row r="755" spans="1:8" x14ac:dyDescent="0.25">
      <c r="A755" s="16">
        <v>58</v>
      </c>
      <c r="B755" s="4" t="s">
        <v>8</v>
      </c>
      <c r="C755" s="4">
        <v>22.8</v>
      </c>
      <c r="D755" s="4">
        <v>0</v>
      </c>
      <c r="E755" s="4" t="s">
        <v>12</v>
      </c>
      <c r="F755" s="4" t="s">
        <v>13</v>
      </c>
      <c r="G755" s="14">
        <v>4990.179555062452</v>
      </c>
      <c r="H755" s="15">
        <v>4752.5519572023359</v>
      </c>
    </row>
    <row r="756" spans="1:8" x14ac:dyDescent="0.25">
      <c r="A756" s="16">
        <v>24</v>
      </c>
      <c r="B756" s="4" t="s">
        <v>11</v>
      </c>
      <c r="C756" s="4">
        <v>33.6</v>
      </c>
      <c r="D756" s="4">
        <v>4</v>
      </c>
      <c r="E756" s="4" t="s">
        <v>12</v>
      </c>
      <c r="F756" s="4" t="s">
        <v>15</v>
      </c>
      <c r="G756" s="14">
        <v>2750.3158371419149</v>
      </c>
      <c r="H756" s="15">
        <v>3667.0877828558864</v>
      </c>
    </row>
    <row r="757" spans="1:8" x14ac:dyDescent="0.25">
      <c r="A757" s="16">
        <v>31</v>
      </c>
      <c r="B757" s="4" t="s">
        <v>11</v>
      </c>
      <c r="C757" s="4">
        <v>27.6</v>
      </c>
      <c r="D757" s="4">
        <v>2</v>
      </c>
      <c r="E757" s="4" t="s">
        <v>12</v>
      </c>
      <c r="F757" s="4" t="s">
        <v>15</v>
      </c>
      <c r="G757" s="14">
        <v>2088.17914387884</v>
      </c>
      <c r="H757" s="15">
        <v>2784.2388585051199</v>
      </c>
    </row>
    <row r="758" spans="1:8" x14ac:dyDescent="0.25">
      <c r="A758" s="16">
        <v>39</v>
      </c>
      <c r="B758" s="4" t="s">
        <v>8</v>
      </c>
      <c r="C758" s="4">
        <v>22.8</v>
      </c>
      <c r="D758" s="4">
        <v>3</v>
      </c>
      <c r="E758" s="4" t="s">
        <v>12</v>
      </c>
      <c r="F758" s="4" t="s">
        <v>15</v>
      </c>
      <c r="G758" s="14">
        <v>1129.0478258045537</v>
      </c>
      <c r="H758" s="15">
        <v>1505.3971010727382</v>
      </c>
    </row>
    <row r="759" spans="1:8" x14ac:dyDescent="0.25">
      <c r="A759" s="16">
        <v>47</v>
      </c>
      <c r="B759" s="4" t="s">
        <v>8</v>
      </c>
      <c r="C759" s="4">
        <v>27.8</v>
      </c>
      <c r="D759" s="4">
        <v>0</v>
      </c>
      <c r="E759" s="4" t="s">
        <v>9</v>
      </c>
      <c r="F759" s="4" t="s">
        <v>13</v>
      </c>
      <c r="G759" s="14">
        <v>4988.2291675704491</v>
      </c>
      <c r="H759" s="15">
        <v>4750.694445305191</v>
      </c>
    </row>
    <row r="760" spans="1:8" x14ac:dyDescent="0.25">
      <c r="A760" s="16">
        <v>30</v>
      </c>
      <c r="B760" s="4" t="s">
        <v>11</v>
      </c>
      <c r="C760" s="4">
        <v>37.4</v>
      </c>
      <c r="D760" s="4">
        <v>3</v>
      </c>
      <c r="E760" s="4" t="s">
        <v>12</v>
      </c>
      <c r="F760" s="4" t="s">
        <v>15</v>
      </c>
      <c r="G760" s="14">
        <v>2610.4979877837227</v>
      </c>
      <c r="H760" s="15">
        <v>3480.6639837116304</v>
      </c>
    </row>
    <row r="761" spans="1:8" x14ac:dyDescent="0.25">
      <c r="A761" s="16">
        <v>18</v>
      </c>
      <c r="B761" s="4" t="s">
        <v>11</v>
      </c>
      <c r="C761" s="4">
        <v>21.3</v>
      </c>
      <c r="D761" s="4">
        <v>0</v>
      </c>
      <c r="E761" s="4" t="s">
        <v>9</v>
      </c>
      <c r="F761" s="4" t="s">
        <v>13</v>
      </c>
      <c r="G761" s="14">
        <v>1474.1566884627209</v>
      </c>
      <c r="H761" s="15">
        <v>1734.3019864267312</v>
      </c>
    </row>
    <row r="762" spans="1:8" x14ac:dyDescent="0.25">
      <c r="A762" s="16">
        <v>22</v>
      </c>
      <c r="B762" s="4" t="s">
        <v>8</v>
      </c>
      <c r="C762" s="4">
        <v>34.6</v>
      </c>
      <c r="D762" s="4">
        <v>2</v>
      </c>
      <c r="E762" s="4" t="s">
        <v>12</v>
      </c>
      <c r="F762" s="4" t="s">
        <v>15</v>
      </c>
      <c r="G762" s="14">
        <v>1574.484226616356</v>
      </c>
      <c r="H762" s="15">
        <v>2099.3123021551414</v>
      </c>
    </row>
    <row r="763" spans="1:8" x14ac:dyDescent="0.25">
      <c r="A763" s="16">
        <v>23</v>
      </c>
      <c r="B763" s="4" t="s">
        <v>11</v>
      </c>
      <c r="C763" s="4">
        <v>24.1</v>
      </c>
      <c r="D763" s="4">
        <v>1</v>
      </c>
      <c r="E763" s="4" t="s">
        <v>12</v>
      </c>
      <c r="F763" s="4" t="s">
        <v>21</v>
      </c>
      <c r="G763" s="14">
        <v>2031.6833008417404</v>
      </c>
      <c r="H763" s="15">
        <v>2390.2156480491076</v>
      </c>
    </row>
    <row r="764" spans="1:8" x14ac:dyDescent="0.25">
      <c r="A764" s="16">
        <v>33</v>
      </c>
      <c r="B764" s="4" t="s">
        <v>11</v>
      </c>
      <c r="C764" s="4">
        <v>21.9</v>
      </c>
      <c r="D764" s="4">
        <v>1</v>
      </c>
      <c r="E764" s="4" t="s">
        <v>9</v>
      </c>
      <c r="F764" s="4" t="s">
        <v>21</v>
      </c>
      <c r="G764" s="14">
        <v>1500.3572417650253</v>
      </c>
      <c r="H764" s="15">
        <v>1765.1261667823833</v>
      </c>
    </row>
    <row r="765" spans="1:8" x14ac:dyDescent="0.25">
      <c r="A765" s="16">
        <v>27</v>
      </c>
      <c r="B765" s="4" t="s">
        <v>11</v>
      </c>
      <c r="C765" s="4">
        <v>21.9</v>
      </c>
      <c r="D765" s="4">
        <v>0</v>
      </c>
      <c r="E765" s="4" t="s">
        <v>12</v>
      </c>
      <c r="F765" s="4" t="s">
        <v>15</v>
      </c>
      <c r="G765" s="14">
        <v>1740.8095722120206</v>
      </c>
      <c r="H765" s="15">
        <v>2048.0112614259074</v>
      </c>
    </row>
    <row r="766" spans="1:8" x14ac:dyDescent="0.25">
      <c r="A766" s="16">
        <v>45</v>
      </c>
      <c r="B766" s="4" t="s">
        <v>8</v>
      </c>
      <c r="C766" s="4">
        <v>25.2</v>
      </c>
      <c r="D766" s="4">
        <v>2</v>
      </c>
      <c r="E766" s="4" t="s">
        <v>12</v>
      </c>
      <c r="F766" s="4" t="s">
        <v>15</v>
      </c>
      <c r="G766" s="14">
        <v>2889.1997512189168</v>
      </c>
      <c r="H766" s="15">
        <v>3852.2663349585559</v>
      </c>
    </row>
    <row r="767" spans="1:8" x14ac:dyDescent="0.25">
      <c r="A767" s="16">
        <v>57</v>
      </c>
      <c r="B767" s="4" t="s">
        <v>8</v>
      </c>
      <c r="C767" s="4">
        <v>31.8</v>
      </c>
      <c r="D767" s="4">
        <v>0</v>
      </c>
      <c r="E767" s="4" t="s">
        <v>12</v>
      </c>
      <c r="F767" s="4" t="s">
        <v>20</v>
      </c>
      <c r="G767" s="14">
        <v>4814.8722420659387</v>
      </c>
      <c r="H767" s="15">
        <v>4585.5926114913727</v>
      </c>
    </row>
    <row r="768" spans="1:8" x14ac:dyDescent="0.25">
      <c r="A768" s="16">
        <v>47</v>
      </c>
      <c r="B768" s="4" t="s">
        <v>11</v>
      </c>
      <c r="C768" s="4">
        <v>32.299999999999997</v>
      </c>
      <c r="D768" s="4">
        <v>1</v>
      </c>
      <c r="E768" s="4" t="s">
        <v>12</v>
      </c>
      <c r="F768" s="4" t="s">
        <v>21</v>
      </c>
      <c r="G768" s="14">
        <v>5468.6803694736582</v>
      </c>
      <c r="H768" s="15">
        <v>5208.2670185463421</v>
      </c>
    </row>
    <row r="769" spans="1:8" x14ac:dyDescent="0.25">
      <c r="A769" s="16">
        <v>42</v>
      </c>
      <c r="B769" s="4" t="s">
        <v>8</v>
      </c>
      <c r="C769" s="4">
        <v>29</v>
      </c>
      <c r="D769" s="4">
        <v>1</v>
      </c>
      <c r="E769" s="4" t="s">
        <v>12</v>
      </c>
      <c r="F769" s="4" t="s">
        <v>21</v>
      </c>
      <c r="G769" s="14">
        <v>3399.0760554097501</v>
      </c>
      <c r="H769" s="15">
        <v>3237.2152908664302</v>
      </c>
    </row>
    <row r="770" spans="1:8" x14ac:dyDescent="0.25">
      <c r="A770" s="16">
        <v>64</v>
      </c>
      <c r="B770" s="4" t="s">
        <v>8</v>
      </c>
      <c r="C770" s="4">
        <v>39.700000000000003</v>
      </c>
      <c r="D770" s="4">
        <v>0</v>
      </c>
      <c r="E770" s="4" t="s">
        <v>12</v>
      </c>
      <c r="F770" s="4" t="s">
        <v>21</v>
      </c>
      <c r="G770" s="14">
        <v>6495.0878525316093</v>
      </c>
      <c r="H770" s="15">
        <v>6185.7979547920095</v>
      </c>
    </row>
    <row r="771" spans="1:8" x14ac:dyDescent="0.25">
      <c r="A771" s="16">
        <v>38</v>
      </c>
      <c r="B771" s="4" t="s">
        <v>8</v>
      </c>
      <c r="C771" s="4">
        <v>19.5</v>
      </c>
      <c r="D771" s="4">
        <v>2</v>
      </c>
      <c r="E771" s="4" t="s">
        <v>12</v>
      </c>
      <c r="F771" s="4" t="s">
        <v>20</v>
      </c>
      <c r="G771" s="14">
        <v>1709.7623033936761</v>
      </c>
      <c r="H771" s="15">
        <v>2011.4850628160902</v>
      </c>
    </row>
    <row r="772" spans="1:8" x14ac:dyDescent="0.25">
      <c r="A772" s="16">
        <v>61</v>
      </c>
      <c r="B772" s="4" t="s">
        <v>11</v>
      </c>
      <c r="C772" s="4">
        <v>36.1</v>
      </c>
      <c r="D772" s="4">
        <v>3</v>
      </c>
      <c r="E772" s="4" t="s">
        <v>12</v>
      </c>
      <c r="F772" s="4" t="s">
        <v>21</v>
      </c>
      <c r="G772" s="14">
        <v>2668.454822471911</v>
      </c>
      <c r="H772" s="15">
        <v>3557.9397632958817</v>
      </c>
    </row>
    <row r="773" spans="1:8" x14ac:dyDescent="0.25">
      <c r="A773" s="16">
        <v>53</v>
      </c>
      <c r="B773" s="4" t="s">
        <v>8</v>
      </c>
      <c r="C773" s="4">
        <v>26.7</v>
      </c>
      <c r="D773" s="4">
        <v>2</v>
      </c>
      <c r="E773" s="4" t="s">
        <v>12</v>
      </c>
      <c r="F773" s="4" t="s">
        <v>21</v>
      </c>
      <c r="G773" s="14">
        <v>2399.9870748427811</v>
      </c>
      <c r="H773" s="15">
        <v>3199.9827664570416</v>
      </c>
    </row>
    <row r="774" spans="1:8" x14ac:dyDescent="0.25">
      <c r="A774" s="16">
        <v>44</v>
      </c>
      <c r="B774" s="4" t="s">
        <v>8</v>
      </c>
      <c r="C774" s="4">
        <v>36.5</v>
      </c>
      <c r="D774" s="4">
        <v>0</v>
      </c>
      <c r="E774" s="4" t="s">
        <v>12</v>
      </c>
      <c r="F774" s="4" t="s">
        <v>15</v>
      </c>
      <c r="G774" s="14">
        <v>5069.4360813530302</v>
      </c>
      <c r="H774" s="15">
        <v>4828.0343631933638</v>
      </c>
    </row>
    <row r="775" spans="1:8" x14ac:dyDescent="0.25">
      <c r="A775" s="16">
        <v>19</v>
      </c>
      <c r="B775" s="4" t="s">
        <v>8</v>
      </c>
      <c r="C775" s="4">
        <v>22.3</v>
      </c>
      <c r="D775" s="4">
        <v>0</v>
      </c>
      <c r="E775" s="4" t="s">
        <v>9</v>
      </c>
      <c r="F775" s="4" t="s">
        <v>20</v>
      </c>
      <c r="G775" s="14">
        <v>2018.4312350383047</v>
      </c>
      <c r="H775" s="15">
        <v>2374.6249823980061</v>
      </c>
    </row>
    <row r="776" spans="1:8" x14ac:dyDescent="0.25">
      <c r="A776" s="16">
        <v>41</v>
      </c>
      <c r="B776" s="4" t="s">
        <v>11</v>
      </c>
      <c r="C776" s="4">
        <v>34.200000000000003</v>
      </c>
      <c r="D776" s="4">
        <v>2</v>
      </c>
      <c r="E776" s="4" t="s">
        <v>12</v>
      </c>
      <c r="F776" s="4" t="s">
        <v>20</v>
      </c>
      <c r="G776" s="14">
        <v>1616.0464852943023</v>
      </c>
      <c r="H776" s="15">
        <v>2154.7286470590698</v>
      </c>
    </row>
    <row r="777" spans="1:8" x14ac:dyDescent="0.25">
      <c r="A777" s="16">
        <v>51</v>
      </c>
      <c r="B777" s="4" t="s">
        <v>11</v>
      </c>
      <c r="C777" s="4">
        <v>33.299999999999997</v>
      </c>
      <c r="D777" s="4">
        <v>3</v>
      </c>
      <c r="E777" s="4" t="s">
        <v>12</v>
      </c>
      <c r="F777" s="4" t="s">
        <v>13</v>
      </c>
      <c r="G777" s="14">
        <v>3074.0465714851707</v>
      </c>
      <c r="H777" s="15">
        <v>4098.7287619802273</v>
      </c>
    </row>
    <row r="778" spans="1:8" x14ac:dyDescent="0.25">
      <c r="A778" s="16">
        <v>40</v>
      </c>
      <c r="B778" s="4" t="s">
        <v>11</v>
      </c>
      <c r="C778" s="4">
        <v>32.299999999999997</v>
      </c>
      <c r="D778" s="4">
        <v>2</v>
      </c>
      <c r="E778" s="4" t="s">
        <v>12</v>
      </c>
      <c r="F778" s="4" t="s">
        <v>20</v>
      </c>
      <c r="G778" s="14">
        <v>1669.7217289093003</v>
      </c>
      <c r="H778" s="15">
        <v>2226.2956385457337</v>
      </c>
    </row>
    <row r="779" spans="1:8" x14ac:dyDescent="0.25">
      <c r="A779" s="16">
        <v>45</v>
      </c>
      <c r="B779" s="4" t="s">
        <v>11</v>
      </c>
      <c r="C779" s="4">
        <v>39.799999999999997</v>
      </c>
      <c r="D779" s="4">
        <v>0</v>
      </c>
      <c r="E779" s="4" t="s">
        <v>12</v>
      </c>
      <c r="F779" s="4" t="s">
        <v>15</v>
      </c>
      <c r="G779" s="14">
        <v>6228.8094116795055</v>
      </c>
      <c r="H779" s="15">
        <v>5932.1994396947684</v>
      </c>
    </row>
    <row r="780" spans="1:8" x14ac:dyDescent="0.25">
      <c r="A780" s="16">
        <v>35</v>
      </c>
      <c r="B780" s="4" t="s">
        <v>11</v>
      </c>
      <c r="C780" s="4">
        <v>34.299999999999997</v>
      </c>
      <c r="D780" s="4">
        <v>3</v>
      </c>
      <c r="E780" s="4" t="s">
        <v>12</v>
      </c>
      <c r="F780" s="4" t="s">
        <v>13</v>
      </c>
      <c r="G780" s="14">
        <v>1928.3073351369276</v>
      </c>
      <c r="H780" s="15">
        <v>2571.0764468492366</v>
      </c>
    </row>
    <row r="781" spans="1:8" x14ac:dyDescent="0.25">
      <c r="A781" s="16">
        <v>53</v>
      </c>
      <c r="B781" s="4" t="s">
        <v>11</v>
      </c>
      <c r="C781" s="4">
        <v>28.9</v>
      </c>
      <c r="D781" s="4">
        <v>0</v>
      </c>
      <c r="E781" s="4" t="s">
        <v>12</v>
      </c>
      <c r="F781" s="4" t="s">
        <v>20</v>
      </c>
      <c r="G781" s="14">
        <v>5342.2285419975551</v>
      </c>
      <c r="H781" s="15">
        <v>5087.8367066643405</v>
      </c>
    </row>
    <row r="782" spans="1:8" x14ac:dyDescent="0.25">
      <c r="A782" s="16">
        <v>30</v>
      </c>
      <c r="B782" s="4" t="s">
        <v>11</v>
      </c>
      <c r="C782" s="4">
        <v>24.4</v>
      </c>
      <c r="D782" s="4">
        <v>3</v>
      </c>
      <c r="E782" s="4" t="s">
        <v>9</v>
      </c>
      <c r="F782" s="4" t="s">
        <v>21</v>
      </c>
      <c r="G782" s="14">
        <v>1943.0994167700439</v>
      </c>
      <c r="H782" s="15">
        <v>2590.7992223600586</v>
      </c>
    </row>
    <row r="783" spans="1:8" x14ac:dyDescent="0.25">
      <c r="A783" s="16">
        <v>18</v>
      </c>
      <c r="B783" s="4" t="s">
        <v>11</v>
      </c>
      <c r="C783" s="4">
        <v>24.9</v>
      </c>
      <c r="D783" s="4">
        <v>0</v>
      </c>
      <c r="E783" s="4" t="s">
        <v>12</v>
      </c>
      <c r="F783" s="4" t="s">
        <v>13</v>
      </c>
      <c r="G783" s="14">
        <v>1705.2877861420973</v>
      </c>
      <c r="H783" s="15">
        <v>2006.2209248730564</v>
      </c>
    </row>
    <row r="784" spans="1:8" x14ac:dyDescent="0.25">
      <c r="A784" s="16">
        <v>51</v>
      </c>
      <c r="B784" s="4" t="s">
        <v>11</v>
      </c>
      <c r="C784" s="4">
        <v>36</v>
      </c>
      <c r="D784" s="4">
        <v>1</v>
      </c>
      <c r="E784" s="4" t="s">
        <v>12</v>
      </c>
      <c r="F784" s="4" t="s">
        <v>13</v>
      </c>
      <c r="G784" s="14">
        <v>5651.6943464238502</v>
      </c>
      <c r="H784" s="15">
        <v>5382.5660442131921</v>
      </c>
    </row>
    <row r="785" spans="1:8" x14ac:dyDescent="0.25">
      <c r="A785" s="16">
        <v>50</v>
      </c>
      <c r="B785" s="4" t="s">
        <v>8</v>
      </c>
      <c r="C785" s="4">
        <v>27.6</v>
      </c>
      <c r="D785" s="4">
        <v>1</v>
      </c>
      <c r="E785" s="4" t="s">
        <v>9</v>
      </c>
      <c r="F785" s="4" t="s">
        <v>21</v>
      </c>
      <c r="G785" s="14">
        <v>4775.6988960993513</v>
      </c>
      <c r="H785" s="15">
        <v>4548.2846629517635</v>
      </c>
    </row>
    <row r="786" spans="1:8" x14ac:dyDescent="0.25">
      <c r="A786" s="16">
        <v>31</v>
      </c>
      <c r="B786" s="4" t="s">
        <v>8</v>
      </c>
      <c r="C786" s="4">
        <v>24.2</v>
      </c>
      <c r="D786" s="4">
        <v>1</v>
      </c>
      <c r="E786" s="4" t="s">
        <v>12</v>
      </c>
      <c r="F786" s="4" t="s">
        <v>13</v>
      </c>
      <c r="G786" s="14">
        <v>2764.9112152807711</v>
      </c>
      <c r="H786" s="15">
        <v>3252.8367238597316</v>
      </c>
    </row>
    <row r="787" spans="1:8" x14ac:dyDescent="0.25">
      <c r="A787" s="16">
        <v>35</v>
      </c>
      <c r="B787" s="4" t="s">
        <v>8</v>
      </c>
      <c r="C787" s="4">
        <v>27.7</v>
      </c>
      <c r="D787" s="4">
        <v>3</v>
      </c>
      <c r="E787" s="4" t="s">
        <v>12</v>
      </c>
      <c r="F787" s="4" t="s">
        <v>21</v>
      </c>
      <c r="G787" s="14">
        <v>1840.5162729186304</v>
      </c>
      <c r="H787" s="15">
        <v>2454.0216972248404</v>
      </c>
    </row>
    <row r="788" spans="1:8" x14ac:dyDescent="0.25">
      <c r="A788" s="16">
        <v>60</v>
      </c>
      <c r="B788" s="4" t="s">
        <v>11</v>
      </c>
      <c r="C788" s="4">
        <v>37</v>
      </c>
      <c r="D788" s="4">
        <v>0</v>
      </c>
      <c r="E788" s="4" t="s">
        <v>12</v>
      </c>
      <c r="F788" s="4" t="s">
        <v>15</v>
      </c>
      <c r="G788" s="14">
        <v>4992.5659988205307</v>
      </c>
      <c r="H788" s="15">
        <v>4754.8247607814592</v>
      </c>
    </row>
    <row r="789" spans="1:8" x14ac:dyDescent="0.25">
      <c r="A789" s="16">
        <v>21</v>
      </c>
      <c r="B789" s="4" t="s">
        <v>11</v>
      </c>
      <c r="C789" s="4">
        <v>21.3</v>
      </c>
      <c r="D789" s="4">
        <v>0</v>
      </c>
      <c r="E789" s="4" t="s">
        <v>12</v>
      </c>
      <c r="F789" s="4" t="s">
        <v>20</v>
      </c>
      <c r="G789" s="14">
        <v>2191.0996426422744</v>
      </c>
      <c r="H789" s="15">
        <v>2577.7642854615005</v>
      </c>
    </row>
    <row r="790" spans="1:8" x14ac:dyDescent="0.25">
      <c r="A790" s="16">
        <v>29</v>
      </c>
      <c r="B790" s="4" t="s">
        <v>11</v>
      </c>
      <c r="C790" s="4">
        <v>22.5</v>
      </c>
      <c r="D790" s="4">
        <v>3</v>
      </c>
      <c r="E790" s="4" t="s">
        <v>12</v>
      </c>
      <c r="F790" s="4" t="s">
        <v>15</v>
      </c>
      <c r="G790" s="14">
        <v>2725.1474061711788</v>
      </c>
      <c r="H790" s="15">
        <v>3633.5298748949049</v>
      </c>
    </row>
    <row r="791" spans="1:8" x14ac:dyDescent="0.25">
      <c r="A791" s="16">
        <v>62</v>
      </c>
      <c r="B791" s="4" t="s">
        <v>8</v>
      </c>
      <c r="C791" s="4">
        <v>29.9</v>
      </c>
      <c r="D791" s="4">
        <v>0</v>
      </c>
      <c r="E791" s="4" t="s">
        <v>12</v>
      </c>
      <c r="F791" s="4" t="s">
        <v>13</v>
      </c>
      <c r="G791" s="14">
        <v>4651.5814463996512</v>
      </c>
      <c r="H791" s="15">
        <v>4430.0775679996696</v>
      </c>
    </row>
    <row r="792" spans="1:8" x14ac:dyDescent="0.25">
      <c r="A792" s="16">
        <v>39</v>
      </c>
      <c r="B792" s="4" t="s">
        <v>8</v>
      </c>
      <c r="C792" s="4">
        <v>41.8</v>
      </c>
      <c r="D792" s="4">
        <v>0</v>
      </c>
      <c r="E792" s="4" t="s">
        <v>12</v>
      </c>
      <c r="F792" s="4" t="s">
        <v>13</v>
      </c>
      <c r="G792" s="14">
        <v>3799.136737003797</v>
      </c>
      <c r="H792" s="15">
        <v>3618.2254638131412</v>
      </c>
    </row>
    <row r="793" spans="1:8" x14ac:dyDescent="0.25">
      <c r="A793" s="16">
        <v>19</v>
      </c>
      <c r="B793" s="4" t="s">
        <v>11</v>
      </c>
      <c r="C793" s="4">
        <v>24.3</v>
      </c>
      <c r="D793" s="4">
        <v>0</v>
      </c>
      <c r="E793" s="4" t="s">
        <v>12</v>
      </c>
      <c r="F793" s="4" t="s">
        <v>21</v>
      </c>
      <c r="G793" s="14">
        <v>2706.9835700068534</v>
      </c>
      <c r="H793" s="15">
        <v>3184.6865529492406</v>
      </c>
    </row>
    <row r="794" spans="1:8" x14ac:dyDescent="0.25">
      <c r="A794" s="16">
        <v>22</v>
      </c>
      <c r="B794" s="4" t="s">
        <v>8</v>
      </c>
      <c r="C794" s="4">
        <v>25.4</v>
      </c>
      <c r="D794" s="4">
        <v>0</v>
      </c>
      <c r="E794" s="4" t="s">
        <v>12</v>
      </c>
      <c r="F794" s="4" t="s">
        <v>15</v>
      </c>
      <c r="G794" s="14">
        <v>1694.755839024687</v>
      </c>
      <c r="H794" s="15">
        <v>1993.8303988525738</v>
      </c>
    </row>
    <row r="795" spans="1:8" x14ac:dyDescent="0.25">
      <c r="A795" s="16">
        <v>53</v>
      </c>
      <c r="B795" s="4" t="s">
        <v>11</v>
      </c>
      <c r="C795" s="4">
        <v>20.9</v>
      </c>
      <c r="D795" s="4">
        <v>0</v>
      </c>
      <c r="E795" s="4" t="s">
        <v>9</v>
      </c>
      <c r="F795" s="4" t="s">
        <v>13</v>
      </c>
      <c r="G795" s="14">
        <v>4559.9938864329451</v>
      </c>
      <c r="H795" s="15">
        <v>4342.8513204123301</v>
      </c>
    </row>
    <row r="796" spans="1:8" x14ac:dyDescent="0.25">
      <c r="A796" s="16">
        <v>39</v>
      </c>
      <c r="B796" s="4" t="s">
        <v>8</v>
      </c>
      <c r="C796" s="4">
        <v>31.9</v>
      </c>
      <c r="D796" s="4">
        <v>2</v>
      </c>
      <c r="E796" s="4" t="s">
        <v>12</v>
      </c>
      <c r="F796" s="4" t="s">
        <v>20</v>
      </c>
      <c r="G796" s="14">
        <v>2337.5837116840034</v>
      </c>
      <c r="H796" s="15">
        <v>3116.7782822453378</v>
      </c>
    </row>
    <row r="797" spans="1:8" x14ac:dyDescent="0.25">
      <c r="A797" s="16">
        <v>27</v>
      </c>
      <c r="B797" s="4" t="s">
        <v>11</v>
      </c>
      <c r="C797" s="4">
        <v>21.8</v>
      </c>
      <c r="D797" s="4">
        <v>0</v>
      </c>
      <c r="E797" s="4" t="s">
        <v>9</v>
      </c>
      <c r="F797" s="4" t="s">
        <v>20</v>
      </c>
      <c r="G797" s="14">
        <v>1748.7514067188097</v>
      </c>
      <c r="H797" s="15">
        <v>2057.3545961397767</v>
      </c>
    </row>
    <row r="798" spans="1:8" x14ac:dyDescent="0.25">
      <c r="A798" s="16">
        <v>30</v>
      </c>
      <c r="B798" s="4" t="s">
        <v>11</v>
      </c>
      <c r="C798" s="4">
        <v>44.2</v>
      </c>
      <c r="D798" s="4">
        <v>2</v>
      </c>
      <c r="E798" s="4" t="s">
        <v>12</v>
      </c>
      <c r="F798" s="4" t="s">
        <v>13</v>
      </c>
      <c r="G798" s="14">
        <v>2489.4504886496106</v>
      </c>
      <c r="H798" s="15">
        <v>3319.2673181994805</v>
      </c>
    </row>
    <row r="799" spans="1:8" x14ac:dyDescent="0.25">
      <c r="A799" s="16">
        <v>30</v>
      </c>
      <c r="B799" s="4" t="s">
        <v>8</v>
      </c>
      <c r="C799" s="4">
        <v>25.9</v>
      </c>
      <c r="D799" s="4">
        <v>1</v>
      </c>
      <c r="E799" s="4" t="s">
        <v>12</v>
      </c>
      <c r="F799" s="4" t="s">
        <v>15</v>
      </c>
      <c r="G799" s="14">
        <v>2050.8913231256138</v>
      </c>
      <c r="H799" s="15">
        <v>2412.8133213242522</v>
      </c>
    </row>
    <row r="800" spans="1:8" x14ac:dyDescent="0.25">
      <c r="A800" s="16">
        <v>58</v>
      </c>
      <c r="B800" s="4" t="s">
        <v>8</v>
      </c>
      <c r="C800" s="4">
        <v>33.1</v>
      </c>
      <c r="D800" s="4">
        <v>0</v>
      </c>
      <c r="E800" s="4" t="s">
        <v>12</v>
      </c>
      <c r="F800" s="4" t="s">
        <v>21</v>
      </c>
      <c r="G800" s="14">
        <v>4010.879498426908</v>
      </c>
      <c r="H800" s="15">
        <v>3819.885236597057</v>
      </c>
    </row>
    <row r="801" spans="1:8" x14ac:dyDescent="0.25">
      <c r="A801" s="16">
        <v>33</v>
      </c>
      <c r="B801" s="4" t="s">
        <v>11</v>
      </c>
      <c r="C801" s="4">
        <v>21.3</v>
      </c>
      <c r="D801" s="4">
        <v>0</v>
      </c>
      <c r="E801" s="4" t="s">
        <v>9</v>
      </c>
      <c r="F801" s="4" t="s">
        <v>15</v>
      </c>
      <c r="G801" s="14">
        <v>1711.4185196856738</v>
      </c>
      <c r="H801" s="15">
        <v>2013.4335525713818</v>
      </c>
    </row>
    <row r="802" spans="1:8" x14ac:dyDescent="0.25">
      <c r="A802" s="16">
        <v>42</v>
      </c>
      <c r="B802" s="4" t="s">
        <v>8</v>
      </c>
      <c r="C802" s="4">
        <v>26.2</v>
      </c>
      <c r="D802" s="4">
        <v>1</v>
      </c>
      <c r="E802" s="4" t="s">
        <v>12</v>
      </c>
      <c r="F802" s="4" t="s">
        <v>13</v>
      </c>
      <c r="G802" s="14">
        <v>1977.5373912611312</v>
      </c>
      <c r="H802" s="15">
        <v>2326.5145779542731</v>
      </c>
    </row>
    <row r="803" spans="1:8" x14ac:dyDescent="0.25">
      <c r="A803" s="16">
        <v>64</v>
      </c>
      <c r="B803" s="4" t="s">
        <v>8</v>
      </c>
      <c r="C803" s="4">
        <v>36</v>
      </c>
      <c r="D803" s="4">
        <v>0</v>
      </c>
      <c r="E803" s="4" t="s">
        <v>12</v>
      </c>
      <c r="F803" s="4" t="s">
        <v>13</v>
      </c>
      <c r="G803" s="14">
        <v>4843.3093018663767</v>
      </c>
      <c r="H803" s="15">
        <v>4612.6755255870266</v>
      </c>
    </row>
    <row r="804" spans="1:8" x14ac:dyDescent="0.25">
      <c r="A804" s="16">
        <v>21</v>
      </c>
      <c r="B804" s="4" t="s">
        <v>11</v>
      </c>
      <c r="C804" s="4">
        <v>23.4</v>
      </c>
      <c r="D804" s="4">
        <v>1</v>
      </c>
      <c r="E804" s="4" t="s">
        <v>12</v>
      </c>
      <c r="F804" s="4" t="s">
        <v>21</v>
      </c>
      <c r="G804" s="14">
        <v>1413.541126863593</v>
      </c>
      <c r="H804" s="15">
        <v>1662.9895610159924</v>
      </c>
    </row>
    <row r="805" spans="1:8" x14ac:dyDescent="0.25">
      <c r="A805" s="16">
        <v>18</v>
      </c>
      <c r="B805" s="4" t="s">
        <v>8</v>
      </c>
      <c r="C805" s="4">
        <v>24.5</v>
      </c>
      <c r="D805" s="4">
        <v>0</v>
      </c>
      <c r="E805" s="4" t="s">
        <v>9</v>
      </c>
      <c r="F805" s="4" t="s">
        <v>13</v>
      </c>
      <c r="G805" s="14">
        <v>1294.1261489187441</v>
      </c>
      <c r="H805" s="15">
        <v>1522.5013516691115</v>
      </c>
    </row>
    <row r="806" spans="1:8" x14ac:dyDescent="0.25">
      <c r="A806" s="16">
        <v>23</v>
      </c>
      <c r="B806" s="4" t="s">
        <v>11</v>
      </c>
      <c r="C806" s="4">
        <v>25.6</v>
      </c>
      <c r="D806" s="4">
        <v>0</v>
      </c>
      <c r="E806" s="4" t="s">
        <v>12</v>
      </c>
      <c r="F806" s="4" t="s">
        <v>13</v>
      </c>
      <c r="G806" s="14">
        <v>1758.6114876228007</v>
      </c>
      <c r="H806" s="15">
        <v>2068.9546913209429</v>
      </c>
    </row>
    <row r="807" spans="1:8" x14ac:dyDescent="0.25">
      <c r="A807" s="16">
        <v>45</v>
      </c>
      <c r="B807" s="4" t="s">
        <v>8</v>
      </c>
      <c r="C807" s="4">
        <v>35.799999999999997</v>
      </c>
      <c r="D807" s="4">
        <v>0</v>
      </c>
      <c r="E807" s="4" t="s">
        <v>12</v>
      </c>
      <c r="F807" s="4" t="s">
        <v>20</v>
      </c>
      <c r="G807" s="14">
        <v>4340.7993073973093</v>
      </c>
      <c r="H807" s="15">
        <v>4134.0945784736296</v>
      </c>
    </row>
    <row r="808" spans="1:8" x14ac:dyDescent="0.25">
      <c r="A808" s="16">
        <v>40</v>
      </c>
      <c r="B808" s="4" t="s">
        <v>8</v>
      </c>
      <c r="C808" s="4">
        <v>41.4</v>
      </c>
      <c r="D808" s="4">
        <v>1</v>
      </c>
      <c r="E808" s="4" t="s">
        <v>12</v>
      </c>
      <c r="F808" s="4" t="s">
        <v>20</v>
      </c>
      <c r="G808" s="14">
        <v>5278.074346342697</v>
      </c>
      <c r="H808" s="15">
        <v>5026.737472707332</v>
      </c>
    </row>
    <row r="809" spans="1:8" x14ac:dyDescent="0.25">
      <c r="A809" s="16">
        <v>19</v>
      </c>
      <c r="B809" s="4" t="s">
        <v>8</v>
      </c>
      <c r="C809" s="4">
        <v>24.5</v>
      </c>
      <c r="D809" s="4">
        <v>0</v>
      </c>
      <c r="E809" s="4" t="s">
        <v>12</v>
      </c>
      <c r="F809" s="4" t="s">
        <v>20</v>
      </c>
      <c r="G809" s="14">
        <v>1246.494800114094</v>
      </c>
      <c r="H809" s="15">
        <v>1466.4644707224643</v>
      </c>
    </row>
    <row r="810" spans="1:8" x14ac:dyDescent="0.25">
      <c r="A810" s="16">
        <v>18</v>
      </c>
      <c r="B810" s="4" t="s">
        <v>11</v>
      </c>
      <c r="C810" s="4">
        <v>21.8</v>
      </c>
      <c r="D810" s="4">
        <v>0</v>
      </c>
      <c r="E810" s="4" t="s">
        <v>12</v>
      </c>
      <c r="F810" s="4" t="s">
        <v>13</v>
      </c>
      <c r="G810" s="14">
        <v>2069.0391995291684</v>
      </c>
      <c r="H810" s="15">
        <v>2434.1637641519637</v>
      </c>
    </row>
    <row r="811" spans="1:8" x14ac:dyDescent="0.25">
      <c r="A811" s="16">
        <v>25</v>
      </c>
      <c r="B811" s="4" t="s">
        <v>11</v>
      </c>
      <c r="C811" s="4">
        <v>21.2</v>
      </c>
      <c r="D811" s="4">
        <v>1</v>
      </c>
      <c r="E811" s="4" t="s">
        <v>12</v>
      </c>
      <c r="F811" s="4" t="s">
        <v>15</v>
      </c>
      <c r="G811" s="14">
        <v>2621.0680850860972</v>
      </c>
      <c r="H811" s="15">
        <v>3083.6095118659978</v>
      </c>
    </row>
    <row r="812" spans="1:8" x14ac:dyDescent="0.25">
      <c r="A812" s="16">
        <v>46</v>
      </c>
      <c r="B812" s="4" t="s">
        <v>8</v>
      </c>
      <c r="C812" s="4">
        <v>30.8</v>
      </c>
      <c r="D812" s="4">
        <v>3</v>
      </c>
      <c r="E812" s="4" t="s">
        <v>12</v>
      </c>
      <c r="F812" s="4" t="s">
        <v>21</v>
      </c>
      <c r="G812" s="14">
        <v>2368.7236299329888</v>
      </c>
      <c r="H812" s="15">
        <v>3158.2981732439853</v>
      </c>
    </row>
    <row r="813" spans="1:8" x14ac:dyDescent="0.25">
      <c r="A813" s="16">
        <v>33</v>
      </c>
      <c r="B813" s="4" t="s">
        <v>8</v>
      </c>
      <c r="C813" s="4">
        <v>42.9</v>
      </c>
      <c r="D813" s="4">
        <v>3</v>
      </c>
      <c r="E813" s="4" t="s">
        <v>12</v>
      </c>
      <c r="F813" s="4" t="s">
        <v>20</v>
      </c>
      <c r="G813" s="14">
        <v>2291.7366227995203</v>
      </c>
      <c r="H813" s="15">
        <v>3055.6488303993606</v>
      </c>
    </row>
    <row r="814" spans="1:8" x14ac:dyDescent="0.25">
      <c r="A814" s="16">
        <v>54</v>
      </c>
      <c r="B814" s="4" t="s">
        <v>11</v>
      </c>
      <c r="C814" s="4">
        <v>21</v>
      </c>
      <c r="D814" s="4">
        <v>2</v>
      </c>
      <c r="E814" s="4" t="s">
        <v>12</v>
      </c>
      <c r="F814" s="4" t="s">
        <v>13</v>
      </c>
      <c r="G814" s="14">
        <v>2047.4008059080829</v>
      </c>
      <c r="H814" s="15">
        <v>2729.8677412107772</v>
      </c>
    </row>
    <row r="815" spans="1:8" x14ac:dyDescent="0.25">
      <c r="A815" s="16">
        <v>28</v>
      </c>
      <c r="B815" s="4" t="s">
        <v>11</v>
      </c>
      <c r="C815" s="4">
        <v>23.1</v>
      </c>
      <c r="D815" s="4">
        <v>2</v>
      </c>
      <c r="E815" s="4" t="s">
        <v>12</v>
      </c>
      <c r="F815" s="4" t="s">
        <v>15</v>
      </c>
      <c r="G815" s="14">
        <v>1678.4202517246583</v>
      </c>
      <c r="H815" s="15">
        <v>1974.6120608525398</v>
      </c>
    </row>
    <row r="816" spans="1:8" x14ac:dyDescent="0.25">
      <c r="A816" s="16">
        <v>36</v>
      </c>
      <c r="B816" s="4" t="s">
        <v>11</v>
      </c>
      <c r="C816" s="4">
        <v>34.4</v>
      </c>
      <c r="D816" s="4">
        <v>2</v>
      </c>
      <c r="E816" s="4" t="s">
        <v>12</v>
      </c>
      <c r="F816" s="4" t="s">
        <v>13</v>
      </c>
      <c r="G816" s="14">
        <v>1870.1007234831231</v>
      </c>
      <c r="H816" s="15">
        <v>2493.4676313108307</v>
      </c>
    </row>
    <row r="817" spans="1:8" x14ac:dyDescent="0.25">
      <c r="A817" s="16">
        <v>20</v>
      </c>
      <c r="B817" s="4" t="s">
        <v>8</v>
      </c>
      <c r="C817" s="4">
        <v>21.9</v>
      </c>
      <c r="D817" s="4">
        <v>0</v>
      </c>
      <c r="E817" s="4" t="s">
        <v>12</v>
      </c>
      <c r="F817" s="4" t="s">
        <v>13</v>
      </c>
      <c r="G817" s="14">
        <v>2194.4546407386038</v>
      </c>
      <c r="H817" s="15">
        <v>2581.711342045417</v>
      </c>
    </row>
    <row r="818" spans="1:8" x14ac:dyDescent="0.25">
      <c r="A818" s="16">
        <v>24</v>
      </c>
      <c r="B818" s="4" t="s">
        <v>8</v>
      </c>
      <c r="C818" s="4">
        <v>20.6</v>
      </c>
      <c r="D818" s="4">
        <v>0</v>
      </c>
      <c r="E818" s="4" t="s">
        <v>12</v>
      </c>
      <c r="F818" s="4" t="s">
        <v>20</v>
      </c>
      <c r="G818" s="14">
        <v>1986.8006552361007</v>
      </c>
      <c r="H818" s="15">
        <v>2337.4125355718843</v>
      </c>
    </row>
    <row r="819" spans="1:8" x14ac:dyDescent="0.25">
      <c r="A819" s="16">
        <v>23</v>
      </c>
      <c r="B819" s="4" t="s">
        <v>11</v>
      </c>
      <c r="C819" s="4">
        <v>37.1</v>
      </c>
      <c r="D819" s="4">
        <v>3</v>
      </c>
      <c r="E819" s="4" t="s">
        <v>12</v>
      </c>
      <c r="F819" s="4" t="s">
        <v>21</v>
      </c>
      <c r="G819" s="14">
        <v>2096.6121236747881</v>
      </c>
      <c r="H819" s="15">
        <v>2795.482831566384</v>
      </c>
    </row>
    <row r="820" spans="1:8" x14ac:dyDescent="0.25">
      <c r="A820" s="16">
        <v>47</v>
      </c>
      <c r="B820" s="4" t="s">
        <v>8</v>
      </c>
      <c r="C820" s="4">
        <v>26.1</v>
      </c>
      <c r="D820" s="4">
        <v>1</v>
      </c>
      <c r="E820" s="4" t="s">
        <v>9</v>
      </c>
      <c r="F820" s="4" t="s">
        <v>15</v>
      </c>
      <c r="G820" s="14">
        <v>3916.536489932088</v>
      </c>
      <c r="H820" s="15">
        <v>3730.0347523162759</v>
      </c>
    </row>
    <row r="821" spans="1:8" x14ac:dyDescent="0.25">
      <c r="A821" s="16">
        <v>33</v>
      </c>
      <c r="B821" s="4" t="s">
        <v>8</v>
      </c>
      <c r="C821" s="4">
        <v>23.7</v>
      </c>
      <c r="D821" s="4">
        <v>0</v>
      </c>
      <c r="E821" s="4" t="s">
        <v>9</v>
      </c>
      <c r="F821" s="4" t="s">
        <v>20</v>
      </c>
      <c r="G821" s="14">
        <v>1590.5343834914638</v>
      </c>
      <c r="H821" s="15">
        <v>1871.2169217546643</v>
      </c>
    </row>
    <row r="822" spans="1:8" x14ac:dyDescent="0.25">
      <c r="A822" s="16">
        <v>45</v>
      </c>
      <c r="B822" s="4" t="s">
        <v>11</v>
      </c>
      <c r="C822" s="4">
        <v>33.700000000000003</v>
      </c>
      <c r="D822" s="4">
        <v>1</v>
      </c>
      <c r="E822" s="4" t="s">
        <v>12</v>
      </c>
      <c r="F822" s="4" t="s">
        <v>21</v>
      </c>
      <c r="G822" s="14">
        <v>3696.6833524110552</v>
      </c>
      <c r="H822" s="15">
        <v>3520.6508118200541</v>
      </c>
    </row>
    <row r="823" spans="1:8" x14ac:dyDescent="0.25">
      <c r="A823" s="16">
        <v>26</v>
      </c>
      <c r="B823" s="4" t="s">
        <v>11</v>
      </c>
      <c r="C823" s="4">
        <v>25.4</v>
      </c>
      <c r="D823" s="4">
        <v>0</v>
      </c>
      <c r="E823" s="4" t="s">
        <v>12</v>
      </c>
      <c r="F823" s="4" t="s">
        <v>20</v>
      </c>
      <c r="G823" s="14">
        <v>2057.4544826276929</v>
      </c>
      <c r="H823" s="15">
        <v>2420.5346854443455</v>
      </c>
    </row>
    <row r="824" spans="1:8" x14ac:dyDescent="0.25">
      <c r="A824" s="16">
        <v>18</v>
      </c>
      <c r="B824" s="4" t="s">
        <v>8</v>
      </c>
      <c r="C824" s="4">
        <v>25.2</v>
      </c>
      <c r="D824" s="4">
        <v>0</v>
      </c>
      <c r="E824" s="4" t="s">
        <v>12</v>
      </c>
      <c r="F824" s="4" t="s">
        <v>13</v>
      </c>
      <c r="G824" s="14">
        <v>1681.7821832741047</v>
      </c>
      <c r="H824" s="15">
        <v>1978.5672744401238</v>
      </c>
    </row>
    <row r="825" spans="1:8" x14ac:dyDescent="0.25">
      <c r="A825" s="16">
        <v>44</v>
      </c>
      <c r="B825" s="4" t="s">
        <v>8</v>
      </c>
      <c r="C825" s="4">
        <v>29.8</v>
      </c>
      <c r="D825" s="4">
        <v>2</v>
      </c>
      <c r="E825" s="4" t="s">
        <v>12</v>
      </c>
      <c r="F825" s="4" t="s">
        <v>13</v>
      </c>
      <c r="G825" s="14">
        <v>1646.806905566104</v>
      </c>
      <c r="H825" s="15">
        <v>2195.7425407548053</v>
      </c>
    </row>
    <row r="826" spans="1:8" x14ac:dyDescent="0.25">
      <c r="A826" s="16">
        <v>60</v>
      </c>
      <c r="B826" s="4" t="s">
        <v>11</v>
      </c>
      <c r="C826" s="4">
        <v>24.3</v>
      </c>
      <c r="D826" s="4">
        <v>0</v>
      </c>
      <c r="E826" s="4" t="s">
        <v>12</v>
      </c>
      <c r="F826" s="4" t="s">
        <v>20</v>
      </c>
      <c r="G826" s="14">
        <v>3920.3701513399542</v>
      </c>
      <c r="H826" s="15">
        <v>3733.6858584190049</v>
      </c>
    </row>
    <row r="827" spans="1:8" x14ac:dyDescent="0.25">
      <c r="A827" s="16">
        <v>64</v>
      </c>
      <c r="B827" s="4" t="s">
        <v>8</v>
      </c>
      <c r="C827" s="4">
        <v>31.8</v>
      </c>
      <c r="D827" s="4">
        <v>2</v>
      </c>
      <c r="E827" s="4" t="s">
        <v>12</v>
      </c>
      <c r="F827" s="4" t="s">
        <v>15</v>
      </c>
      <c r="G827" s="14">
        <v>4034.6292686084598</v>
      </c>
      <c r="H827" s="15">
        <v>3842.5040653413917</v>
      </c>
    </row>
    <row r="828" spans="1:8" x14ac:dyDescent="0.25">
      <c r="A828" s="16">
        <v>56</v>
      </c>
      <c r="B828" s="4" t="s">
        <v>11</v>
      </c>
      <c r="C828" s="4">
        <v>31.8</v>
      </c>
      <c r="D828" s="4">
        <v>2</v>
      </c>
      <c r="E828" s="4" t="s">
        <v>9</v>
      </c>
      <c r="F828" s="4" t="s">
        <v>13</v>
      </c>
      <c r="G828" s="14">
        <v>1575.9378594340019</v>
      </c>
      <c r="H828" s="15">
        <v>2101.250479245336</v>
      </c>
    </row>
    <row r="829" spans="1:8" x14ac:dyDescent="0.25">
      <c r="A829" s="16">
        <v>36</v>
      </c>
      <c r="B829" s="4" t="s">
        <v>11</v>
      </c>
      <c r="C829" s="4">
        <v>22.6</v>
      </c>
      <c r="D829" s="4">
        <v>1</v>
      </c>
      <c r="E829" s="4" t="s">
        <v>9</v>
      </c>
      <c r="F829" s="4" t="s">
        <v>15</v>
      </c>
      <c r="G829" s="14">
        <v>1631.0800637001457</v>
      </c>
      <c r="H829" s="15">
        <v>1918.917722000172</v>
      </c>
    </row>
    <row r="830" spans="1:8" x14ac:dyDescent="0.25">
      <c r="A830" s="16">
        <v>41</v>
      </c>
      <c r="B830" s="4" t="s">
        <v>11</v>
      </c>
      <c r="C830" s="4">
        <v>30.8</v>
      </c>
      <c r="D830" s="4">
        <v>3</v>
      </c>
      <c r="E830" s="4" t="s">
        <v>9</v>
      </c>
      <c r="F830" s="4" t="s">
        <v>15</v>
      </c>
      <c r="G830" s="14">
        <v>2273.0450592095217</v>
      </c>
      <c r="H830" s="15">
        <v>3030.7267456126956</v>
      </c>
    </row>
    <row r="831" spans="1:8" x14ac:dyDescent="0.25">
      <c r="A831" s="16">
        <v>39</v>
      </c>
      <c r="B831" s="4" t="s">
        <v>11</v>
      </c>
      <c r="C831" s="4">
        <v>22.5</v>
      </c>
      <c r="D831" s="4">
        <v>1</v>
      </c>
      <c r="E831" s="4" t="s">
        <v>12</v>
      </c>
      <c r="F831" s="4" t="s">
        <v>20</v>
      </c>
      <c r="G831" s="14">
        <v>1604.2335129957773</v>
      </c>
      <c r="H831" s="15">
        <v>1887.3335447009151</v>
      </c>
    </row>
    <row r="832" spans="1:8" x14ac:dyDescent="0.25">
      <c r="A832" s="16">
        <v>63</v>
      </c>
      <c r="B832" s="4" t="s">
        <v>11</v>
      </c>
      <c r="C832" s="4">
        <v>33.1</v>
      </c>
      <c r="D832" s="4">
        <v>0</v>
      </c>
      <c r="E832" s="4" t="s">
        <v>12</v>
      </c>
      <c r="F832" s="4" t="s">
        <v>21</v>
      </c>
      <c r="G832" s="14">
        <v>4379.9955779969878</v>
      </c>
      <c r="H832" s="15">
        <v>4171.4243599971323</v>
      </c>
    </row>
    <row r="833" spans="1:8" x14ac:dyDescent="0.25">
      <c r="A833" s="16">
        <v>36</v>
      </c>
      <c r="B833" s="4" t="s">
        <v>8</v>
      </c>
      <c r="C833" s="4">
        <v>23.8</v>
      </c>
      <c r="D833" s="4">
        <v>0</v>
      </c>
      <c r="E833" s="4" t="s">
        <v>12</v>
      </c>
      <c r="F833" s="4" t="s">
        <v>20</v>
      </c>
      <c r="G833" s="14">
        <v>2062.3277691084968</v>
      </c>
      <c r="H833" s="15">
        <v>2426.267963657056</v>
      </c>
    </row>
    <row r="834" spans="1:8" x14ac:dyDescent="0.25">
      <c r="A834" s="16">
        <v>28</v>
      </c>
      <c r="B834" s="4" t="s">
        <v>8</v>
      </c>
      <c r="C834" s="4">
        <v>23.8</v>
      </c>
      <c r="D834" s="4">
        <v>2</v>
      </c>
      <c r="E834" s="4" t="s">
        <v>12</v>
      </c>
      <c r="F834" s="4" t="s">
        <v>20</v>
      </c>
      <c r="G834" s="14">
        <v>2042.1523197155825</v>
      </c>
      <c r="H834" s="15">
        <v>2402.5321408418627</v>
      </c>
    </row>
    <row r="835" spans="1:8" x14ac:dyDescent="0.25">
      <c r="A835" s="16">
        <v>58</v>
      </c>
      <c r="B835" s="4" t="s">
        <v>11</v>
      </c>
      <c r="C835" s="4">
        <v>34.4</v>
      </c>
      <c r="D835" s="4">
        <v>0</v>
      </c>
      <c r="E835" s="4" t="s">
        <v>12</v>
      </c>
      <c r="F835" s="4" t="s">
        <v>20</v>
      </c>
      <c r="G835" s="14">
        <v>5418.5174088057684</v>
      </c>
      <c r="H835" s="15">
        <v>5160.4927702912091</v>
      </c>
    </row>
    <row r="836" spans="1:8" x14ac:dyDescent="0.25">
      <c r="A836" s="16">
        <v>36</v>
      </c>
      <c r="B836" s="4" t="s">
        <v>11</v>
      </c>
      <c r="C836" s="4">
        <v>20.6</v>
      </c>
      <c r="D836" s="4">
        <v>1</v>
      </c>
      <c r="E836" s="4" t="s">
        <v>12</v>
      </c>
      <c r="F836" s="4" t="s">
        <v>20</v>
      </c>
      <c r="G836" s="14">
        <v>2187.8637019245534</v>
      </c>
      <c r="H836" s="15">
        <v>2573.9572963818282</v>
      </c>
    </row>
    <row r="837" spans="1:8" x14ac:dyDescent="0.25">
      <c r="A837" s="16">
        <v>42</v>
      </c>
      <c r="B837" s="4" t="s">
        <v>11</v>
      </c>
      <c r="C837" s="4">
        <v>36</v>
      </c>
      <c r="D837" s="4">
        <v>2</v>
      </c>
      <c r="E837" s="4" t="s">
        <v>12</v>
      </c>
      <c r="F837" s="4" t="s">
        <v>13</v>
      </c>
      <c r="G837" s="14">
        <v>2013.858034757634</v>
      </c>
      <c r="H837" s="15">
        <v>2685.1440463435119</v>
      </c>
    </row>
    <row r="838" spans="1:8" x14ac:dyDescent="0.25">
      <c r="A838" s="16">
        <v>36</v>
      </c>
      <c r="B838" s="4" t="s">
        <v>11</v>
      </c>
      <c r="C838" s="4">
        <v>20.7</v>
      </c>
      <c r="D838" s="4">
        <v>0</v>
      </c>
      <c r="E838" s="4" t="s">
        <v>12</v>
      </c>
      <c r="F838" s="4" t="s">
        <v>21</v>
      </c>
      <c r="G838" s="14">
        <v>1830.9605369283327</v>
      </c>
      <c r="H838" s="15">
        <v>2154.0712199156865</v>
      </c>
    </row>
    <row r="839" spans="1:8" x14ac:dyDescent="0.25">
      <c r="A839" s="16">
        <v>56</v>
      </c>
      <c r="B839" s="4" t="s">
        <v>8</v>
      </c>
      <c r="C839" s="4">
        <v>28.3</v>
      </c>
      <c r="D839" s="4">
        <v>0</v>
      </c>
      <c r="E839" s="4" t="s">
        <v>12</v>
      </c>
      <c r="F839" s="4" t="s">
        <v>15</v>
      </c>
      <c r="G839" s="14">
        <v>3539.9292980009213</v>
      </c>
      <c r="H839" s="15">
        <v>3371.3612361913556</v>
      </c>
    </row>
    <row r="840" spans="1:8" x14ac:dyDescent="0.25">
      <c r="A840" s="16">
        <v>35</v>
      </c>
      <c r="B840" s="4" t="s">
        <v>8</v>
      </c>
      <c r="C840" s="4">
        <v>23.5</v>
      </c>
      <c r="D840" s="4">
        <v>2</v>
      </c>
      <c r="E840" s="4" t="s">
        <v>12</v>
      </c>
      <c r="F840" s="4" t="s">
        <v>15</v>
      </c>
      <c r="G840" s="14">
        <v>1698.5684468902086</v>
      </c>
      <c r="H840" s="15">
        <v>1998.3158198708345</v>
      </c>
    </row>
    <row r="841" spans="1:8" x14ac:dyDescent="0.25">
      <c r="A841" s="16">
        <v>59</v>
      </c>
      <c r="B841" s="4" t="s">
        <v>8</v>
      </c>
      <c r="C841" s="4">
        <v>31.4</v>
      </c>
      <c r="D841" s="4">
        <v>0</v>
      </c>
      <c r="E841" s="4" t="s">
        <v>12</v>
      </c>
      <c r="F841" s="4" t="s">
        <v>20</v>
      </c>
      <c r="G841" s="14">
        <v>4036.3519818248192</v>
      </c>
      <c r="H841" s="15">
        <v>3844.1447445950671</v>
      </c>
    </row>
    <row r="842" spans="1:8" x14ac:dyDescent="0.25">
      <c r="A842" s="16">
        <v>21</v>
      </c>
      <c r="B842" s="4" t="s">
        <v>11</v>
      </c>
      <c r="C842" s="4">
        <v>23.8</v>
      </c>
      <c r="D842" s="4">
        <v>0</v>
      </c>
      <c r="E842" s="4" t="s">
        <v>12</v>
      </c>
      <c r="F842" s="4" t="s">
        <v>21</v>
      </c>
      <c r="G842" s="14">
        <v>2038.6328303629705</v>
      </c>
      <c r="H842" s="15">
        <v>2398.3915651329071</v>
      </c>
    </row>
    <row r="843" spans="1:8" x14ac:dyDescent="0.25">
      <c r="A843" s="16">
        <v>59</v>
      </c>
      <c r="B843" s="4" t="s">
        <v>11</v>
      </c>
      <c r="C843" s="4">
        <v>24.7</v>
      </c>
      <c r="D843" s="4">
        <v>0</v>
      </c>
      <c r="E843" s="4" t="s">
        <v>12</v>
      </c>
      <c r="F843" s="4" t="s">
        <v>15</v>
      </c>
      <c r="G843" s="14">
        <v>4998.1734910599653</v>
      </c>
      <c r="H843" s="15">
        <v>4760.1652295809208</v>
      </c>
    </row>
    <row r="844" spans="1:8" x14ac:dyDescent="0.25">
      <c r="A844" s="16">
        <v>23</v>
      </c>
      <c r="B844" s="4" t="s">
        <v>8</v>
      </c>
      <c r="C844" s="4">
        <v>32.799999999999997</v>
      </c>
      <c r="D844" s="4">
        <v>2</v>
      </c>
      <c r="E844" s="4" t="s">
        <v>9</v>
      </c>
      <c r="F844" s="4" t="s">
        <v>13</v>
      </c>
      <c r="G844" s="14">
        <v>1711.4599844002623</v>
      </c>
      <c r="H844" s="15">
        <v>2281.9466458670163</v>
      </c>
    </row>
    <row r="845" spans="1:8" x14ac:dyDescent="0.25">
      <c r="A845" s="16">
        <v>57</v>
      </c>
      <c r="B845" s="4" t="s">
        <v>8</v>
      </c>
      <c r="C845" s="4">
        <v>29.8</v>
      </c>
      <c r="D845" s="4">
        <v>0</v>
      </c>
      <c r="E845" s="4" t="s">
        <v>9</v>
      </c>
      <c r="F845" s="4" t="s">
        <v>13</v>
      </c>
      <c r="G845" s="14">
        <v>4497.7822645139513</v>
      </c>
      <c r="H845" s="15">
        <v>4283.6021566799554</v>
      </c>
    </row>
    <row r="846" spans="1:8" x14ac:dyDescent="0.25">
      <c r="A846" s="16">
        <v>53</v>
      </c>
      <c r="B846" s="4" t="s">
        <v>11</v>
      </c>
      <c r="C846" s="4">
        <v>30.5</v>
      </c>
      <c r="D846" s="4">
        <v>0</v>
      </c>
      <c r="E846" s="4" t="s">
        <v>12</v>
      </c>
      <c r="F846" s="4" t="s">
        <v>15</v>
      </c>
      <c r="G846" s="14">
        <v>4567.0162453083722</v>
      </c>
      <c r="H846" s="15">
        <v>4349.5392812460695</v>
      </c>
    </row>
    <row r="847" spans="1:8" x14ac:dyDescent="0.25">
      <c r="A847" s="16">
        <v>60</v>
      </c>
      <c r="B847" s="4" t="s">
        <v>8</v>
      </c>
      <c r="C847" s="4">
        <v>32.5</v>
      </c>
      <c r="D847" s="4">
        <v>0</v>
      </c>
      <c r="E847" s="4" t="s">
        <v>9</v>
      </c>
      <c r="F847" s="4" t="s">
        <v>13</v>
      </c>
      <c r="G847" s="14">
        <v>3938.2216220428509</v>
      </c>
      <c r="H847" s="15">
        <v>3750.6872590884309</v>
      </c>
    </row>
    <row r="848" spans="1:8" x14ac:dyDescent="0.25">
      <c r="A848" s="16">
        <v>51</v>
      </c>
      <c r="B848" s="4" t="s">
        <v>8</v>
      </c>
      <c r="C848" s="4">
        <v>34.200000000000003</v>
      </c>
      <c r="D848" s="4">
        <v>1</v>
      </c>
      <c r="E848" s="4" t="s">
        <v>12</v>
      </c>
      <c r="F848" s="4" t="s">
        <v>21</v>
      </c>
      <c r="G848" s="14">
        <v>5811.9153699357894</v>
      </c>
      <c r="H848" s="15">
        <v>5535.1574951769435</v>
      </c>
    </row>
    <row r="849" spans="1:8" x14ac:dyDescent="0.25">
      <c r="A849" s="16">
        <v>23</v>
      </c>
      <c r="B849" s="4" t="s">
        <v>11</v>
      </c>
      <c r="C849" s="4">
        <v>22.4</v>
      </c>
      <c r="D849" s="4">
        <v>1</v>
      </c>
      <c r="E849" s="4" t="s">
        <v>12</v>
      </c>
      <c r="F849" s="4" t="s">
        <v>13</v>
      </c>
      <c r="G849" s="14">
        <v>1923.7927542512634</v>
      </c>
      <c r="H849" s="15">
        <v>2263.2855932367811</v>
      </c>
    </row>
    <row r="850" spans="1:8" x14ac:dyDescent="0.25">
      <c r="A850" s="16">
        <v>27</v>
      </c>
      <c r="B850" s="4" t="s">
        <v>8</v>
      </c>
      <c r="C850" s="4">
        <v>22</v>
      </c>
      <c r="D850" s="4">
        <v>0</v>
      </c>
      <c r="E850" s="4" t="s">
        <v>12</v>
      </c>
      <c r="F850" s="4" t="s">
        <v>21</v>
      </c>
      <c r="G850" s="14">
        <v>1424.1583761179936</v>
      </c>
      <c r="H850" s="15">
        <v>1675.4804424917581</v>
      </c>
    </row>
    <row r="851" spans="1:8" x14ac:dyDescent="0.25">
      <c r="A851" s="16">
        <v>55</v>
      </c>
      <c r="B851" s="4" t="s">
        <v>11</v>
      </c>
      <c r="C851" s="4">
        <v>32.799999999999997</v>
      </c>
      <c r="D851" s="4">
        <v>0</v>
      </c>
      <c r="E851" s="4" t="s">
        <v>12</v>
      </c>
      <c r="F851" s="4" t="s">
        <v>20</v>
      </c>
      <c r="G851" s="14">
        <v>4549.3442811583909</v>
      </c>
      <c r="H851" s="15">
        <v>4332.7088391984689</v>
      </c>
    </row>
    <row r="852" spans="1:8" x14ac:dyDescent="0.25">
      <c r="A852" s="16">
        <v>37</v>
      </c>
      <c r="B852" s="4" t="s">
        <v>8</v>
      </c>
      <c r="C852" s="4">
        <v>25.6</v>
      </c>
      <c r="D852" s="4">
        <v>0</v>
      </c>
      <c r="E852" s="4" t="s">
        <v>9</v>
      </c>
      <c r="F852" s="4" t="s">
        <v>15</v>
      </c>
      <c r="G852" s="14">
        <v>1514.7276156504374</v>
      </c>
      <c r="H852" s="15">
        <v>1782.0324890005154</v>
      </c>
    </row>
    <row r="853" spans="1:8" x14ac:dyDescent="0.25">
      <c r="A853" s="16">
        <v>61</v>
      </c>
      <c r="B853" s="4" t="s">
        <v>11</v>
      </c>
      <c r="C853" s="4">
        <v>32.299999999999997</v>
      </c>
      <c r="D853" s="4">
        <v>2</v>
      </c>
      <c r="E853" s="4" t="s">
        <v>12</v>
      </c>
      <c r="F853" s="4" t="s">
        <v>20</v>
      </c>
      <c r="G853" s="14">
        <v>5346.5226853580098</v>
      </c>
      <c r="H853" s="15">
        <v>5091.9263670076298</v>
      </c>
    </row>
    <row r="854" spans="1:8" x14ac:dyDescent="0.25">
      <c r="A854" s="16">
        <v>46</v>
      </c>
      <c r="B854" s="4" t="s">
        <v>8</v>
      </c>
      <c r="C854" s="4">
        <v>35.5</v>
      </c>
      <c r="D854" s="4">
        <v>0</v>
      </c>
      <c r="E854" s="4" t="s">
        <v>9</v>
      </c>
      <c r="F854" s="4" t="s">
        <v>15</v>
      </c>
      <c r="G854" s="14">
        <v>5053.6322979121223</v>
      </c>
      <c r="H854" s="15">
        <v>4812.9831408686896</v>
      </c>
    </row>
    <row r="855" spans="1:8" x14ac:dyDescent="0.25">
      <c r="A855" s="16">
        <v>53</v>
      </c>
      <c r="B855" s="4" t="s">
        <v>8</v>
      </c>
      <c r="C855" s="4">
        <v>23.8</v>
      </c>
      <c r="D855" s="4">
        <v>2</v>
      </c>
      <c r="E855" s="4" t="s">
        <v>12</v>
      </c>
      <c r="F855" s="4" t="s">
        <v>15</v>
      </c>
      <c r="G855" s="14">
        <v>1508.0794872593826</v>
      </c>
      <c r="H855" s="15">
        <v>2010.7726496791768</v>
      </c>
    </row>
    <row r="856" spans="1:8" x14ac:dyDescent="0.25">
      <c r="A856" s="16">
        <v>49</v>
      </c>
      <c r="B856" s="4" t="s">
        <v>8</v>
      </c>
      <c r="C856" s="4">
        <v>23.8</v>
      </c>
      <c r="D856" s="4">
        <v>3</v>
      </c>
      <c r="E856" s="4" t="s">
        <v>9</v>
      </c>
      <c r="F856" s="4" t="s">
        <v>15</v>
      </c>
      <c r="G856" s="14">
        <v>1842.3743203358079</v>
      </c>
      <c r="H856" s="15">
        <v>2456.4990937810771</v>
      </c>
    </row>
    <row r="857" spans="1:8" x14ac:dyDescent="0.25">
      <c r="A857" s="16">
        <v>20</v>
      </c>
      <c r="B857" s="4" t="s">
        <v>8</v>
      </c>
      <c r="C857" s="4">
        <v>21.1</v>
      </c>
      <c r="D857" s="4">
        <v>0</v>
      </c>
      <c r="E857" s="4" t="s">
        <v>12</v>
      </c>
      <c r="F857" s="4" t="s">
        <v>21</v>
      </c>
      <c r="G857" s="14">
        <v>1369.3747432297378</v>
      </c>
      <c r="H857" s="15">
        <v>1611.0291096820451</v>
      </c>
    </row>
    <row r="858" spans="1:8" x14ac:dyDescent="0.25">
      <c r="A858" s="16">
        <v>48</v>
      </c>
      <c r="B858" s="4" t="s">
        <v>8</v>
      </c>
      <c r="C858" s="4">
        <v>33.1</v>
      </c>
      <c r="D858" s="4">
        <v>0</v>
      </c>
      <c r="E858" s="4" t="s">
        <v>9</v>
      </c>
      <c r="F858" s="4" t="s">
        <v>13</v>
      </c>
      <c r="G858" s="14">
        <v>3690.4844187887193</v>
      </c>
      <c r="H858" s="15">
        <v>3514.7470655130678</v>
      </c>
    </row>
    <row r="859" spans="1:8" x14ac:dyDescent="0.25">
      <c r="A859" s="16">
        <v>25</v>
      </c>
      <c r="B859" s="4" t="s">
        <v>11</v>
      </c>
      <c r="C859" s="4">
        <v>24.2</v>
      </c>
      <c r="D859" s="4">
        <v>0</v>
      </c>
      <c r="E859" s="4" t="s">
        <v>9</v>
      </c>
      <c r="F859" s="4" t="s">
        <v>20</v>
      </c>
      <c r="G859" s="14">
        <v>1596.8853306185931</v>
      </c>
      <c r="H859" s="15">
        <v>1878.6886242571691</v>
      </c>
    </row>
    <row r="860" spans="1:8" x14ac:dyDescent="0.25">
      <c r="A860" s="16">
        <v>25</v>
      </c>
      <c r="B860" s="4" t="s">
        <v>8</v>
      </c>
      <c r="C860" s="4">
        <v>22.3</v>
      </c>
      <c r="D860" s="4">
        <v>1</v>
      </c>
      <c r="E860" s="4" t="s">
        <v>12</v>
      </c>
      <c r="F860" s="4" t="s">
        <v>13</v>
      </c>
      <c r="G860" s="14">
        <v>1440.5201310692673</v>
      </c>
      <c r="H860" s="15">
        <v>1694.7295659638446</v>
      </c>
    </row>
    <row r="861" spans="1:8" x14ac:dyDescent="0.25">
      <c r="A861" s="16">
        <v>57</v>
      </c>
      <c r="B861" s="4" t="s">
        <v>11</v>
      </c>
      <c r="C861" s="4">
        <v>28.1</v>
      </c>
      <c r="D861" s="4">
        <v>0</v>
      </c>
      <c r="E861" s="4" t="s">
        <v>12</v>
      </c>
      <c r="F861" s="4" t="s">
        <v>21</v>
      </c>
      <c r="G861" s="14">
        <v>5129.1363047341283</v>
      </c>
      <c r="H861" s="15">
        <v>4884.8917187944098</v>
      </c>
    </row>
    <row r="862" spans="1:8" x14ac:dyDescent="0.25">
      <c r="A862" s="16">
        <v>37</v>
      </c>
      <c r="B862" s="4" t="s">
        <v>8</v>
      </c>
      <c r="C862" s="4">
        <v>47.6</v>
      </c>
      <c r="D862" s="4">
        <v>2</v>
      </c>
      <c r="E862" s="4" t="s">
        <v>9</v>
      </c>
      <c r="F862" s="4" t="s">
        <v>21</v>
      </c>
      <c r="G862" s="14">
        <v>2462.344898371864</v>
      </c>
      <c r="H862" s="15">
        <v>3283.1265311624852</v>
      </c>
    </row>
    <row r="863" spans="1:8" x14ac:dyDescent="0.25">
      <c r="A863" s="16">
        <v>38</v>
      </c>
      <c r="B863" s="4" t="s">
        <v>8</v>
      </c>
      <c r="C863" s="4">
        <v>28</v>
      </c>
      <c r="D863" s="4">
        <v>3</v>
      </c>
      <c r="E863" s="4" t="s">
        <v>12</v>
      </c>
      <c r="F863" s="4" t="s">
        <v>21</v>
      </c>
      <c r="G863" s="14">
        <v>1350.0074038563214</v>
      </c>
      <c r="H863" s="15">
        <v>1800.0098718084284</v>
      </c>
    </row>
    <row r="864" spans="1:8" x14ac:dyDescent="0.25">
      <c r="A864" s="16">
        <v>55</v>
      </c>
      <c r="B864" s="4" t="s">
        <v>8</v>
      </c>
      <c r="C864" s="4">
        <v>33.5</v>
      </c>
      <c r="D864" s="4">
        <v>2</v>
      </c>
      <c r="E864" s="4" t="s">
        <v>12</v>
      </c>
      <c r="F864" s="4" t="s">
        <v>20</v>
      </c>
      <c r="G864" s="14">
        <v>3299.6362597392863</v>
      </c>
      <c r="H864" s="15">
        <v>4399.5150129857147</v>
      </c>
    </row>
    <row r="865" spans="1:8" x14ac:dyDescent="0.25">
      <c r="A865" s="16">
        <v>36</v>
      </c>
      <c r="B865" s="4" t="s">
        <v>8</v>
      </c>
      <c r="C865" s="4">
        <v>22.6</v>
      </c>
      <c r="D865" s="4">
        <v>0</v>
      </c>
      <c r="E865" s="4" t="s">
        <v>12</v>
      </c>
      <c r="F865" s="4" t="s">
        <v>15</v>
      </c>
      <c r="G865" s="14">
        <v>1835.1915673851427</v>
      </c>
      <c r="H865" s="15">
        <v>2159.048902806051</v>
      </c>
    </row>
    <row r="866" spans="1:8" x14ac:dyDescent="0.25">
      <c r="A866" s="16">
        <v>51</v>
      </c>
      <c r="B866" s="4" t="s">
        <v>11</v>
      </c>
      <c r="C866" s="4">
        <v>25.4</v>
      </c>
      <c r="D866" s="4">
        <v>0</v>
      </c>
      <c r="E866" s="4" t="s">
        <v>12</v>
      </c>
      <c r="F866" s="4" t="s">
        <v>21</v>
      </c>
      <c r="G866" s="14">
        <v>4036.0805310058468</v>
      </c>
      <c r="H866" s="15">
        <v>3843.8862200055696</v>
      </c>
    </row>
    <row r="867" spans="1:8" x14ac:dyDescent="0.25">
      <c r="A867" s="16">
        <v>40</v>
      </c>
      <c r="B867" s="4" t="s">
        <v>11</v>
      </c>
      <c r="C867" s="4">
        <v>29.9</v>
      </c>
      <c r="D867" s="4">
        <v>2</v>
      </c>
      <c r="E867" s="4" t="s">
        <v>12</v>
      </c>
      <c r="F867" s="4" t="s">
        <v>21</v>
      </c>
      <c r="G867" s="14">
        <v>2009.3769112302034</v>
      </c>
      <c r="H867" s="15">
        <v>2679.1692149736045</v>
      </c>
    </row>
    <row r="868" spans="1:8" x14ac:dyDescent="0.25">
      <c r="A868" s="16">
        <v>18</v>
      </c>
      <c r="B868" s="4" t="s">
        <v>11</v>
      </c>
      <c r="C868" s="4">
        <v>20.399999999999999</v>
      </c>
      <c r="D868" s="4">
        <v>0</v>
      </c>
      <c r="E868" s="4" t="s">
        <v>12</v>
      </c>
      <c r="F868" s="4" t="s">
        <v>13</v>
      </c>
      <c r="G868" s="14">
        <v>1807.869578843927</v>
      </c>
      <c r="H868" s="15">
        <v>2126.9053868752089</v>
      </c>
    </row>
    <row r="869" spans="1:8" x14ac:dyDescent="0.25">
      <c r="A869" s="16">
        <v>57</v>
      </c>
      <c r="B869" s="4" t="s">
        <v>11</v>
      </c>
      <c r="C869" s="4">
        <v>43.7</v>
      </c>
      <c r="D869" s="4">
        <v>1</v>
      </c>
      <c r="E869" s="4" t="s">
        <v>12</v>
      </c>
      <c r="F869" s="4" t="s">
        <v>21</v>
      </c>
      <c r="G869" s="14">
        <v>5128.567416257054</v>
      </c>
      <c r="H869" s="15">
        <v>4884.3499202448147</v>
      </c>
    </row>
    <row r="870" spans="1:8" x14ac:dyDescent="0.25">
      <c r="A870" s="16">
        <v>61</v>
      </c>
      <c r="B870" s="4" t="s">
        <v>11</v>
      </c>
      <c r="C870" s="4">
        <v>23.7</v>
      </c>
      <c r="D870" s="4">
        <v>0</v>
      </c>
      <c r="E870" s="4" t="s">
        <v>12</v>
      </c>
      <c r="F870" s="4" t="s">
        <v>15</v>
      </c>
      <c r="G870" s="14">
        <v>4842.2337465853607</v>
      </c>
      <c r="H870" s="15">
        <v>4611.6511872241554</v>
      </c>
    </row>
    <row r="871" spans="1:8" x14ac:dyDescent="0.25">
      <c r="A871" s="16">
        <v>25</v>
      </c>
      <c r="B871" s="4" t="s">
        <v>8</v>
      </c>
      <c r="C871" s="4">
        <v>24.3</v>
      </c>
      <c r="D871" s="4">
        <v>3</v>
      </c>
      <c r="E871" s="4" t="s">
        <v>12</v>
      </c>
      <c r="F871" s="4" t="s">
        <v>21</v>
      </c>
      <c r="G871" s="14">
        <v>1973.8708500897303</v>
      </c>
      <c r="H871" s="15">
        <v>2631.8278001196404</v>
      </c>
    </row>
    <row r="872" spans="1:8" x14ac:dyDescent="0.25">
      <c r="A872" s="16">
        <v>50</v>
      </c>
      <c r="B872" s="4" t="s">
        <v>11</v>
      </c>
      <c r="C872" s="4">
        <v>36.200000000000003</v>
      </c>
      <c r="D872" s="4">
        <v>0</v>
      </c>
      <c r="E872" s="4" t="s">
        <v>12</v>
      </c>
      <c r="F872" s="4" t="s">
        <v>21</v>
      </c>
      <c r="G872" s="14">
        <v>4673.2252250430429</v>
      </c>
      <c r="H872" s="15">
        <v>4450.6906905171845</v>
      </c>
    </row>
    <row r="873" spans="1:8" x14ac:dyDescent="0.25">
      <c r="A873" s="16">
        <v>26</v>
      </c>
      <c r="B873" s="4" t="s">
        <v>8</v>
      </c>
      <c r="C873" s="4">
        <v>21.6</v>
      </c>
      <c r="D873" s="4">
        <v>1</v>
      </c>
      <c r="E873" s="4" t="s">
        <v>12</v>
      </c>
      <c r="F873" s="4" t="s">
        <v>13</v>
      </c>
      <c r="G873" s="14">
        <v>2201.5601720725508</v>
      </c>
      <c r="H873" s="15">
        <v>2590.0707906735897</v>
      </c>
    </row>
    <row r="874" spans="1:8" x14ac:dyDescent="0.25">
      <c r="A874" s="16">
        <v>42</v>
      </c>
      <c r="B874" s="4" t="s">
        <v>11</v>
      </c>
      <c r="C874" s="4">
        <v>24.9</v>
      </c>
      <c r="D874" s="4">
        <v>0</v>
      </c>
      <c r="E874" s="4" t="s">
        <v>12</v>
      </c>
      <c r="F874" s="4" t="s">
        <v>13</v>
      </c>
      <c r="G874" s="14">
        <v>2287.3917466047455</v>
      </c>
      <c r="H874" s="15">
        <v>2691.0491136526425</v>
      </c>
    </row>
    <row r="875" spans="1:8" x14ac:dyDescent="0.25">
      <c r="A875" s="16">
        <v>43</v>
      </c>
      <c r="B875" s="4" t="s">
        <v>11</v>
      </c>
      <c r="C875" s="4">
        <v>30.1</v>
      </c>
      <c r="D875" s="4">
        <v>1</v>
      </c>
      <c r="E875" s="4" t="s">
        <v>12</v>
      </c>
      <c r="F875" s="4" t="s">
        <v>21</v>
      </c>
      <c r="G875" s="14">
        <v>4641.0864906006373</v>
      </c>
      <c r="H875" s="15">
        <v>4420.0823720006083</v>
      </c>
    </row>
    <row r="876" spans="1:8" x14ac:dyDescent="0.25">
      <c r="A876" s="16">
        <v>44</v>
      </c>
      <c r="B876" s="4" t="s">
        <v>11</v>
      </c>
      <c r="C876" s="4">
        <v>21.9</v>
      </c>
      <c r="D876" s="4">
        <v>3</v>
      </c>
      <c r="E876" s="4" t="s">
        <v>12</v>
      </c>
      <c r="F876" s="4" t="s">
        <v>15</v>
      </c>
      <c r="G876" s="14">
        <v>1231.0673636222223</v>
      </c>
      <c r="H876" s="15">
        <v>1641.4231514962964</v>
      </c>
    </row>
    <row r="877" spans="1:8" x14ac:dyDescent="0.25">
      <c r="A877" s="16">
        <v>23</v>
      </c>
      <c r="B877" s="4" t="s">
        <v>8</v>
      </c>
      <c r="C877" s="4">
        <v>24.2</v>
      </c>
      <c r="D877" s="4">
        <v>0</v>
      </c>
      <c r="E877" s="4" t="s">
        <v>12</v>
      </c>
      <c r="F877" s="4" t="s">
        <v>20</v>
      </c>
      <c r="G877" s="14">
        <v>2393.7151222848843</v>
      </c>
      <c r="H877" s="15">
        <v>2816.1354379822169</v>
      </c>
    </row>
    <row r="878" spans="1:8" x14ac:dyDescent="0.25">
      <c r="A878" s="16">
        <v>49</v>
      </c>
      <c r="B878" s="4" t="s">
        <v>8</v>
      </c>
      <c r="C878" s="4">
        <v>27.1</v>
      </c>
      <c r="D878" s="4">
        <v>1</v>
      </c>
      <c r="E878" s="4" t="s">
        <v>12</v>
      </c>
      <c r="F878" s="4" t="s">
        <v>21</v>
      </c>
      <c r="G878" s="14">
        <v>4950.6210421668347</v>
      </c>
      <c r="H878" s="15">
        <v>4714.8771830160349</v>
      </c>
    </row>
    <row r="879" spans="1:8" x14ac:dyDescent="0.25">
      <c r="A879" s="16">
        <v>33</v>
      </c>
      <c r="B879" s="4" t="s">
        <v>11</v>
      </c>
      <c r="C879" s="4">
        <v>33.4</v>
      </c>
      <c r="D879" s="4">
        <v>5</v>
      </c>
      <c r="E879" s="4" t="s">
        <v>12</v>
      </c>
      <c r="F879" s="4" t="s">
        <v>13</v>
      </c>
      <c r="G879" s="14">
        <v>1454.1168778241208</v>
      </c>
      <c r="H879" s="15">
        <v>1938.8225037654945</v>
      </c>
    </row>
    <row r="880" spans="1:8" x14ac:dyDescent="0.25">
      <c r="A880" s="16">
        <v>41</v>
      </c>
      <c r="B880" s="4" t="s">
        <v>11</v>
      </c>
      <c r="C880" s="4">
        <v>28.8</v>
      </c>
      <c r="D880" s="4">
        <v>1</v>
      </c>
      <c r="E880" s="4" t="s">
        <v>12</v>
      </c>
      <c r="F880" s="4" t="s">
        <v>21</v>
      </c>
      <c r="G880" s="14">
        <v>5120.4616240282021</v>
      </c>
      <c r="H880" s="15">
        <v>4876.6301181220988</v>
      </c>
    </row>
    <row r="881" spans="1:8" x14ac:dyDescent="0.25">
      <c r="A881" s="16">
        <v>37</v>
      </c>
      <c r="B881" s="4" t="s">
        <v>8</v>
      </c>
      <c r="C881" s="4">
        <v>29.5</v>
      </c>
      <c r="D881" s="4">
        <v>2</v>
      </c>
      <c r="E881" s="4" t="s">
        <v>12</v>
      </c>
      <c r="F881" s="4" t="s">
        <v>21</v>
      </c>
      <c r="G881" s="14">
        <v>2832.8780935502959</v>
      </c>
      <c r="H881" s="15">
        <v>3777.1707914003946</v>
      </c>
    </row>
    <row r="882" spans="1:8" x14ac:dyDescent="0.25">
      <c r="A882" s="16">
        <v>22</v>
      </c>
      <c r="B882" s="4" t="s">
        <v>11</v>
      </c>
      <c r="C882" s="4">
        <v>34.799999999999997</v>
      </c>
      <c r="D882" s="4">
        <v>3</v>
      </c>
      <c r="E882" s="4" t="s">
        <v>12</v>
      </c>
      <c r="F882" s="4" t="s">
        <v>21</v>
      </c>
      <c r="G882" s="14">
        <v>2001.9872200214004</v>
      </c>
      <c r="H882" s="15">
        <v>2669.3162933618673</v>
      </c>
    </row>
    <row r="883" spans="1:8" x14ac:dyDescent="0.25">
      <c r="A883" s="16">
        <v>23</v>
      </c>
      <c r="B883" s="4" t="s">
        <v>11</v>
      </c>
      <c r="C883" s="4">
        <v>23.2</v>
      </c>
      <c r="D883" s="4">
        <v>1</v>
      </c>
      <c r="E883" s="4" t="s">
        <v>12</v>
      </c>
      <c r="F883" s="4" t="s">
        <v>20</v>
      </c>
      <c r="G883" s="14">
        <v>1607.0768734444548</v>
      </c>
      <c r="H883" s="15">
        <v>1890.678674640536</v>
      </c>
    </row>
    <row r="884" spans="1:8" x14ac:dyDescent="0.25">
      <c r="A884" s="16">
        <v>21</v>
      </c>
      <c r="B884" s="4" t="s">
        <v>8</v>
      </c>
      <c r="C884" s="4">
        <v>21.8</v>
      </c>
      <c r="D884" s="4">
        <v>0</v>
      </c>
      <c r="E884" s="4" t="s">
        <v>12</v>
      </c>
      <c r="F884" s="4" t="s">
        <v>15</v>
      </c>
      <c r="G884" s="14">
        <v>2015.0134690279833</v>
      </c>
      <c r="H884" s="15">
        <v>2370.6040812093925</v>
      </c>
    </row>
    <row r="885" spans="1:8" x14ac:dyDescent="0.25">
      <c r="A885" s="16">
        <v>51</v>
      </c>
      <c r="B885" s="4" t="s">
        <v>8</v>
      </c>
      <c r="C885" s="4">
        <v>37.1</v>
      </c>
      <c r="D885" s="4">
        <v>3</v>
      </c>
      <c r="E885" s="4" t="s">
        <v>9</v>
      </c>
      <c r="F885" s="4" t="s">
        <v>15</v>
      </c>
      <c r="G885" s="14">
        <v>2320.6864804735969</v>
      </c>
      <c r="H885" s="15">
        <v>3094.2486406314629</v>
      </c>
    </row>
    <row r="886" spans="1:8" x14ac:dyDescent="0.25">
      <c r="A886" s="16">
        <v>25</v>
      </c>
      <c r="B886" s="4" t="s">
        <v>11</v>
      </c>
      <c r="C886" s="4">
        <v>26.7</v>
      </c>
      <c r="D886" s="4">
        <v>4</v>
      </c>
      <c r="E886" s="4" t="s">
        <v>12</v>
      </c>
      <c r="F886" s="4" t="s">
        <v>20</v>
      </c>
      <c r="G886" s="14">
        <v>1453.1842002048297</v>
      </c>
      <c r="H886" s="15">
        <v>1937.5789336064397</v>
      </c>
    </row>
    <row r="887" spans="1:8" x14ac:dyDescent="0.25">
      <c r="A887" s="16">
        <v>32</v>
      </c>
      <c r="B887" s="4" t="s">
        <v>11</v>
      </c>
      <c r="C887" s="4">
        <v>23.5</v>
      </c>
      <c r="D887" s="4">
        <v>1</v>
      </c>
      <c r="E887" s="4" t="s">
        <v>9</v>
      </c>
      <c r="F887" s="4" t="s">
        <v>13</v>
      </c>
      <c r="G887" s="14">
        <v>2322.7936373820321</v>
      </c>
      <c r="H887" s="15">
        <v>2732.6983969200382</v>
      </c>
    </row>
    <row r="888" spans="1:8" x14ac:dyDescent="0.25">
      <c r="A888" s="16">
        <v>57</v>
      </c>
      <c r="B888" s="4" t="s">
        <v>11</v>
      </c>
      <c r="C888" s="4">
        <v>29</v>
      </c>
      <c r="D888" s="4">
        <v>0</v>
      </c>
      <c r="E888" s="4" t="s">
        <v>9</v>
      </c>
      <c r="F888" s="4" t="s">
        <v>15</v>
      </c>
      <c r="G888" s="14">
        <v>4133.5858381188764</v>
      </c>
      <c r="H888" s="15">
        <v>3936.7484172560744</v>
      </c>
    </row>
    <row r="889" spans="1:8" x14ac:dyDescent="0.25">
      <c r="A889" s="16">
        <v>36</v>
      </c>
      <c r="B889" s="4" t="s">
        <v>8</v>
      </c>
      <c r="C889" s="4">
        <v>20.399999999999999</v>
      </c>
      <c r="D889" s="4">
        <v>0</v>
      </c>
      <c r="E889" s="4" t="s">
        <v>12</v>
      </c>
      <c r="F889" s="4" t="s">
        <v>20</v>
      </c>
      <c r="G889" s="14">
        <v>1589.4394970496064</v>
      </c>
      <c r="H889" s="15">
        <v>1869.9288200583615</v>
      </c>
    </row>
    <row r="890" spans="1:8" x14ac:dyDescent="0.25">
      <c r="A890" s="16">
        <v>22</v>
      </c>
      <c r="B890" s="4" t="s">
        <v>11</v>
      </c>
      <c r="C890" s="4">
        <v>22.1</v>
      </c>
      <c r="D890" s="4">
        <v>0</v>
      </c>
      <c r="E890" s="4" t="s">
        <v>12</v>
      </c>
      <c r="F890" s="4" t="s">
        <v>21</v>
      </c>
      <c r="G890" s="14">
        <v>2386.591099755633</v>
      </c>
      <c r="H890" s="15">
        <v>2807.7542350066278</v>
      </c>
    </row>
    <row r="891" spans="1:8" x14ac:dyDescent="0.25">
      <c r="A891" s="16">
        <v>57</v>
      </c>
      <c r="B891" s="4" t="s">
        <v>11</v>
      </c>
      <c r="C891" s="4">
        <v>33.6</v>
      </c>
      <c r="D891" s="4">
        <v>1</v>
      </c>
      <c r="E891" s="4" t="s">
        <v>12</v>
      </c>
      <c r="F891" s="4" t="s">
        <v>20</v>
      </c>
      <c r="G891" s="14">
        <v>4253.2554565364208</v>
      </c>
      <c r="H891" s="15">
        <v>4050.7194824156409</v>
      </c>
    </row>
    <row r="892" spans="1:8" x14ac:dyDescent="0.25">
      <c r="A892" s="16">
        <v>64</v>
      </c>
      <c r="B892" s="4" t="s">
        <v>8</v>
      </c>
      <c r="C892" s="4">
        <v>26.9</v>
      </c>
      <c r="D892" s="4">
        <v>0</v>
      </c>
      <c r="E892" s="4" t="s">
        <v>9</v>
      </c>
      <c r="F892" s="4" t="s">
        <v>20</v>
      </c>
      <c r="G892" s="14">
        <v>4222.0169372994105</v>
      </c>
      <c r="H892" s="15">
        <v>4020.9685117137255</v>
      </c>
    </row>
    <row r="893" spans="1:8" x14ac:dyDescent="0.25">
      <c r="A893" s="16">
        <v>36</v>
      </c>
      <c r="B893" s="4" t="s">
        <v>8</v>
      </c>
      <c r="C893" s="4">
        <v>29</v>
      </c>
      <c r="D893" s="4">
        <v>4</v>
      </c>
      <c r="E893" s="4" t="s">
        <v>12</v>
      </c>
      <c r="F893" s="4" t="s">
        <v>13</v>
      </c>
      <c r="G893" s="14">
        <v>2388.298582272615</v>
      </c>
      <c r="H893" s="15">
        <v>3184.39810969682</v>
      </c>
    </row>
    <row r="894" spans="1:8" x14ac:dyDescent="0.25">
      <c r="A894" s="16">
        <v>54</v>
      </c>
      <c r="B894" s="4" t="s">
        <v>11</v>
      </c>
      <c r="C894" s="4">
        <v>24</v>
      </c>
      <c r="D894" s="4">
        <v>0</v>
      </c>
      <c r="E894" s="4" t="s">
        <v>12</v>
      </c>
      <c r="F894" s="4" t="s">
        <v>15</v>
      </c>
      <c r="G894" s="14">
        <v>3782.6920493002071</v>
      </c>
      <c r="H894" s="15">
        <v>3602.5638564763894</v>
      </c>
    </row>
    <row r="895" spans="1:8" x14ac:dyDescent="0.25">
      <c r="A895" s="16">
        <v>47</v>
      </c>
      <c r="B895" s="4" t="s">
        <v>11</v>
      </c>
      <c r="C895" s="4">
        <v>38.9</v>
      </c>
      <c r="D895" s="4">
        <v>2</v>
      </c>
      <c r="E895" s="4" t="s">
        <v>9</v>
      </c>
      <c r="F895" s="4" t="s">
        <v>13</v>
      </c>
      <c r="G895" s="14">
        <v>3372.3568566280883</v>
      </c>
      <c r="H895" s="15">
        <v>4496.475808837451</v>
      </c>
    </row>
    <row r="896" spans="1:8" x14ac:dyDescent="0.25">
      <c r="A896" s="16">
        <v>62</v>
      </c>
      <c r="B896" s="4" t="s">
        <v>11</v>
      </c>
      <c r="C896" s="4">
        <v>32.1</v>
      </c>
      <c r="D896" s="4">
        <v>0</v>
      </c>
      <c r="E896" s="4" t="s">
        <v>12</v>
      </c>
      <c r="F896" s="4" t="s">
        <v>15</v>
      </c>
      <c r="G896" s="14">
        <v>4313.6624301535221</v>
      </c>
      <c r="H896" s="15">
        <v>4108.2499334795466</v>
      </c>
    </row>
    <row r="897" spans="1:8" x14ac:dyDescent="0.25">
      <c r="A897" s="16">
        <v>61</v>
      </c>
      <c r="B897" s="4" t="s">
        <v>8</v>
      </c>
      <c r="C897" s="4">
        <v>44</v>
      </c>
      <c r="D897" s="4">
        <v>0</v>
      </c>
      <c r="E897" s="4" t="s">
        <v>12</v>
      </c>
      <c r="F897" s="4" t="s">
        <v>21</v>
      </c>
      <c r="G897" s="14">
        <v>6316.3951039012454</v>
      </c>
      <c r="H897" s="15">
        <v>6015.6143846678551</v>
      </c>
    </row>
    <row r="898" spans="1:8" x14ac:dyDescent="0.25">
      <c r="A898" s="16">
        <v>43</v>
      </c>
      <c r="B898" s="4" t="s">
        <v>8</v>
      </c>
      <c r="C898" s="4">
        <v>20</v>
      </c>
      <c r="D898" s="4">
        <v>2</v>
      </c>
      <c r="E898" s="4" t="s">
        <v>9</v>
      </c>
      <c r="F898" s="4" t="s">
        <v>15</v>
      </c>
      <c r="G898" s="14">
        <v>1720.0993217799685</v>
      </c>
      <c r="H898" s="15">
        <v>2023.6462609176106</v>
      </c>
    </row>
    <row r="899" spans="1:8" x14ac:dyDescent="0.25">
      <c r="A899" s="16">
        <v>19</v>
      </c>
      <c r="B899" s="4" t="s">
        <v>11</v>
      </c>
      <c r="C899" s="4">
        <v>22.7</v>
      </c>
      <c r="D899" s="4">
        <v>1</v>
      </c>
      <c r="E899" s="4" t="s">
        <v>12</v>
      </c>
      <c r="F899" s="4" t="s">
        <v>20</v>
      </c>
      <c r="G899" s="14">
        <v>2184.2453946168089</v>
      </c>
      <c r="H899" s="15">
        <v>2569.7004642550701</v>
      </c>
    </row>
    <row r="900" spans="1:8" x14ac:dyDescent="0.25">
      <c r="A900" s="16">
        <v>18</v>
      </c>
      <c r="B900" s="4" t="s">
        <v>8</v>
      </c>
      <c r="C900" s="4">
        <v>20.3</v>
      </c>
      <c r="D900" s="4">
        <v>0</v>
      </c>
      <c r="E900" s="4" t="s">
        <v>12</v>
      </c>
      <c r="F900" s="4" t="s">
        <v>13</v>
      </c>
      <c r="G900" s="14">
        <v>1258.5864564974315</v>
      </c>
      <c r="H900" s="15">
        <v>1480.6899488205086</v>
      </c>
    </row>
    <row r="901" spans="1:8" x14ac:dyDescent="0.25">
      <c r="A901" s="16">
        <v>19</v>
      </c>
      <c r="B901" s="4" t="s">
        <v>8</v>
      </c>
      <c r="C901" s="4">
        <v>23.2</v>
      </c>
      <c r="D901" s="4">
        <v>0</v>
      </c>
      <c r="E901" s="4" t="s">
        <v>12</v>
      </c>
      <c r="F901" s="4" t="s">
        <v>20</v>
      </c>
      <c r="G901" s="14">
        <v>1454.2530270661475</v>
      </c>
      <c r="H901" s="15">
        <v>1710.8859141954683</v>
      </c>
    </row>
    <row r="902" spans="1:8" x14ac:dyDescent="0.25">
      <c r="A902" s="16">
        <v>49</v>
      </c>
      <c r="B902" s="4" t="s">
        <v>11</v>
      </c>
      <c r="C902" s="4">
        <v>22.5</v>
      </c>
      <c r="D902" s="4">
        <v>0</v>
      </c>
      <c r="E902" s="4" t="s">
        <v>12</v>
      </c>
      <c r="F902" s="4" t="s">
        <v>15</v>
      </c>
      <c r="G902" s="14">
        <v>5378.317116150798</v>
      </c>
      <c r="H902" s="15">
        <v>5122.2067772864757</v>
      </c>
    </row>
    <row r="903" spans="1:8" x14ac:dyDescent="0.25">
      <c r="A903" s="16">
        <v>60</v>
      </c>
      <c r="B903" s="4" t="s">
        <v>11</v>
      </c>
      <c r="C903" s="4">
        <v>40.9</v>
      </c>
      <c r="D903" s="4">
        <v>0</v>
      </c>
      <c r="E903" s="4" t="s">
        <v>9</v>
      </c>
      <c r="F903" s="4" t="s">
        <v>13</v>
      </c>
      <c r="G903" s="14">
        <v>5289.9251374967134</v>
      </c>
      <c r="H903" s="15">
        <v>5038.0239404730619</v>
      </c>
    </row>
    <row r="904" spans="1:8" x14ac:dyDescent="0.25">
      <c r="A904" s="16">
        <v>26</v>
      </c>
      <c r="B904" s="4" t="s">
        <v>11</v>
      </c>
      <c r="C904" s="4">
        <v>27.3</v>
      </c>
      <c r="D904" s="4">
        <v>3</v>
      </c>
      <c r="E904" s="4" t="s">
        <v>12</v>
      </c>
      <c r="F904" s="4" t="s">
        <v>15</v>
      </c>
      <c r="G904" s="14">
        <v>2240.2535058234253</v>
      </c>
      <c r="H904" s="15">
        <v>2987.004674431234</v>
      </c>
    </row>
    <row r="905" spans="1:8" x14ac:dyDescent="0.25">
      <c r="A905" s="16">
        <v>49</v>
      </c>
      <c r="B905" s="4" t="s">
        <v>11</v>
      </c>
      <c r="C905" s="4">
        <v>36.9</v>
      </c>
      <c r="D905" s="4">
        <v>0</v>
      </c>
      <c r="E905" s="4" t="s">
        <v>12</v>
      </c>
      <c r="F905" s="4" t="s">
        <v>13</v>
      </c>
      <c r="G905" s="14">
        <v>4436.40976792322</v>
      </c>
      <c r="H905" s="15">
        <v>4225.1521599268772</v>
      </c>
    </row>
    <row r="906" spans="1:8" x14ac:dyDescent="0.25">
      <c r="A906" s="16">
        <v>60</v>
      </c>
      <c r="B906" s="4" t="s">
        <v>8</v>
      </c>
      <c r="C906" s="4">
        <v>35.1</v>
      </c>
      <c r="D906" s="4">
        <v>0</v>
      </c>
      <c r="E906" s="4" t="s">
        <v>12</v>
      </c>
      <c r="F906" s="4" t="s">
        <v>21</v>
      </c>
      <c r="G906" s="14">
        <v>6012.9681288943502</v>
      </c>
      <c r="H906" s="15">
        <v>5726.636313232716</v>
      </c>
    </row>
    <row r="907" spans="1:8" x14ac:dyDescent="0.25">
      <c r="A907" s="16">
        <v>26</v>
      </c>
      <c r="B907" s="4" t="s">
        <v>8</v>
      </c>
      <c r="C907" s="4">
        <v>29.4</v>
      </c>
      <c r="D907" s="4">
        <v>2</v>
      </c>
      <c r="E907" s="4" t="s">
        <v>12</v>
      </c>
      <c r="F907" s="4" t="s">
        <v>15</v>
      </c>
      <c r="G907" s="14">
        <v>1585.227713926452</v>
      </c>
      <c r="H907" s="15">
        <v>2113.6369519019358</v>
      </c>
    </row>
    <row r="908" spans="1:8" x14ac:dyDescent="0.25">
      <c r="A908" s="16">
        <v>27</v>
      </c>
      <c r="B908" s="4" t="s">
        <v>11</v>
      </c>
      <c r="C908" s="4">
        <v>32.6</v>
      </c>
      <c r="D908" s="4">
        <v>3</v>
      </c>
      <c r="E908" s="4" t="s">
        <v>12</v>
      </c>
      <c r="F908" s="4" t="s">
        <v>15</v>
      </c>
      <c r="G908" s="14">
        <v>2614.464925958488</v>
      </c>
      <c r="H908" s="15">
        <v>3485.9532346113174</v>
      </c>
    </row>
    <row r="909" spans="1:8" x14ac:dyDescent="0.25">
      <c r="A909" s="16">
        <v>44</v>
      </c>
      <c r="B909" s="4" t="s">
        <v>8</v>
      </c>
      <c r="C909" s="4">
        <v>32.299999999999997</v>
      </c>
      <c r="D909" s="4">
        <v>1</v>
      </c>
      <c r="E909" s="4" t="s">
        <v>12</v>
      </c>
      <c r="F909" s="4" t="s">
        <v>13</v>
      </c>
      <c r="G909" s="14">
        <v>4109.7568910161099</v>
      </c>
      <c r="H909" s="15">
        <v>3914.0541819201062</v>
      </c>
    </row>
    <row r="910" spans="1:8" x14ac:dyDescent="0.25">
      <c r="A910" s="16">
        <v>63</v>
      </c>
      <c r="B910" s="4" t="s">
        <v>11</v>
      </c>
      <c r="C910" s="4">
        <v>39.799999999999997</v>
      </c>
      <c r="D910" s="4">
        <v>3</v>
      </c>
      <c r="E910" s="4" t="s">
        <v>12</v>
      </c>
      <c r="F910" s="4" t="s">
        <v>21</v>
      </c>
      <c r="G910" s="14">
        <v>2041.27937412242</v>
      </c>
      <c r="H910" s="15">
        <v>2721.7058321632267</v>
      </c>
    </row>
    <row r="911" spans="1:8" x14ac:dyDescent="0.25">
      <c r="A911" s="16">
        <v>32</v>
      </c>
      <c r="B911" s="4" t="s">
        <v>8</v>
      </c>
      <c r="C911" s="4">
        <v>21.4</v>
      </c>
      <c r="D911" s="4">
        <v>0</v>
      </c>
      <c r="E911" s="4" t="s">
        <v>9</v>
      </c>
      <c r="F911" s="4" t="s">
        <v>21</v>
      </c>
      <c r="G911" s="14">
        <v>1541.8808218005881</v>
      </c>
      <c r="H911" s="15">
        <v>1813.9774374124572</v>
      </c>
    </row>
    <row r="912" spans="1:8" x14ac:dyDescent="0.25">
      <c r="A912" s="16">
        <v>22</v>
      </c>
      <c r="B912" s="4" t="s">
        <v>11</v>
      </c>
      <c r="C912" s="4">
        <v>23.7</v>
      </c>
      <c r="D912" s="4">
        <v>1</v>
      </c>
      <c r="E912" s="4" t="s">
        <v>12</v>
      </c>
      <c r="F912" s="4" t="s">
        <v>20</v>
      </c>
      <c r="G912" s="14">
        <v>1534.1027111838162</v>
      </c>
      <c r="H912" s="15">
        <v>1804.8267190397846</v>
      </c>
    </row>
    <row r="913" spans="1:8" x14ac:dyDescent="0.25">
      <c r="A913" s="16">
        <v>18</v>
      </c>
      <c r="B913" s="4" t="s">
        <v>11</v>
      </c>
      <c r="C913" s="4">
        <v>22.6</v>
      </c>
      <c r="D913" s="4">
        <v>0</v>
      </c>
      <c r="E913" s="4" t="s">
        <v>9</v>
      </c>
      <c r="F913" s="4" t="s">
        <v>15</v>
      </c>
      <c r="G913" s="14">
        <v>1998.4173124363081</v>
      </c>
      <c r="H913" s="15">
        <v>2351.0791911015399</v>
      </c>
    </row>
    <row r="914" spans="1:8" x14ac:dyDescent="0.25">
      <c r="A914" s="16">
        <v>59</v>
      </c>
      <c r="B914" s="4" t="s">
        <v>8</v>
      </c>
      <c r="C914" s="4">
        <v>26.7</v>
      </c>
      <c r="D914" s="4">
        <v>3</v>
      </c>
      <c r="E914" s="4" t="s">
        <v>12</v>
      </c>
      <c r="F914" s="4" t="s">
        <v>20</v>
      </c>
      <c r="G914" s="14">
        <v>3341.0974070636184</v>
      </c>
      <c r="H914" s="15">
        <v>4454.796542751491</v>
      </c>
    </row>
    <row r="915" spans="1:8" x14ac:dyDescent="0.25">
      <c r="A915" s="16">
        <v>44</v>
      </c>
      <c r="B915" s="4" t="s">
        <v>8</v>
      </c>
      <c r="C915" s="4">
        <v>27.5</v>
      </c>
      <c r="D915" s="4">
        <v>1</v>
      </c>
      <c r="E915" s="4" t="s">
        <v>12</v>
      </c>
      <c r="F915" s="4" t="s">
        <v>21</v>
      </c>
      <c r="G915" s="14">
        <v>4296.6906945975825</v>
      </c>
      <c r="H915" s="15">
        <v>4092.0863758072232</v>
      </c>
    </row>
    <row r="916" spans="1:8" x14ac:dyDescent="0.25">
      <c r="A916" s="16">
        <v>33</v>
      </c>
      <c r="B916" s="4" t="s">
        <v>11</v>
      </c>
      <c r="C916" s="4">
        <v>24.6</v>
      </c>
      <c r="D916" s="4">
        <v>2</v>
      </c>
      <c r="E916" s="4" t="s">
        <v>12</v>
      </c>
      <c r="F916" s="4" t="s">
        <v>20</v>
      </c>
      <c r="G916" s="14">
        <v>1735.0251834684916</v>
      </c>
      <c r="H916" s="15">
        <v>2041.2060981982263</v>
      </c>
    </row>
    <row r="917" spans="1:8" x14ac:dyDescent="0.25">
      <c r="A917" s="16">
        <v>24</v>
      </c>
      <c r="B917" s="4" t="s">
        <v>8</v>
      </c>
      <c r="C917" s="4">
        <v>23.4</v>
      </c>
      <c r="D917" s="4">
        <v>0</v>
      </c>
      <c r="E917" s="4" t="s">
        <v>12</v>
      </c>
      <c r="F917" s="4" t="s">
        <v>13</v>
      </c>
      <c r="G917" s="14">
        <v>1380.7275967208204</v>
      </c>
      <c r="H917" s="15">
        <v>1624.3854079068483</v>
      </c>
    </row>
    <row r="918" spans="1:8" x14ac:dyDescent="0.25">
      <c r="A918" s="16">
        <v>43</v>
      </c>
      <c r="B918" s="4" t="s">
        <v>8</v>
      </c>
      <c r="C918" s="4">
        <v>26.9</v>
      </c>
      <c r="D918" s="4">
        <v>0</v>
      </c>
      <c r="E918" s="4" t="s">
        <v>9</v>
      </c>
      <c r="F918" s="4" t="s">
        <v>20</v>
      </c>
      <c r="G918" s="14">
        <v>4053.2680383763895</v>
      </c>
      <c r="H918" s="15">
        <v>3860.255274644182</v>
      </c>
    </row>
    <row r="919" spans="1:8" x14ac:dyDescent="0.25">
      <c r="A919" s="16">
        <v>45</v>
      </c>
      <c r="B919" s="4" t="s">
        <v>11</v>
      </c>
      <c r="C919" s="4">
        <v>22.9</v>
      </c>
      <c r="D919" s="4">
        <v>0</v>
      </c>
      <c r="E919" s="4" t="s">
        <v>9</v>
      </c>
      <c r="F919" s="4" t="s">
        <v>15</v>
      </c>
      <c r="G919" s="14">
        <v>2601.9493778925053</v>
      </c>
      <c r="H919" s="15">
        <v>3061.1169151676531</v>
      </c>
    </row>
    <row r="920" spans="1:8" x14ac:dyDescent="0.25">
      <c r="A920" s="16">
        <v>61</v>
      </c>
      <c r="B920" s="4" t="s">
        <v>8</v>
      </c>
      <c r="C920" s="4">
        <v>28.2</v>
      </c>
      <c r="D920" s="4">
        <v>0</v>
      </c>
      <c r="E920" s="4" t="s">
        <v>12</v>
      </c>
      <c r="F920" s="4" t="s">
        <v>21</v>
      </c>
      <c r="G920" s="14">
        <v>4432.5202478847996</v>
      </c>
      <c r="H920" s="15">
        <v>4221.4478551283819</v>
      </c>
    </row>
    <row r="921" spans="1:8" x14ac:dyDescent="0.25">
      <c r="A921" s="16">
        <v>35</v>
      </c>
      <c r="B921" s="4" t="s">
        <v>8</v>
      </c>
      <c r="C921" s="4">
        <v>24.3</v>
      </c>
      <c r="D921" s="4">
        <v>1</v>
      </c>
      <c r="E921" s="4" t="s">
        <v>12</v>
      </c>
      <c r="F921" s="4" t="s">
        <v>13</v>
      </c>
      <c r="G921" s="14">
        <v>1813.5702782203157</v>
      </c>
      <c r="H921" s="15">
        <v>2133.6120920239018</v>
      </c>
    </row>
    <row r="922" spans="1:8" x14ac:dyDescent="0.25">
      <c r="A922" s="16">
        <v>62</v>
      </c>
      <c r="B922" s="4" t="s">
        <v>8</v>
      </c>
      <c r="C922" s="4">
        <v>25</v>
      </c>
      <c r="D922" s="4">
        <v>0</v>
      </c>
      <c r="E922" s="4" t="s">
        <v>12</v>
      </c>
      <c r="F922" s="4" t="s">
        <v>21</v>
      </c>
      <c r="G922" s="14">
        <v>5100.6437635844986</v>
      </c>
      <c r="H922" s="15">
        <v>4857.7559653185717</v>
      </c>
    </row>
    <row r="923" spans="1:8" x14ac:dyDescent="0.25">
      <c r="A923" s="16">
        <v>62</v>
      </c>
      <c r="B923" s="4" t="s">
        <v>8</v>
      </c>
      <c r="C923" s="4">
        <v>33.200000000000003</v>
      </c>
      <c r="D923" s="4">
        <v>0</v>
      </c>
      <c r="E923" s="4" t="s">
        <v>12</v>
      </c>
      <c r="F923" s="4" t="s">
        <v>21</v>
      </c>
      <c r="G923" s="14">
        <v>4228.9192311252118</v>
      </c>
      <c r="H923" s="15">
        <v>4027.5421248811558</v>
      </c>
    </row>
    <row r="924" spans="1:8" x14ac:dyDescent="0.25">
      <c r="A924" s="16">
        <v>38</v>
      </c>
      <c r="B924" s="4" t="s">
        <v>11</v>
      </c>
      <c r="C924" s="4">
        <v>20.100000000000001</v>
      </c>
      <c r="D924" s="4">
        <v>1</v>
      </c>
      <c r="E924" s="4" t="s">
        <v>12</v>
      </c>
      <c r="F924" s="4" t="s">
        <v>21</v>
      </c>
      <c r="G924" s="14">
        <v>2269.1801010436116</v>
      </c>
      <c r="H924" s="15">
        <v>2669.6236482866025</v>
      </c>
    </row>
    <row r="925" spans="1:8" x14ac:dyDescent="0.25">
      <c r="A925" s="16">
        <v>34</v>
      </c>
      <c r="B925" s="4" t="s">
        <v>11</v>
      </c>
      <c r="C925" s="4">
        <v>25.3</v>
      </c>
      <c r="D925" s="4">
        <v>0</v>
      </c>
      <c r="E925" s="4" t="s">
        <v>12</v>
      </c>
      <c r="F925" s="4" t="s">
        <v>20</v>
      </c>
      <c r="G925" s="14">
        <v>1696.2499266067309</v>
      </c>
      <c r="H925" s="15">
        <v>1995.588148949096</v>
      </c>
    </row>
    <row r="926" spans="1:8" x14ac:dyDescent="0.25">
      <c r="A926" s="16">
        <v>43</v>
      </c>
      <c r="B926" s="4" t="s">
        <v>11</v>
      </c>
      <c r="C926" s="4">
        <v>23.2</v>
      </c>
      <c r="D926" s="4">
        <v>0</v>
      </c>
      <c r="E926" s="4" t="s">
        <v>12</v>
      </c>
      <c r="F926" s="4" t="s">
        <v>21</v>
      </c>
      <c r="G926" s="14">
        <v>2117.85922397895</v>
      </c>
      <c r="H926" s="15">
        <v>2491.5990870340593</v>
      </c>
    </row>
    <row r="927" spans="1:8" x14ac:dyDescent="0.25">
      <c r="A927" s="16">
        <v>50</v>
      </c>
      <c r="B927" s="4" t="s">
        <v>11</v>
      </c>
      <c r="C927" s="4">
        <v>32.1</v>
      </c>
      <c r="D927" s="4">
        <v>2</v>
      </c>
      <c r="E927" s="4" t="s">
        <v>12</v>
      </c>
      <c r="F927" s="4" t="s">
        <v>15</v>
      </c>
      <c r="G927" s="14">
        <v>2245.3015663373535</v>
      </c>
      <c r="H927" s="15">
        <v>2993.735421783138</v>
      </c>
    </row>
    <row r="928" spans="1:8" x14ac:dyDescent="0.25">
      <c r="A928" s="16">
        <v>19</v>
      </c>
      <c r="B928" s="4" t="s">
        <v>8</v>
      </c>
      <c r="C928" s="4">
        <v>24.4</v>
      </c>
      <c r="D928" s="4">
        <v>2</v>
      </c>
      <c r="E928" s="4" t="s">
        <v>12</v>
      </c>
      <c r="F928" s="4" t="s">
        <v>21</v>
      </c>
      <c r="G928" s="14">
        <v>1648.1959790580615</v>
      </c>
      <c r="H928" s="15">
        <v>1939.0540930094849</v>
      </c>
    </row>
    <row r="929" spans="1:8" x14ac:dyDescent="0.25">
      <c r="A929" s="16">
        <v>57</v>
      </c>
      <c r="B929" s="4" t="s">
        <v>8</v>
      </c>
      <c r="C929" s="4">
        <v>20.100000000000001</v>
      </c>
      <c r="D929" s="4">
        <v>1</v>
      </c>
      <c r="E929" s="4" t="s">
        <v>12</v>
      </c>
      <c r="F929" s="4" t="s">
        <v>21</v>
      </c>
      <c r="G929" s="14">
        <v>4168.6197199582384</v>
      </c>
      <c r="H929" s="15">
        <v>3970.1140190078481</v>
      </c>
    </row>
    <row r="930" spans="1:8" x14ac:dyDescent="0.25">
      <c r="A930" s="16">
        <v>62</v>
      </c>
      <c r="B930" s="4" t="s">
        <v>8</v>
      </c>
      <c r="C930" s="4">
        <v>39.200000000000003</v>
      </c>
      <c r="D930" s="4">
        <v>0</v>
      </c>
      <c r="E930" s="4" t="s">
        <v>12</v>
      </c>
      <c r="F930" s="4" t="s">
        <v>13</v>
      </c>
      <c r="G930" s="14">
        <v>5104.0085723852189</v>
      </c>
      <c r="H930" s="15">
        <v>4860.9605451287807</v>
      </c>
    </row>
    <row r="931" spans="1:8" x14ac:dyDescent="0.25">
      <c r="A931" s="16">
        <v>41</v>
      </c>
      <c r="B931" s="4" t="s">
        <v>11</v>
      </c>
      <c r="C931" s="4">
        <v>34.200000000000003</v>
      </c>
      <c r="D931" s="4">
        <v>1</v>
      </c>
      <c r="E931" s="4" t="s">
        <v>12</v>
      </c>
      <c r="F931" s="4" t="s">
        <v>13</v>
      </c>
      <c r="G931" s="14">
        <v>5853.7689729516287</v>
      </c>
      <c r="H931" s="15">
        <v>5575.0180694777437</v>
      </c>
    </row>
    <row r="932" spans="1:8" x14ac:dyDescent="0.25">
      <c r="A932" s="16">
        <v>26</v>
      </c>
      <c r="B932" s="4" t="s">
        <v>11</v>
      </c>
      <c r="C932" s="4">
        <v>24.8</v>
      </c>
      <c r="D932" s="4">
        <v>1</v>
      </c>
      <c r="E932" s="4" t="s">
        <v>12</v>
      </c>
      <c r="F932" s="4" t="s">
        <v>13</v>
      </c>
      <c r="G932" s="14">
        <v>2159.4985021787834</v>
      </c>
      <c r="H932" s="15">
        <v>2540.5864731515107</v>
      </c>
    </row>
    <row r="933" spans="1:8" x14ac:dyDescent="0.25">
      <c r="A933" s="16">
        <v>39</v>
      </c>
      <c r="B933" s="4" t="s">
        <v>8</v>
      </c>
      <c r="C933" s="4">
        <v>32.5</v>
      </c>
      <c r="D933" s="4">
        <v>1</v>
      </c>
      <c r="E933" s="4" t="s">
        <v>12</v>
      </c>
      <c r="F933" s="4" t="s">
        <v>21</v>
      </c>
      <c r="G933" s="14">
        <v>4738.7862707587701</v>
      </c>
      <c r="H933" s="15">
        <v>4513.1297816750211</v>
      </c>
    </row>
    <row r="934" spans="1:8" x14ac:dyDescent="0.25">
      <c r="A934" s="16">
        <v>46</v>
      </c>
      <c r="B934" s="4" t="s">
        <v>11</v>
      </c>
      <c r="C934" s="4">
        <v>25.8</v>
      </c>
      <c r="D934" s="4">
        <v>5</v>
      </c>
      <c r="E934" s="4" t="s">
        <v>12</v>
      </c>
      <c r="F934" s="4" t="s">
        <v>21</v>
      </c>
      <c r="G934" s="14">
        <v>2908.8249599751643</v>
      </c>
      <c r="H934" s="15">
        <v>3878.4332799668859</v>
      </c>
    </row>
    <row r="935" spans="1:8" x14ac:dyDescent="0.25">
      <c r="A935" s="16">
        <v>45</v>
      </c>
      <c r="B935" s="4" t="s">
        <v>8</v>
      </c>
      <c r="C935" s="4">
        <v>35.299999999999997</v>
      </c>
      <c r="D935" s="4">
        <v>0</v>
      </c>
      <c r="E935" s="4" t="s">
        <v>12</v>
      </c>
      <c r="F935" s="4" t="s">
        <v>21</v>
      </c>
      <c r="G935" s="14">
        <v>4634.197722805704</v>
      </c>
      <c r="H935" s="15">
        <v>4413.5216407673397</v>
      </c>
    </row>
    <row r="936" spans="1:8" x14ac:dyDescent="0.25">
      <c r="A936" s="16">
        <v>32</v>
      </c>
      <c r="B936" s="4" t="s">
        <v>11</v>
      </c>
      <c r="C936" s="4">
        <v>37.200000000000003</v>
      </c>
      <c r="D936" s="4">
        <v>2</v>
      </c>
      <c r="E936" s="4" t="s">
        <v>12</v>
      </c>
      <c r="F936" s="4" t="s">
        <v>13</v>
      </c>
      <c r="G936" s="14">
        <v>1195.1144418859617</v>
      </c>
      <c r="H936" s="15">
        <v>1593.4859225146156</v>
      </c>
    </row>
    <row r="937" spans="1:8" x14ac:dyDescent="0.25">
      <c r="A937" s="16">
        <v>59</v>
      </c>
      <c r="B937" s="4" t="s">
        <v>8</v>
      </c>
      <c r="C937" s="4">
        <v>27.5</v>
      </c>
      <c r="D937" s="4">
        <v>0</v>
      </c>
      <c r="E937" s="4" t="s">
        <v>12</v>
      </c>
      <c r="F937" s="4" t="s">
        <v>21</v>
      </c>
      <c r="G937" s="14">
        <v>3748.0907580991352</v>
      </c>
      <c r="H937" s="15">
        <v>3569.6102458087016</v>
      </c>
    </row>
    <row r="938" spans="1:8" x14ac:dyDescent="0.25">
      <c r="A938" s="16">
        <v>44</v>
      </c>
      <c r="B938" s="4" t="s">
        <v>11</v>
      </c>
      <c r="C938" s="4">
        <v>29.7</v>
      </c>
      <c r="D938" s="4">
        <v>2</v>
      </c>
      <c r="E938" s="4" t="s">
        <v>12</v>
      </c>
      <c r="F938" s="4" t="s">
        <v>15</v>
      </c>
      <c r="G938" s="14">
        <v>1991.7343408332922</v>
      </c>
      <c r="H938" s="15">
        <v>2655.6457877777229</v>
      </c>
    </row>
    <row r="939" spans="1:8" x14ac:dyDescent="0.25">
      <c r="A939" s="16">
        <v>39</v>
      </c>
      <c r="B939" s="4" t="s">
        <v>8</v>
      </c>
      <c r="C939" s="4">
        <v>24.2</v>
      </c>
      <c r="D939" s="4">
        <v>5</v>
      </c>
      <c r="E939" s="4" t="s">
        <v>12</v>
      </c>
      <c r="F939" s="4" t="s">
        <v>20</v>
      </c>
      <c r="G939" s="14">
        <v>2045.1336893124837</v>
      </c>
      <c r="H939" s="15">
        <v>2726.8449190833117</v>
      </c>
    </row>
    <row r="940" spans="1:8" x14ac:dyDescent="0.25">
      <c r="A940" s="16">
        <v>18</v>
      </c>
      <c r="B940" s="4" t="s">
        <v>11</v>
      </c>
      <c r="C940" s="4">
        <v>24.1</v>
      </c>
      <c r="D940" s="4">
        <v>2</v>
      </c>
      <c r="E940" s="4" t="s">
        <v>12</v>
      </c>
      <c r="F940" s="4" t="s">
        <v>13</v>
      </c>
      <c r="G940" s="14">
        <v>1993.5286535701073</v>
      </c>
      <c r="H940" s="15">
        <v>2345.327827729539</v>
      </c>
    </row>
    <row r="941" spans="1:8" x14ac:dyDescent="0.25">
      <c r="A941" s="16">
        <v>53</v>
      </c>
      <c r="B941" s="4" t="s">
        <v>11</v>
      </c>
      <c r="C941" s="4">
        <v>29.5</v>
      </c>
      <c r="D941" s="4">
        <v>0</v>
      </c>
      <c r="E941" s="4" t="s">
        <v>12</v>
      </c>
      <c r="F941" s="4" t="s">
        <v>13</v>
      </c>
      <c r="G941" s="14">
        <v>4305.9896667013745</v>
      </c>
      <c r="H941" s="15">
        <v>4100.9425397155965</v>
      </c>
    </row>
    <row r="942" spans="1:8" x14ac:dyDescent="0.25">
      <c r="A942" s="16">
        <v>18</v>
      </c>
      <c r="B942" s="4" t="s">
        <v>11</v>
      </c>
      <c r="C942" s="4">
        <v>21.9</v>
      </c>
      <c r="D942" s="4">
        <v>0</v>
      </c>
      <c r="E942" s="4" t="s">
        <v>12</v>
      </c>
      <c r="F942" s="4" t="s">
        <v>13</v>
      </c>
      <c r="G942" s="14">
        <v>1726.6036829724653</v>
      </c>
      <c r="H942" s="15">
        <v>2031.2984505558422</v>
      </c>
    </row>
    <row r="943" spans="1:8" x14ac:dyDescent="0.25">
      <c r="A943" s="16">
        <v>50</v>
      </c>
      <c r="B943" s="4" t="s">
        <v>8</v>
      </c>
      <c r="C943" s="4">
        <v>46.1</v>
      </c>
      <c r="D943" s="4">
        <v>1</v>
      </c>
      <c r="E943" s="4" t="s">
        <v>12</v>
      </c>
      <c r="F943" s="4" t="s">
        <v>13</v>
      </c>
      <c r="G943" s="14">
        <v>4766.0691013072192</v>
      </c>
      <c r="H943" s="15">
        <v>4539.1134298164015</v>
      </c>
    </row>
    <row r="944" spans="1:8" x14ac:dyDescent="0.25">
      <c r="A944" s="16">
        <v>18</v>
      </c>
      <c r="B944" s="4" t="s">
        <v>8</v>
      </c>
      <c r="C944" s="4">
        <v>20.6</v>
      </c>
      <c r="D944" s="4">
        <v>0</v>
      </c>
      <c r="E944" s="4" t="s">
        <v>12</v>
      </c>
      <c r="F944" s="4" t="s">
        <v>15</v>
      </c>
      <c r="G944" s="14">
        <v>1771.6485956756085</v>
      </c>
      <c r="H944" s="15">
        <v>2084.2924655007164</v>
      </c>
    </row>
    <row r="945" spans="1:8" x14ac:dyDescent="0.25">
      <c r="A945" s="16">
        <v>19</v>
      </c>
      <c r="B945" s="4" t="s">
        <v>11</v>
      </c>
      <c r="C945" s="4">
        <v>25.9</v>
      </c>
      <c r="D945" s="4">
        <v>0</v>
      </c>
      <c r="E945" s="4" t="s">
        <v>12</v>
      </c>
      <c r="F945" s="4" t="s">
        <v>20</v>
      </c>
      <c r="G945" s="14">
        <v>2420.9035345758966</v>
      </c>
      <c r="H945" s="15">
        <v>2848.1218053834082</v>
      </c>
    </row>
    <row r="946" spans="1:8" x14ac:dyDescent="0.25">
      <c r="A946" s="16">
        <v>62</v>
      </c>
      <c r="B946" s="4" t="s">
        <v>11</v>
      </c>
      <c r="C946" s="4">
        <v>39.9</v>
      </c>
      <c r="D946" s="4">
        <v>0</v>
      </c>
      <c r="E946" s="4" t="s">
        <v>12</v>
      </c>
      <c r="F946" s="4" t="s">
        <v>13</v>
      </c>
      <c r="G946" s="14">
        <v>5641.0042762441126</v>
      </c>
      <c r="H946" s="15">
        <v>5372.3850249943953</v>
      </c>
    </row>
    <row r="947" spans="1:8" x14ac:dyDescent="0.25">
      <c r="A947" s="16">
        <v>56</v>
      </c>
      <c r="B947" s="4" t="s">
        <v>8</v>
      </c>
      <c r="C947" s="4">
        <v>35.799999999999997</v>
      </c>
      <c r="D947" s="4">
        <v>1</v>
      </c>
      <c r="E947" s="4" t="s">
        <v>12</v>
      </c>
      <c r="F947" s="4" t="s">
        <v>21</v>
      </c>
      <c r="G947" s="14">
        <v>5114.507183024185</v>
      </c>
      <c r="H947" s="15">
        <v>4870.9592219277965</v>
      </c>
    </row>
    <row r="948" spans="1:8" x14ac:dyDescent="0.25">
      <c r="A948" s="16">
        <v>42</v>
      </c>
      <c r="B948" s="4" t="s">
        <v>11</v>
      </c>
      <c r="C948" s="4">
        <v>35.799999999999997</v>
      </c>
      <c r="D948" s="4">
        <v>2</v>
      </c>
      <c r="E948" s="4" t="s">
        <v>12</v>
      </c>
      <c r="F948" s="4" t="s">
        <v>21</v>
      </c>
      <c r="G948" s="14">
        <v>1482.1605114776703</v>
      </c>
      <c r="H948" s="15">
        <v>1976.2140153035602</v>
      </c>
    </row>
    <row r="949" spans="1:8" x14ac:dyDescent="0.25">
      <c r="A949" s="16">
        <v>37</v>
      </c>
      <c r="B949" s="4" t="s">
        <v>11</v>
      </c>
      <c r="C949" s="4">
        <v>23.2</v>
      </c>
      <c r="D949" s="4">
        <v>1</v>
      </c>
      <c r="E949" s="4" t="s">
        <v>9</v>
      </c>
      <c r="F949" s="4" t="s">
        <v>15</v>
      </c>
      <c r="G949" s="14">
        <v>2072.9486054546269</v>
      </c>
      <c r="H949" s="15">
        <v>2438.7630652407383</v>
      </c>
    </row>
    <row r="950" spans="1:8" x14ac:dyDescent="0.25">
      <c r="A950" s="16">
        <v>42</v>
      </c>
      <c r="B950" s="4" t="s">
        <v>11</v>
      </c>
      <c r="C950" s="4">
        <v>31.3</v>
      </c>
      <c r="D950" s="4">
        <v>0</v>
      </c>
      <c r="E950" s="4" t="s">
        <v>12</v>
      </c>
      <c r="F950" s="4" t="s">
        <v>20</v>
      </c>
      <c r="G950" s="14">
        <v>5129.0195165136211</v>
      </c>
      <c r="H950" s="15">
        <v>4884.7804919177361</v>
      </c>
    </row>
    <row r="951" spans="1:8" x14ac:dyDescent="0.25">
      <c r="A951" s="16">
        <v>25</v>
      </c>
      <c r="B951" s="4" t="s">
        <v>11</v>
      </c>
      <c r="C951" s="4">
        <v>29.7</v>
      </c>
      <c r="D951" s="4">
        <v>3</v>
      </c>
      <c r="E951" s="4" t="s">
        <v>9</v>
      </c>
      <c r="F951" s="4" t="s">
        <v>21</v>
      </c>
      <c r="G951" s="14">
        <v>1379.3314107734902</v>
      </c>
      <c r="H951" s="15">
        <v>1839.108547697987</v>
      </c>
    </row>
    <row r="952" spans="1:8" x14ac:dyDescent="0.25">
      <c r="A952" s="16">
        <v>57</v>
      </c>
      <c r="B952" s="4" t="s">
        <v>11</v>
      </c>
      <c r="C952" s="4">
        <v>18.3</v>
      </c>
      <c r="D952" s="4">
        <v>0</v>
      </c>
      <c r="E952" s="4" t="s">
        <v>12</v>
      </c>
      <c r="F952" s="4" t="s">
        <v>15</v>
      </c>
      <c r="G952" s="14">
        <v>4455.784174969016</v>
      </c>
      <c r="H952" s="15">
        <v>4243.6039761609682</v>
      </c>
    </row>
    <row r="953" spans="1:8" x14ac:dyDescent="0.25">
      <c r="A953" s="16">
        <v>51</v>
      </c>
      <c r="B953" s="4" t="s">
        <v>11</v>
      </c>
      <c r="C953" s="4">
        <v>42.9</v>
      </c>
      <c r="D953" s="4">
        <v>2</v>
      </c>
      <c r="E953" s="4" t="s">
        <v>9</v>
      </c>
      <c r="F953" s="4" t="s">
        <v>13</v>
      </c>
      <c r="G953" s="14">
        <v>1486.3025655177278</v>
      </c>
      <c r="H953" s="15">
        <v>1981.7367540236371</v>
      </c>
    </row>
    <row r="954" spans="1:8" x14ac:dyDescent="0.25">
      <c r="A954" s="16">
        <v>30</v>
      </c>
      <c r="B954" s="4" t="s">
        <v>8</v>
      </c>
      <c r="C954" s="4">
        <v>22.9</v>
      </c>
      <c r="D954" s="4">
        <v>1</v>
      </c>
      <c r="E954" s="4" t="s">
        <v>12</v>
      </c>
      <c r="F954" s="4" t="s">
        <v>20</v>
      </c>
      <c r="G954" s="14">
        <v>1887.3664341826695</v>
      </c>
      <c r="H954" s="15">
        <v>2220.4310990384356</v>
      </c>
    </row>
    <row r="955" spans="1:8" x14ac:dyDescent="0.25">
      <c r="A955" s="16">
        <v>44</v>
      </c>
      <c r="B955" s="4" t="s">
        <v>11</v>
      </c>
      <c r="C955" s="4">
        <v>30.2</v>
      </c>
      <c r="D955" s="4">
        <v>2</v>
      </c>
      <c r="E955" s="4" t="s">
        <v>9</v>
      </c>
      <c r="F955" s="4" t="s">
        <v>21</v>
      </c>
      <c r="G955" s="14">
        <v>2614.4294681652291</v>
      </c>
      <c r="H955" s="15">
        <v>3485.9059575536389</v>
      </c>
    </row>
    <row r="956" spans="1:8" x14ac:dyDescent="0.25">
      <c r="A956" s="16">
        <v>34</v>
      </c>
      <c r="B956" s="4" t="s">
        <v>11</v>
      </c>
      <c r="C956" s="4">
        <v>21</v>
      </c>
      <c r="D956" s="4">
        <v>1</v>
      </c>
      <c r="E956" s="4" t="s">
        <v>9</v>
      </c>
      <c r="F956" s="4" t="s">
        <v>20</v>
      </c>
      <c r="G956" s="14">
        <v>1969.7855385426235</v>
      </c>
      <c r="H956" s="15">
        <v>2317.3947512266168</v>
      </c>
    </row>
    <row r="957" spans="1:8" x14ac:dyDescent="0.25">
      <c r="A957" s="16">
        <v>31</v>
      </c>
      <c r="B957" s="4" t="s">
        <v>11</v>
      </c>
      <c r="C957" s="4">
        <v>24.5</v>
      </c>
      <c r="D957" s="4">
        <v>1</v>
      </c>
      <c r="E957" s="4" t="s">
        <v>12</v>
      </c>
      <c r="F957" s="4" t="s">
        <v>13</v>
      </c>
      <c r="G957" s="14">
        <v>1389.7174870067754</v>
      </c>
      <c r="H957" s="15">
        <v>1634.9617494197364</v>
      </c>
    </row>
    <row r="958" spans="1:8" x14ac:dyDescent="0.25">
      <c r="A958" s="16">
        <v>54</v>
      </c>
      <c r="B958" s="4" t="s">
        <v>11</v>
      </c>
      <c r="C958" s="4">
        <v>30.8</v>
      </c>
      <c r="D958" s="4">
        <v>1</v>
      </c>
      <c r="E958" s="4" t="s">
        <v>9</v>
      </c>
      <c r="F958" s="4" t="s">
        <v>13</v>
      </c>
      <c r="G958" s="14">
        <v>4704.9505413290435</v>
      </c>
      <c r="H958" s="15">
        <v>4480.9052774562333</v>
      </c>
    </row>
    <row r="959" spans="1:8" x14ac:dyDescent="0.25">
      <c r="A959" s="16">
        <v>24</v>
      </c>
      <c r="B959" s="4" t="s">
        <v>11</v>
      </c>
      <c r="C959" s="4">
        <v>21.8</v>
      </c>
      <c r="D959" s="4">
        <v>1</v>
      </c>
      <c r="E959" s="4" t="s">
        <v>12</v>
      </c>
      <c r="F959" s="4" t="s">
        <v>20</v>
      </c>
      <c r="G959" s="14">
        <v>1496.7532740311417</v>
      </c>
      <c r="H959" s="15">
        <v>1760.8862047425202</v>
      </c>
    </row>
    <row r="960" spans="1:8" x14ac:dyDescent="0.25">
      <c r="A960" s="16">
        <v>43</v>
      </c>
      <c r="B960" s="4" t="s">
        <v>11</v>
      </c>
      <c r="C960" s="4">
        <v>35</v>
      </c>
      <c r="D960" s="4">
        <v>1</v>
      </c>
      <c r="E960" s="4" t="s">
        <v>9</v>
      </c>
      <c r="F960" s="4" t="s">
        <v>15</v>
      </c>
      <c r="G960" s="14">
        <v>4552.5590622095615</v>
      </c>
      <c r="H960" s="15">
        <v>4335.7705354376794</v>
      </c>
    </row>
    <row r="961" spans="1:8" x14ac:dyDescent="0.25">
      <c r="A961" s="16">
        <v>48</v>
      </c>
      <c r="B961" s="4" t="s">
        <v>11</v>
      </c>
      <c r="C961" s="4">
        <v>36.700000000000003</v>
      </c>
      <c r="D961" s="4">
        <v>1</v>
      </c>
      <c r="E961" s="4" t="s">
        <v>12</v>
      </c>
      <c r="F961" s="4" t="s">
        <v>20</v>
      </c>
      <c r="G961" s="14">
        <v>5582.7676685535962</v>
      </c>
      <c r="H961" s="15">
        <v>5316.9215890986643</v>
      </c>
    </row>
    <row r="962" spans="1:8" x14ac:dyDescent="0.25">
      <c r="A962" s="16">
        <v>19</v>
      </c>
      <c r="B962" s="4" t="s">
        <v>8</v>
      </c>
      <c r="C962" s="4">
        <v>22.2</v>
      </c>
      <c r="D962" s="4">
        <v>1</v>
      </c>
      <c r="E962" s="4" t="s">
        <v>12</v>
      </c>
      <c r="F962" s="4" t="s">
        <v>20</v>
      </c>
      <c r="G962" s="14">
        <v>1804.5393621372</v>
      </c>
      <c r="H962" s="15">
        <v>2122.9874848672948</v>
      </c>
    </row>
    <row r="963" spans="1:8" x14ac:dyDescent="0.25">
      <c r="A963" s="16">
        <v>29</v>
      </c>
      <c r="B963" s="4" t="s">
        <v>8</v>
      </c>
      <c r="C963" s="4">
        <v>24.2</v>
      </c>
      <c r="D963" s="4">
        <v>0</v>
      </c>
      <c r="E963" s="4" t="s">
        <v>12</v>
      </c>
      <c r="F963" s="4" t="s">
        <v>21</v>
      </c>
      <c r="G963" s="14">
        <v>1351.6807634551587</v>
      </c>
      <c r="H963" s="15">
        <v>1590.212662888423</v>
      </c>
    </row>
    <row r="964" spans="1:8" x14ac:dyDescent="0.25">
      <c r="A964" s="16">
        <v>63</v>
      </c>
      <c r="B964" s="4" t="s">
        <v>8</v>
      </c>
      <c r="C964" s="4">
        <v>35.200000000000003</v>
      </c>
      <c r="D964" s="4">
        <v>1</v>
      </c>
      <c r="E964" s="4" t="s">
        <v>12</v>
      </c>
      <c r="F964" s="4" t="s">
        <v>13</v>
      </c>
      <c r="G964" s="14">
        <v>3665.9652278932435</v>
      </c>
      <c r="H964" s="15">
        <v>3491.3954551364241</v>
      </c>
    </row>
    <row r="965" spans="1:8" x14ac:dyDescent="0.25">
      <c r="A965" s="16">
        <v>46</v>
      </c>
      <c r="B965" s="4" t="s">
        <v>11</v>
      </c>
      <c r="C965" s="4">
        <v>24.8</v>
      </c>
      <c r="D965" s="4">
        <v>3</v>
      </c>
      <c r="E965" s="4" t="s">
        <v>12</v>
      </c>
      <c r="F965" s="4" t="s">
        <v>15</v>
      </c>
      <c r="G965" s="14">
        <v>1964.3563993243633</v>
      </c>
      <c r="H965" s="15">
        <v>2619.1418657658178</v>
      </c>
    </row>
    <row r="966" spans="1:8" x14ac:dyDescent="0.25">
      <c r="A966" s="16">
        <v>52</v>
      </c>
      <c r="B966" s="4" t="s">
        <v>11</v>
      </c>
      <c r="C966" s="4">
        <v>36.799999999999997</v>
      </c>
      <c r="D966" s="4">
        <v>2</v>
      </c>
      <c r="E966" s="4" t="s">
        <v>12</v>
      </c>
      <c r="F966" s="4" t="s">
        <v>20</v>
      </c>
      <c r="G966" s="14">
        <v>2875.5592623193897</v>
      </c>
      <c r="H966" s="15">
        <v>3834.0790164258528</v>
      </c>
    </row>
    <row r="967" spans="1:8" x14ac:dyDescent="0.25">
      <c r="A967" s="16">
        <v>35</v>
      </c>
      <c r="B967" s="4" t="s">
        <v>11</v>
      </c>
      <c r="C967" s="4">
        <v>22.8</v>
      </c>
      <c r="D967" s="4">
        <v>1</v>
      </c>
      <c r="E967" s="4" t="s">
        <v>12</v>
      </c>
      <c r="F967" s="4" t="s">
        <v>21</v>
      </c>
      <c r="G967" s="14">
        <v>2352.0785190737251</v>
      </c>
      <c r="H967" s="15">
        <v>2767.1511989102655</v>
      </c>
    </row>
    <row r="968" spans="1:8" x14ac:dyDescent="0.25">
      <c r="A968" s="16">
        <v>51</v>
      </c>
      <c r="B968" s="4" t="s">
        <v>11</v>
      </c>
      <c r="C968" s="4">
        <v>24.8</v>
      </c>
      <c r="D968" s="4">
        <v>2</v>
      </c>
      <c r="E968" s="4" t="s">
        <v>9</v>
      </c>
      <c r="F968" s="4" t="s">
        <v>20</v>
      </c>
      <c r="G968" s="14">
        <v>1132.3082351699097</v>
      </c>
      <c r="H968" s="15">
        <v>1509.7443135598796</v>
      </c>
    </row>
    <row r="969" spans="1:8" x14ac:dyDescent="0.25">
      <c r="A969" s="16">
        <v>44</v>
      </c>
      <c r="B969" s="4" t="s">
        <v>11</v>
      </c>
      <c r="C969" s="4">
        <v>25.4</v>
      </c>
      <c r="D969" s="4">
        <v>1</v>
      </c>
      <c r="E969" s="4" t="s">
        <v>12</v>
      </c>
      <c r="F969" s="4" t="s">
        <v>20</v>
      </c>
      <c r="G969" s="14">
        <v>5454.4138247744213</v>
      </c>
      <c r="H969" s="15">
        <v>5194.6798331184973</v>
      </c>
    </row>
    <row r="970" spans="1:8" x14ac:dyDescent="0.25">
      <c r="A970" s="16">
        <v>21</v>
      </c>
      <c r="B970" s="4" t="s">
        <v>11</v>
      </c>
      <c r="C970" s="4">
        <v>20.9</v>
      </c>
      <c r="D970" s="4">
        <v>2</v>
      </c>
      <c r="E970" s="4" t="s">
        <v>12</v>
      </c>
      <c r="F970" s="4" t="s">
        <v>15</v>
      </c>
      <c r="G970" s="14">
        <v>1403.0816527221398</v>
      </c>
      <c r="H970" s="15">
        <v>1650.6842973201651</v>
      </c>
    </row>
    <row r="971" spans="1:8" x14ac:dyDescent="0.25">
      <c r="A971" s="16">
        <v>39</v>
      </c>
      <c r="B971" s="4" t="s">
        <v>8</v>
      </c>
      <c r="C971" s="4">
        <v>34.299999999999997</v>
      </c>
      <c r="D971" s="4">
        <v>5</v>
      </c>
      <c r="E971" s="4" t="s">
        <v>12</v>
      </c>
      <c r="F971" s="4" t="s">
        <v>13</v>
      </c>
      <c r="G971" s="14">
        <v>2547.6084435938524</v>
      </c>
      <c r="H971" s="15">
        <v>3396.8112581251366</v>
      </c>
    </row>
    <row r="972" spans="1:8" x14ac:dyDescent="0.25">
      <c r="A972" s="16">
        <v>50</v>
      </c>
      <c r="B972" s="4" t="s">
        <v>8</v>
      </c>
      <c r="C972" s="4">
        <v>28.2</v>
      </c>
      <c r="D972" s="4">
        <v>3</v>
      </c>
      <c r="E972" s="4" t="s">
        <v>12</v>
      </c>
      <c r="F972" s="4" t="s">
        <v>13</v>
      </c>
      <c r="G972" s="14">
        <v>1467.3926728822039</v>
      </c>
      <c r="H972" s="15">
        <v>1956.5235638429385</v>
      </c>
    </row>
    <row r="973" spans="1:8" x14ac:dyDescent="0.25">
      <c r="A973" s="16">
        <v>34</v>
      </c>
      <c r="B973" s="4" t="s">
        <v>8</v>
      </c>
      <c r="C973" s="4">
        <v>24</v>
      </c>
      <c r="D973" s="4">
        <v>0</v>
      </c>
      <c r="E973" s="4" t="s">
        <v>12</v>
      </c>
      <c r="F973" s="4" t="s">
        <v>15</v>
      </c>
      <c r="G973" s="14">
        <v>1906.9283398824975</v>
      </c>
      <c r="H973" s="15">
        <v>2243.4451057441156</v>
      </c>
    </row>
    <row r="974" spans="1:8" x14ac:dyDescent="0.25">
      <c r="A974" s="16">
        <v>22</v>
      </c>
      <c r="B974" s="4" t="s">
        <v>8</v>
      </c>
      <c r="C974" s="4">
        <v>24.3</v>
      </c>
      <c r="D974" s="4">
        <v>0</v>
      </c>
      <c r="E974" s="4" t="s">
        <v>12</v>
      </c>
      <c r="F974" s="4" t="s">
        <v>20</v>
      </c>
      <c r="G974" s="14">
        <v>1260.7220818981373</v>
      </c>
      <c r="H974" s="15">
        <v>1483.202449291927</v>
      </c>
    </row>
    <row r="975" spans="1:8" x14ac:dyDescent="0.25">
      <c r="A975" s="16">
        <v>19</v>
      </c>
      <c r="B975" s="4" t="s">
        <v>8</v>
      </c>
      <c r="C975" s="4">
        <v>22.6</v>
      </c>
      <c r="D975" s="4">
        <v>0</v>
      </c>
      <c r="E975" s="4" t="s">
        <v>12</v>
      </c>
      <c r="F975" s="4" t="s">
        <v>21</v>
      </c>
      <c r="G975" s="14">
        <v>1931.8381741817896</v>
      </c>
      <c r="H975" s="15">
        <v>2272.7507931550472</v>
      </c>
    </row>
    <row r="976" spans="1:8" x14ac:dyDescent="0.25">
      <c r="A976" s="16">
        <v>26</v>
      </c>
      <c r="B976" s="4" t="s">
        <v>11</v>
      </c>
      <c r="C976" s="4">
        <v>23.1</v>
      </c>
      <c r="D976" s="4">
        <v>0</v>
      </c>
      <c r="E976" s="4" t="s">
        <v>12</v>
      </c>
      <c r="F976" s="4" t="s">
        <v>13</v>
      </c>
      <c r="G976" s="14">
        <v>2189.6537841733875</v>
      </c>
      <c r="H976" s="15">
        <v>2576.0632754981034</v>
      </c>
    </row>
    <row r="977" spans="1:8" x14ac:dyDescent="0.25">
      <c r="A977" s="16">
        <v>29</v>
      </c>
      <c r="B977" s="4" t="s">
        <v>11</v>
      </c>
      <c r="C977" s="4">
        <v>22.4</v>
      </c>
      <c r="D977" s="4">
        <v>0</v>
      </c>
      <c r="E977" s="4" t="s">
        <v>9</v>
      </c>
      <c r="F977" s="4" t="s">
        <v>15</v>
      </c>
      <c r="G977" s="14">
        <v>1220.5400540318451</v>
      </c>
      <c r="H977" s="15">
        <v>1435.9294753315833</v>
      </c>
    </row>
    <row r="978" spans="1:8" x14ac:dyDescent="0.25">
      <c r="A978" s="16">
        <v>48</v>
      </c>
      <c r="B978" s="4" t="s">
        <v>11</v>
      </c>
      <c r="C978" s="4">
        <v>40.200000000000003</v>
      </c>
      <c r="D978" s="4">
        <v>0</v>
      </c>
      <c r="E978" s="4" t="s">
        <v>12</v>
      </c>
      <c r="F978" s="4" t="s">
        <v>13</v>
      </c>
      <c r="G978" s="14">
        <v>5966.8980066243748</v>
      </c>
      <c r="H978" s="15">
        <v>5682.7600063089294</v>
      </c>
    </row>
    <row r="979" spans="1:8" x14ac:dyDescent="0.25">
      <c r="A979" s="16">
        <v>26</v>
      </c>
      <c r="B979" s="4" t="s">
        <v>11</v>
      </c>
      <c r="C979" s="4">
        <v>21.6</v>
      </c>
      <c r="D979" s="4">
        <v>1</v>
      </c>
      <c r="E979" s="4" t="s">
        <v>12</v>
      </c>
      <c r="F979" s="4" t="s">
        <v>13</v>
      </c>
      <c r="G979" s="14">
        <v>1544.6230516973928</v>
      </c>
      <c r="H979" s="15">
        <v>1817.2035902322277</v>
      </c>
    </row>
    <row r="980" spans="1:8" x14ac:dyDescent="0.25">
      <c r="A980" s="16">
        <v>45</v>
      </c>
      <c r="B980" s="4" t="s">
        <v>8</v>
      </c>
      <c r="C980" s="4">
        <v>40</v>
      </c>
      <c r="D980" s="4">
        <v>3</v>
      </c>
      <c r="E980" s="4" t="s">
        <v>12</v>
      </c>
      <c r="F980" s="4" t="s">
        <v>15</v>
      </c>
      <c r="G980" s="14">
        <v>3207.2665926441268</v>
      </c>
      <c r="H980" s="15">
        <v>4276.3554568588361</v>
      </c>
    </row>
    <row r="981" spans="1:8" x14ac:dyDescent="0.25">
      <c r="A981" s="16">
        <v>36</v>
      </c>
      <c r="B981" s="4" t="s">
        <v>8</v>
      </c>
      <c r="C981" s="4">
        <v>25.9</v>
      </c>
      <c r="D981" s="4">
        <v>0</v>
      </c>
      <c r="E981" s="4" t="s">
        <v>12</v>
      </c>
      <c r="F981" s="4" t="s">
        <v>13</v>
      </c>
      <c r="G981" s="14">
        <v>1892.9240781170895</v>
      </c>
      <c r="H981" s="15">
        <v>2226.9695036671646</v>
      </c>
    </row>
    <row r="982" spans="1:8" x14ac:dyDescent="0.25">
      <c r="A982" s="16">
        <v>54</v>
      </c>
      <c r="B982" s="4" t="s">
        <v>11</v>
      </c>
      <c r="C982" s="4">
        <v>25.5</v>
      </c>
      <c r="D982" s="4">
        <v>1</v>
      </c>
      <c r="E982" s="4" t="s">
        <v>12</v>
      </c>
      <c r="F982" s="4" t="s">
        <v>15</v>
      </c>
      <c r="G982" s="14">
        <v>4333.4290508135618</v>
      </c>
      <c r="H982" s="15">
        <v>4127.0752864891083</v>
      </c>
    </row>
    <row r="983" spans="1:8" x14ac:dyDescent="0.25">
      <c r="A983" s="16">
        <v>34</v>
      </c>
      <c r="B983" s="4" t="s">
        <v>11</v>
      </c>
      <c r="C983" s="4">
        <v>24.7</v>
      </c>
      <c r="D983" s="4">
        <v>0</v>
      </c>
      <c r="E983" s="4" t="s">
        <v>12</v>
      </c>
      <c r="F983" s="4" t="s">
        <v>15</v>
      </c>
      <c r="G983" s="14">
        <v>1949.0969687850834</v>
      </c>
      <c r="H983" s="15">
        <v>2293.0552573942164</v>
      </c>
    </row>
    <row r="984" spans="1:8" x14ac:dyDescent="0.25">
      <c r="A984" s="16">
        <v>31</v>
      </c>
      <c r="B984" s="4" t="s">
        <v>11</v>
      </c>
      <c r="C984" s="4">
        <v>25.9</v>
      </c>
      <c r="D984" s="4">
        <v>3</v>
      </c>
      <c r="E984" s="4" t="s">
        <v>9</v>
      </c>
      <c r="F984" s="4" t="s">
        <v>21</v>
      </c>
      <c r="G984" s="14">
        <v>1935.5434393562218</v>
      </c>
      <c r="H984" s="15">
        <v>2580.7245858082956</v>
      </c>
    </row>
    <row r="985" spans="1:8" x14ac:dyDescent="0.25">
      <c r="A985" s="16">
        <v>27</v>
      </c>
      <c r="B985" s="4" t="s">
        <v>8</v>
      </c>
      <c r="C985" s="4">
        <v>20.9</v>
      </c>
      <c r="D985" s="4">
        <v>1</v>
      </c>
      <c r="E985" s="4" t="s">
        <v>12</v>
      </c>
      <c r="F985" s="4" t="s">
        <v>15</v>
      </c>
      <c r="G985" s="14">
        <v>1544.1241027969265</v>
      </c>
      <c r="H985" s="15">
        <v>1816.6165915257968</v>
      </c>
    </row>
    <row r="986" spans="1:8" x14ac:dyDescent="0.25">
      <c r="A986" s="16">
        <v>20</v>
      </c>
      <c r="B986" s="4" t="s">
        <v>11</v>
      </c>
      <c r="C986" s="4">
        <v>30.1</v>
      </c>
      <c r="D986" s="4">
        <v>5</v>
      </c>
      <c r="E986" s="4" t="s">
        <v>12</v>
      </c>
      <c r="F986" s="4" t="s">
        <v>15</v>
      </c>
      <c r="G986" s="14">
        <v>2711.1535046164736</v>
      </c>
      <c r="H986" s="15">
        <v>3614.8713394886313</v>
      </c>
    </row>
    <row r="987" spans="1:8" x14ac:dyDescent="0.25">
      <c r="A987" s="16">
        <v>44</v>
      </c>
      <c r="B987" s="4" t="s">
        <v>8</v>
      </c>
      <c r="C987" s="4">
        <v>25.8</v>
      </c>
      <c r="D987" s="4">
        <v>1</v>
      </c>
      <c r="E987" s="4" t="s">
        <v>12</v>
      </c>
      <c r="F987" s="4" t="s">
        <v>21</v>
      </c>
      <c r="G987" s="14">
        <v>4714.7495914632091</v>
      </c>
      <c r="H987" s="15">
        <v>4490.2377061554389</v>
      </c>
    </row>
    <row r="988" spans="1:8" x14ac:dyDescent="0.25">
      <c r="A988" s="16">
        <v>43</v>
      </c>
      <c r="B988" s="4" t="s">
        <v>11</v>
      </c>
      <c r="C988" s="4">
        <v>30.1</v>
      </c>
      <c r="D988" s="4">
        <v>3</v>
      </c>
      <c r="E988" s="4" t="s">
        <v>12</v>
      </c>
      <c r="F988" s="4" t="s">
        <v>20</v>
      </c>
      <c r="G988" s="14">
        <v>1541.8078776996376</v>
      </c>
      <c r="H988" s="15">
        <v>2055.7438369328502</v>
      </c>
    </row>
    <row r="989" spans="1:8" x14ac:dyDescent="0.25">
      <c r="A989" s="16">
        <v>45</v>
      </c>
      <c r="B989" s="4" t="s">
        <v>8</v>
      </c>
      <c r="C989" s="4">
        <v>27.6</v>
      </c>
      <c r="D989" s="4">
        <v>1</v>
      </c>
      <c r="E989" s="4" t="s">
        <v>12</v>
      </c>
      <c r="F989" s="4" t="s">
        <v>20</v>
      </c>
      <c r="G989" s="14">
        <v>4746.4517061873557</v>
      </c>
      <c r="H989" s="15">
        <v>4520.4301963689113</v>
      </c>
    </row>
    <row r="990" spans="1:8" x14ac:dyDescent="0.25">
      <c r="A990" s="16">
        <v>34</v>
      </c>
      <c r="B990" s="4" t="s">
        <v>11</v>
      </c>
      <c r="C990" s="4">
        <v>23.5</v>
      </c>
      <c r="D990" s="4">
        <v>0</v>
      </c>
      <c r="E990" s="4" t="s">
        <v>12</v>
      </c>
      <c r="F990" s="4" t="s">
        <v>15</v>
      </c>
      <c r="G990" s="14">
        <v>2782.6500840160506</v>
      </c>
      <c r="H990" s="15">
        <v>3273.705981195355</v>
      </c>
    </row>
    <row r="991" spans="1:8" x14ac:dyDescent="0.25">
      <c r="A991" s="16">
        <v>24</v>
      </c>
      <c r="B991" s="4" t="s">
        <v>8</v>
      </c>
      <c r="C991" s="4">
        <v>22.3</v>
      </c>
      <c r="D991" s="4">
        <v>0</v>
      </c>
      <c r="E991" s="4" t="s">
        <v>9</v>
      </c>
      <c r="F991" s="4" t="s">
        <v>15</v>
      </c>
      <c r="G991" s="14">
        <v>1912.9603283627137</v>
      </c>
      <c r="H991" s="15">
        <v>2250.5415627796642</v>
      </c>
    </row>
    <row r="992" spans="1:8" x14ac:dyDescent="0.25">
      <c r="A992" s="16">
        <v>26</v>
      </c>
      <c r="B992" s="4" t="s">
        <v>8</v>
      </c>
      <c r="C992" s="4">
        <v>25</v>
      </c>
      <c r="D992" s="4">
        <v>1</v>
      </c>
      <c r="E992" s="4" t="s">
        <v>12</v>
      </c>
      <c r="F992" s="4" t="s">
        <v>21</v>
      </c>
      <c r="G992" s="14">
        <v>1580.3770717384127</v>
      </c>
      <c r="H992" s="15">
        <v>1859.267143221663</v>
      </c>
    </row>
    <row r="993" spans="1:8" x14ac:dyDescent="0.25">
      <c r="A993" s="16">
        <v>38</v>
      </c>
      <c r="B993" s="4" t="s">
        <v>8</v>
      </c>
      <c r="C993" s="4">
        <v>27.8</v>
      </c>
      <c r="D993" s="4">
        <v>2</v>
      </c>
      <c r="E993" s="4" t="s">
        <v>12</v>
      </c>
      <c r="F993" s="4" t="s">
        <v>15</v>
      </c>
      <c r="G993" s="14">
        <v>2683.6486679685163</v>
      </c>
      <c r="H993" s="15">
        <v>3578.1982239580216</v>
      </c>
    </row>
    <row r="994" spans="1:8" x14ac:dyDescent="0.25">
      <c r="A994" s="16">
        <v>50</v>
      </c>
      <c r="B994" s="4" t="s">
        <v>8</v>
      </c>
      <c r="C994" s="4">
        <v>31.6</v>
      </c>
      <c r="D994" s="4">
        <v>2</v>
      </c>
      <c r="E994" s="4" t="s">
        <v>12</v>
      </c>
      <c r="F994" s="4" t="s">
        <v>21</v>
      </c>
      <c r="G994" s="14">
        <v>3308.1045286444987</v>
      </c>
      <c r="H994" s="15">
        <v>4410.8060381926653</v>
      </c>
    </row>
    <row r="995" spans="1:8" x14ac:dyDescent="0.25">
      <c r="A995" s="16">
        <v>38</v>
      </c>
      <c r="B995" s="4" t="s">
        <v>11</v>
      </c>
      <c r="C995" s="4">
        <v>24.1</v>
      </c>
      <c r="D995" s="4">
        <v>1</v>
      </c>
      <c r="E995" s="4" t="s">
        <v>12</v>
      </c>
      <c r="F995" s="4" t="s">
        <v>13</v>
      </c>
      <c r="G995" s="14">
        <v>2308.0281587687564</v>
      </c>
      <c r="H995" s="15">
        <v>2715.3272456103027</v>
      </c>
    </row>
    <row r="996" spans="1:8" x14ac:dyDescent="0.25">
      <c r="A996" s="16">
        <v>27</v>
      </c>
      <c r="B996" s="4" t="s">
        <v>8</v>
      </c>
      <c r="C996" s="4">
        <v>20</v>
      </c>
      <c r="D996" s="4">
        <v>3</v>
      </c>
      <c r="E996" s="4" t="s">
        <v>9</v>
      </c>
      <c r="F996" s="4" t="s">
        <v>20</v>
      </c>
      <c r="G996" s="14">
        <v>1989.0184627626018</v>
      </c>
      <c r="H996" s="15">
        <v>2340.021720897179</v>
      </c>
    </row>
    <row r="997" spans="1:8" x14ac:dyDescent="0.25">
      <c r="A997" s="16">
        <v>39</v>
      </c>
      <c r="B997" s="4" t="s">
        <v>8</v>
      </c>
      <c r="C997" s="4">
        <v>23.3</v>
      </c>
      <c r="D997" s="4">
        <v>3</v>
      </c>
      <c r="E997" s="4" t="s">
        <v>12</v>
      </c>
      <c r="F997" s="4" t="s">
        <v>15</v>
      </c>
      <c r="G997" s="14">
        <v>1657.1696639504903</v>
      </c>
      <c r="H997" s="15">
        <v>2209.5595519339872</v>
      </c>
    </row>
    <row r="998" spans="1:8" x14ac:dyDescent="0.25">
      <c r="A998" s="16">
        <v>39</v>
      </c>
      <c r="B998" s="4" t="s">
        <v>8</v>
      </c>
      <c r="C998" s="4">
        <v>34.1</v>
      </c>
      <c r="D998" s="4">
        <v>3</v>
      </c>
      <c r="E998" s="4" t="s">
        <v>12</v>
      </c>
      <c r="F998" s="4" t="s">
        <v>21</v>
      </c>
      <c r="G998" s="14">
        <v>1181.0489969788791</v>
      </c>
      <c r="H998" s="15">
        <v>1574.7319959718388</v>
      </c>
    </row>
    <row r="999" spans="1:8" x14ac:dyDescent="0.25">
      <c r="A999" s="16">
        <v>63</v>
      </c>
      <c r="B999" s="4" t="s">
        <v>8</v>
      </c>
      <c r="C999" s="4">
        <v>36.9</v>
      </c>
      <c r="D999" s="4">
        <v>0</v>
      </c>
      <c r="E999" s="4" t="s">
        <v>12</v>
      </c>
      <c r="F999" s="4" t="s">
        <v>13</v>
      </c>
      <c r="G999" s="14">
        <v>5186.0621042849116</v>
      </c>
      <c r="H999" s="15">
        <v>4939.1067659856317</v>
      </c>
    </row>
    <row r="1000" spans="1:8" x14ac:dyDescent="0.25">
      <c r="A1000" s="16">
        <v>33</v>
      </c>
      <c r="B1000" s="4" t="s">
        <v>8</v>
      </c>
      <c r="C1000" s="4">
        <v>36.299999999999997</v>
      </c>
      <c r="D1000" s="4">
        <v>3</v>
      </c>
      <c r="E1000" s="4" t="s">
        <v>12</v>
      </c>
      <c r="F1000" s="4" t="s">
        <v>15</v>
      </c>
      <c r="G1000" s="14">
        <v>3401.3227753582446</v>
      </c>
      <c r="H1000" s="15">
        <v>4535.0970338109928</v>
      </c>
    </row>
    <row r="1001" spans="1:8" x14ac:dyDescent="0.25">
      <c r="A1001" s="16">
        <v>36</v>
      </c>
      <c r="B1001" s="4" t="s">
        <v>8</v>
      </c>
      <c r="C1001" s="4">
        <v>23.5</v>
      </c>
      <c r="D1001" s="4">
        <v>0</v>
      </c>
      <c r="E1001" s="4" t="s">
        <v>12</v>
      </c>
      <c r="F1001" s="4" t="s">
        <v>20</v>
      </c>
      <c r="G1001" s="14">
        <v>2333.9603325552252</v>
      </c>
      <c r="H1001" s="15">
        <v>2745.8356853590894</v>
      </c>
    </row>
    <row r="1002" spans="1:8" x14ac:dyDescent="0.25">
      <c r="A1002" s="16">
        <v>30</v>
      </c>
      <c r="B1002" s="4" t="s">
        <v>11</v>
      </c>
      <c r="C1002" s="4">
        <v>23</v>
      </c>
      <c r="D1002" s="4">
        <v>2</v>
      </c>
      <c r="E1002" s="4" t="s">
        <v>9</v>
      </c>
      <c r="F1002" s="4" t="s">
        <v>20</v>
      </c>
      <c r="G1002" s="14">
        <v>2098.8033475888633</v>
      </c>
      <c r="H1002" s="15">
        <v>2469.1804089280754</v>
      </c>
    </row>
    <row r="1003" spans="1:8" x14ac:dyDescent="0.25">
      <c r="A1003" s="16">
        <v>24</v>
      </c>
      <c r="B1003" s="4" t="s">
        <v>11</v>
      </c>
      <c r="C1003" s="4">
        <v>20.5</v>
      </c>
      <c r="D1003" s="4">
        <v>0</v>
      </c>
      <c r="E1003" s="4" t="s">
        <v>9</v>
      </c>
      <c r="F1003" s="4" t="s">
        <v>21</v>
      </c>
      <c r="G1003" s="14">
        <v>1268.4097931246001</v>
      </c>
      <c r="H1003" s="15">
        <v>1492.246815440707</v>
      </c>
    </row>
    <row r="1004" spans="1:8" x14ac:dyDescent="0.25">
      <c r="A1004" s="16">
        <v>24</v>
      </c>
      <c r="B1004" s="4" t="s">
        <v>11</v>
      </c>
      <c r="C1004" s="4">
        <v>25.5</v>
      </c>
      <c r="D1004" s="4">
        <v>0</v>
      </c>
      <c r="E1004" s="4" t="s">
        <v>12</v>
      </c>
      <c r="F1004" s="4" t="s">
        <v>21</v>
      </c>
      <c r="G1004" s="14">
        <v>1695.6546636566163</v>
      </c>
      <c r="H1004" s="15">
        <v>1994.8878395960201</v>
      </c>
    </row>
    <row r="1005" spans="1:8" x14ac:dyDescent="0.25">
      <c r="A1005" s="16">
        <v>48</v>
      </c>
      <c r="B1005" s="4" t="s">
        <v>11</v>
      </c>
      <c r="C1005" s="4">
        <v>29.6</v>
      </c>
      <c r="D1005" s="4">
        <v>0</v>
      </c>
      <c r="E1005" s="4" t="s">
        <v>12</v>
      </c>
      <c r="F1005" s="4" t="s">
        <v>21</v>
      </c>
      <c r="G1005" s="14">
        <v>5320.3845464297692</v>
      </c>
      <c r="H1005" s="15">
        <v>5067.0329013616865</v>
      </c>
    </row>
    <row r="1006" spans="1:8" x14ac:dyDescent="0.25">
      <c r="A1006" s="16">
        <v>47</v>
      </c>
      <c r="B1006" s="4" t="s">
        <v>11</v>
      </c>
      <c r="C1006" s="4">
        <v>19.2</v>
      </c>
      <c r="D1006" s="4">
        <v>1</v>
      </c>
      <c r="E1006" s="4" t="s">
        <v>12</v>
      </c>
      <c r="F1006" s="4" t="s">
        <v>15</v>
      </c>
      <c r="G1006" s="14">
        <v>1935.3937115740109</v>
      </c>
      <c r="H1006" s="15">
        <v>2276.9337783223668</v>
      </c>
    </row>
    <row r="1007" spans="1:8" x14ac:dyDescent="0.25">
      <c r="A1007" s="16">
        <v>29</v>
      </c>
      <c r="B1007" s="4" t="s">
        <v>11</v>
      </c>
      <c r="C1007" s="4">
        <v>31.7</v>
      </c>
      <c r="D1007" s="4">
        <v>2</v>
      </c>
      <c r="E1007" s="4" t="s">
        <v>12</v>
      </c>
      <c r="F1007" s="4" t="s">
        <v>20</v>
      </c>
      <c r="G1007" s="14">
        <v>2314.2275128406818</v>
      </c>
      <c r="H1007" s="15">
        <v>3085.6366837875757</v>
      </c>
    </row>
    <row r="1008" spans="1:8" x14ac:dyDescent="0.25">
      <c r="A1008" s="16">
        <v>28</v>
      </c>
      <c r="B1008" s="4" t="s">
        <v>11</v>
      </c>
      <c r="C1008" s="4">
        <v>29.3</v>
      </c>
      <c r="D1008" s="4">
        <v>2</v>
      </c>
      <c r="E1008" s="4" t="s">
        <v>12</v>
      </c>
      <c r="F1008" s="4" t="s">
        <v>15</v>
      </c>
      <c r="G1008" s="14">
        <v>1421.0790174736285</v>
      </c>
      <c r="H1008" s="15">
        <v>1894.7720232981712</v>
      </c>
    </row>
    <row r="1009" spans="1:8" x14ac:dyDescent="0.25">
      <c r="A1009" s="16">
        <v>47</v>
      </c>
      <c r="B1009" s="4" t="s">
        <v>11</v>
      </c>
      <c r="C1009" s="4">
        <v>28.2</v>
      </c>
      <c r="D1009" s="4">
        <v>3</v>
      </c>
      <c r="E1009" s="4" t="s">
        <v>9</v>
      </c>
      <c r="F1009" s="4" t="s">
        <v>20</v>
      </c>
      <c r="G1009" s="14">
        <v>2664.0224870672819</v>
      </c>
      <c r="H1009" s="15">
        <v>3552.0299827563758</v>
      </c>
    </row>
    <row r="1010" spans="1:8" x14ac:dyDescent="0.25">
      <c r="A1010" s="16">
        <v>25</v>
      </c>
      <c r="B1010" s="4" t="s">
        <v>11</v>
      </c>
      <c r="C1010" s="4">
        <v>23.7</v>
      </c>
      <c r="D1010" s="4">
        <v>2</v>
      </c>
      <c r="E1010" s="4" t="s">
        <v>12</v>
      </c>
      <c r="F1010" s="4" t="s">
        <v>15</v>
      </c>
      <c r="G1010" s="14">
        <v>1746.54918228015</v>
      </c>
      <c r="H1010" s="15">
        <v>2054.7637438590009</v>
      </c>
    </row>
    <row r="1011" spans="1:8" x14ac:dyDescent="0.25">
      <c r="A1011" s="16">
        <v>51</v>
      </c>
      <c r="B1011" s="4" t="s">
        <v>11</v>
      </c>
      <c r="C1011" s="4">
        <v>27.7</v>
      </c>
      <c r="D1011" s="4">
        <v>1</v>
      </c>
      <c r="E1011" s="4" t="s">
        <v>12</v>
      </c>
      <c r="F1011" s="4" t="s">
        <v>15</v>
      </c>
      <c r="G1011" s="14">
        <v>3890.7884461142758</v>
      </c>
      <c r="H1011" s="15">
        <v>3705.5128058231217</v>
      </c>
    </row>
    <row r="1012" spans="1:8" x14ac:dyDescent="0.25">
      <c r="A1012" s="16">
        <v>48</v>
      </c>
      <c r="B1012" s="4" t="s">
        <v>8</v>
      </c>
      <c r="C1012" s="4">
        <v>22.8</v>
      </c>
      <c r="D1012" s="4">
        <v>0</v>
      </c>
      <c r="E1012" s="4" t="s">
        <v>12</v>
      </c>
      <c r="F1012" s="4" t="s">
        <v>21</v>
      </c>
      <c r="G1012" s="14">
        <v>5207.5110378288264</v>
      </c>
      <c r="H1012" s="15">
        <v>4959.5343217417403</v>
      </c>
    </row>
    <row r="1013" spans="1:8" x14ac:dyDescent="0.25">
      <c r="A1013" s="16">
        <v>43</v>
      </c>
      <c r="B1013" s="4" t="s">
        <v>11</v>
      </c>
      <c r="C1013" s="4">
        <v>20.100000000000001</v>
      </c>
      <c r="D1013" s="4">
        <v>2</v>
      </c>
      <c r="E1013" s="4" t="s">
        <v>9</v>
      </c>
      <c r="F1013" s="4" t="s">
        <v>13</v>
      </c>
      <c r="G1013" s="14">
        <v>2224.768234076374</v>
      </c>
      <c r="H1013" s="15">
        <v>2617.3743930310288</v>
      </c>
    </row>
    <row r="1014" spans="1:8" x14ac:dyDescent="0.25">
      <c r="A1014" s="16">
        <v>61</v>
      </c>
      <c r="B1014" s="4" t="s">
        <v>8</v>
      </c>
      <c r="C1014" s="4">
        <v>33.299999999999997</v>
      </c>
      <c r="D1014" s="4">
        <v>4</v>
      </c>
      <c r="E1014" s="4" t="s">
        <v>12</v>
      </c>
      <c r="F1014" s="4" t="s">
        <v>13</v>
      </c>
      <c r="G1014" s="14">
        <v>2273.5912449984535</v>
      </c>
      <c r="H1014" s="15">
        <v>3031.454993331271</v>
      </c>
    </row>
    <row r="1015" spans="1:8" x14ac:dyDescent="0.25">
      <c r="A1015" s="16">
        <v>48</v>
      </c>
      <c r="B1015" s="4" t="s">
        <v>11</v>
      </c>
      <c r="C1015" s="4">
        <v>32.299999999999997</v>
      </c>
      <c r="D1015" s="4">
        <v>1</v>
      </c>
      <c r="E1015" s="4" t="s">
        <v>12</v>
      </c>
      <c r="F1015" s="4" t="s">
        <v>20</v>
      </c>
      <c r="G1015" s="14">
        <v>5126.5167784026644</v>
      </c>
      <c r="H1015" s="15">
        <v>4882.3969318120626</v>
      </c>
    </row>
    <row r="1016" spans="1:8" x14ac:dyDescent="0.25">
      <c r="A1016" s="16">
        <v>38</v>
      </c>
      <c r="B1016" s="4" t="s">
        <v>8</v>
      </c>
      <c r="C1016" s="4">
        <v>25.8</v>
      </c>
      <c r="D1016" s="4">
        <v>0</v>
      </c>
      <c r="E1016" s="4" t="s">
        <v>12</v>
      </c>
      <c r="F1016" s="4" t="s">
        <v>21</v>
      </c>
      <c r="G1016" s="14">
        <v>2157.869121490523</v>
      </c>
      <c r="H1016" s="15">
        <v>2538.6695546947331</v>
      </c>
    </row>
    <row r="1017" spans="1:8" x14ac:dyDescent="0.25">
      <c r="A1017" s="16">
        <v>59</v>
      </c>
      <c r="B1017" s="4" t="s">
        <v>11</v>
      </c>
      <c r="C1017" s="4">
        <v>25.5</v>
      </c>
      <c r="D1017" s="4">
        <v>0</v>
      </c>
      <c r="E1017" s="4" t="s">
        <v>12</v>
      </c>
      <c r="F1017" s="4" t="s">
        <v>20</v>
      </c>
      <c r="G1017" s="14">
        <v>5018.551146310042</v>
      </c>
      <c r="H1017" s="15">
        <v>4779.572520295279</v>
      </c>
    </row>
    <row r="1018" spans="1:8" x14ac:dyDescent="0.25">
      <c r="A1018" s="16">
        <v>19</v>
      </c>
      <c r="B1018" s="4" t="s">
        <v>8</v>
      </c>
      <c r="C1018" s="4">
        <v>24.5</v>
      </c>
      <c r="D1018" s="4">
        <v>1</v>
      </c>
      <c r="E1018" s="4" t="s">
        <v>12</v>
      </c>
      <c r="F1018" s="4" t="s">
        <v>20</v>
      </c>
      <c r="G1018" s="14">
        <v>1978.7931035883817</v>
      </c>
      <c r="H1018" s="15">
        <v>2327.9918865745676</v>
      </c>
    </row>
    <row r="1019" spans="1:8" x14ac:dyDescent="0.25">
      <c r="A1019" s="16">
        <v>26</v>
      </c>
      <c r="B1019" s="4" t="s">
        <v>8</v>
      </c>
      <c r="C1019" s="4">
        <v>34.200000000000003</v>
      </c>
      <c r="D1019" s="4">
        <v>2</v>
      </c>
      <c r="E1019" s="4" t="s">
        <v>12</v>
      </c>
      <c r="F1019" s="4" t="s">
        <v>21</v>
      </c>
      <c r="G1019" s="14">
        <v>1427.382058173665</v>
      </c>
      <c r="H1019" s="15">
        <v>1903.1760775648868</v>
      </c>
    </row>
    <row r="1020" spans="1:8" x14ac:dyDescent="0.25">
      <c r="A1020" s="16">
        <v>54</v>
      </c>
      <c r="B1020" s="4" t="s">
        <v>8</v>
      </c>
      <c r="C1020" s="4">
        <v>35.799999999999997</v>
      </c>
      <c r="D1020" s="4">
        <v>3</v>
      </c>
      <c r="E1020" s="4" t="s">
        <v>12</v>
      </c>
      <c r="F1020" s="4" t="s">
        <v>20</v>
      </c>
      <c r="G1020" s="14">
        <v>1758.7296583830448</v>
      </c>
      <c r="H1020" s="15">
        <v>2344.9728778440599</v>
      </c>
    </row>
    <row r="1021" spans="1:8" x14ac:dyDescent="0.25">
      <c r="A1021" s="16">
        <v>21</v>
      </c>
      <c r="B1021" s="4" t="s">
        <v>8</v>
      </c>
      <c r="C1021" s="4">
        <v>25.8</v>
      </c>
      <c r="D1021" s="4">
        <v>2</v>
      </c>
      <c r="E1021" s="4" t="s">
        <v>12</v>
      </c>
      <c r="F1021" s="4" t="s">
        <v>20</v>
      </c>
      <c r="G1021" s="14">
        <v>1908.962839637974</v>
      </c>
      <c r="H1021" s="15">
        <v>2245.8386348682056</v>
      </c>
    </row>
    <row r="1022" spans="1:8" x14ac:dyDescent="0.25">
      <c r="A1022" s="16">
        <v>51</v>
      </c>
      <c r="B1022" s="4" t="s">
        <v>11</v>
      </c>
      <c r="C1022" s="4">
        <v>37</v>
      </c>
      <c r="D1022" s="4">
        <v>0</v>
      </c>
      <c r="E1022" s="4" t="s">
        <v>12</v>
      </c>
      <c r="F1022" s="4" t="s">
        <v>21</v>
      </c>
      <c r="G1022" s="14">
        <v>5159.5192494242765</v>
      </c>
      <c r="H1022" s="15">
        <v>4913.8278565945511</v>
      </c>
    </row>
    <row r="1023" spans="1:8" x14ac:dyDescent="0.25">
      <c r="A1023" s="16">
        <v>22</v>
      </c>
      <c r="B1023" s="4" t="s">
        <v>8</v>
      </c>
      <c r="C1023" s="4">
        <v>31</v>
      </c>
      <c r="D1023" s="4">
        <v>3</v>
      </c>
      <c r="E1023" s="4" t="s">
        <v>9</v>
      </c>
      <c r="F1023" s="4" t="s">
        <v>13</v>
      </c>
      <c r="G1023" s="14">
        <v>841.87453898069703</v>
      </c>
      <c r="H1023" s="15">
        <v>1122.499385307596</v>
      </c>
    </row>
    <row r="1024" spans="1:8" x14ac:dyDescent="0.25">
      <c r="A1024" s="16">
        <v>47</v>
      </c>
      <c r="B1024" s="4" t="s">
        <v>11</v>
      </c>
      <c r="C1024" s="4">
        <v>36.1</v>
      </c>
      <c r="D1024" s="4">
        <v>1</v>
      </c>
      <c r="E1024" s="4" t="s">
        <v>9</v>
      </c>
      <c r="F1024" s="4" t="s">
        <v>13</v>
      </c>
      <c r="G1024" s="14">
        <v>3559.5862017813324</v>
      </c>
      <c r="H1024" s="15">
        <v>3390.0820969346041</v>
      </c>
    </row>
    <row r="1025" spans="1:8" x14ac:dyDescent="0.25">
      <c r="A1025" s="16">
        <v>18</v>
      </c>
      <c r="B1025" s="4" t="s">
        <v>11</v>
      </c>
      <c r="C1025" s="4">
        <v>21.8</v>
      </c>
      <c r="D1025" s="4">
        <v>1</v>
      </c>
      <c r="E1025" s="4" t="s">
        <v>12</v>
      </c>
      <c r="F1025" s="4" t="s">
        <v>13</v>
      </c>
      <c r="G1025" s="14">
        <v>1531.6012863899214</v>
      </c>
      <c r="H1025" s="15">
        <v>1801.8838663410847</v>
      </c>
    </row>
    <row r="1026" spans="1:8" x14ac:dyDescent="0.25">
      <c r="A1026" s="16">
        <v>47</v>
      </c>
      <c r="B1026" s="4" t="s">
        <v>8</v>
      </c>
      <c r="C1026" s="4">
        <v>45.3</v>
      </c>
      <c r="D1026" s="4">
        <v>1</v>
      </c>
      <c r="E1026" s="4" t="s">
        <v>12</v>
      </c>
      <c r="F1026" s="4" t="s">
        <v>13</v>
      </c>
      <c r="G1026" s="14">
        <v>5543.7124904623997</v>
      </c>
      <c r="H1026" s="15">
        <v>5279.7261813927626</v>
      </c>
    </row>
    <row r="1027" spans="1:8" x14ac:dyDescent="0.25">
      <c r="A1027" s="16">
        <v>21</v>
      </c>
      <c r="B1027" s="4" t="s">
        <v>8</v>
      </c>
      <c r="C1027" s="4">
        <v>22.5</v>
      </c>
      <c r="D1027" s="4">
        <v>0</v>
      </c>
      <c r="E1027" s="4" t="s">
        <v>12</v>
      </c>
      <c r="F1027" s="4" t="s">
        <v>21</v>
      </c>
      <c r="G1027" s="14">
        <v>1388.7435980028549</v>
      </c>
      <c r="H1027" s="15">
        <v>1633.8159976504182</v>
      </c>
    </row>
    <row r="1028" spans="1:8" x14ac:dyDescent="0.25">
      <c r="A1028" s="16">
        <v>19</v>
      </c>
      <c r="B1028" s="4" t="s">
        <v>11</v>
      </c>
      <c r="C1028" s="4">
        <v>20.5</v>
      </c>
      <c r="D1028" s="4">
        <v>1</v>
      </c>
      <c r="E1028" s="4" t="s">
        <v>9</v>
      </c>
      <c r="F1028" s="4" t="s">
        <v>20</v>
      </c>
      <c r="G1028" s="14">
        <v>1700.7151958853658</v>
      </c>
      <c r="H1028" s="15">
        <v>2000.8414069239604</v>
      </c>
    </row>
    <row r="1029" spans="1:8" x14ac:dyDescent="0.25">
      <c r="A1029" s="16">
        <v>23</v>
      </c>
      <c r="B1029" s="4" t="s">
        <v>11</v>
      </c>
      <c r="C1029" s="4">
        <v>25.8</v>
      </c>
      <c r="D1029" s="4">
        <v>0</v>
      </c>
      <c r="E1029" s="4" t="s">
        <v>12</v>
      </c>
      <c r="F1029" s="4" t="s">
        <v>20</v>
      </c>
      <c r="G1029" s="14">
        <v>1515.0842381574853</v>
      </c>
      <c r="H1029" s="15">
        <v>1782.4520448911601</v>
      </c>
    </row>
    <row r="1030" spans="1:8" x14ac:dyDescent="0.25">
      <c r="A1030" s="16">
        <v>54</v>
      </c>
      <c r="B1030" s="4" t="s">
        <v>11</v>
      </c>
      <c r="C1030" s="4">
        <v>31.6</v>
      </c>
      <c r="D1030" s="4">
        <v>0</v>
      </c>
      <c r="E1030" s="4" t="s">
        <v>12</v>
      </c>
      <c r="F1030" s="4" t="s">
        <v>21</v>
      </c>
      <c r="G1030" s="14">
        <v>4093.3640964526735</v>
      </c>
      <c r="H1030" s="15">
        <v>3898.4419966215951</v>
      </c>
    </row>
    <row r="1031" spans="1:8" x14ac:dyDescent="0.25">
      <c r="A1031" s="16">
        <v>37</v>
      </c>
      <c r="B1031" s="4" t="s">
        <v>8</v>
      </c>
      <c r="C1031" s="4">
        <v>17.3</v>
      </c>
      <c r="D1031" s="4">
        <v>2</v>
      </c>
      <c r="E1031" s="4" t="s">
        <v>12</v>
      </c>
      <c r="F1031" s="4" t="s">
        <v>15</v>
      </c>
      <c r="G1031" s="14">
        <v>2211.7272888231992</v>
      </c>
      <c r="H1031" s="15">
        <v>2602.0321044978818</v>
      </c>
    </row>
    <row r="1032" spans="1:8" x14ac:dyDescent="0.25">
      <c r="A1032" s="16">
        <v>46</v>
      </c>
      <c r="B1032" s="4" t="s">
        <v>8</v>
      </c>
      <c r="C1032" s="4">
        <v>23.7</v>
      </c>
      <c r="D1032" s="4">
        <v>1</v>
      </c>
      <c r="E1032" s="4" t="s">
        <v>9</v>
      </c>
      <c r="F1032" s="4" t="s">
        <v>20</v>
      </c>
      <c r="G1032" s="14">
        <v>1960.5165556743063</v>
      </c>
      <c r="H1032" s="15">
        <v>2306.4900654991848</v>
      </c>
    </row>
    <row r="1033" spans="1:8" x14ac:dyDescent="0.25">
      <c r="A1033" s="16">
        <v>55</v>
      </c>
      <c r="B1033" s="4" t="s">
        <v>8</v>
      </c>
      <c r="C1033" s="4">
        <v>35.200000000000003</v>
      </c>
      <c r="D1033" s="4">
        <v>0</v>
      </c>
      <c r="E1033" s="4" t="s">
        <v>9</v>
      </c>
      <c r="F1033" s="4" t="s">
        <v>13</v>
      </c>
      <c r="G1033" s="14">
        <v>5030.0204642134659</v>
      </c>
      <c r="H1033" s="15">
        <v>4790.4956802033021</v>
      </c>
    </row>
    <row r="1034" spans="1:8" x14ac:dyDescent="0.25">
      <c r="A1034" s="16">
        <v>30</v>
      </c>
      <c r="B1034" s="4" t="s">
        <v>8</v>
      </c>
      <c r="C1034" s="4">
        <v>21.8</v>
      </c>
      <c r="D1034" s="4">
        <v>0</v>
      </c>
      <c r="E1034" s="4" t="s">
        <v>12</v>
      </c>
      <c r="F1034" s="4" t="s">
        <v>15</v>
      </c>
      <c r="G1034" s="14">
        <v>2036.3672938737784</v>
      </c>
      <c r="H1034" s="15">
        <v>2395.726228086799</v>
      </c>
    </row>
    <row r="1035" spans="1:8" x14ac:dyDescent="0.25">
      <c r="A1035" s="16">
        <v>18</v>
      </c>
      <c r="B1035" s="4" t="s">
        <v>11</v>
      </c>
      <c r="C1035" s="4">
        <v>25.9</v>
      </c>
      <c r="D1035" s="4">
        <v>0</v>
      </c>
      <c r="E1035" s="4" t="s">
        <v>9</v>
      </c>
      <c r="F1035" s="4" t="s">
        <v>15</v>
      </c>
      <c r="G1035" s="14">
        <v>2478.1722215728996</v>
      </c>
      <c r="H1035" s="15">
        <v>2915.4967312622357</v>
      </c>
    </row>
    <row r="1036" spans="1:8" x14ac:dyDescent="0.25">
      <c r="A1036" s="16">
        <v>61</v>
      </c>
      <c r="B1036" s="4" t="s">
        <v>11</v>
      </c>
      <c r="C1036" s="4">
        <v>38.4</v>
      </c>
      <c r="D1036" s="4">
        <v>0</v>
      </c>
      <c r="E1036" s="4" t="s">
        <v>12</v>
      </c>
      <c r="F1036" s="4" t="s">
        <v>20</v>
      </c>
      <c r="G1036" s="14">
        <v>4748.1390443990495</v>
      </c>
      <c r="H1036" s="15">
        <v>4522.0371851419532</v>
      </c>
    </row>
    <row r="1037" spans="1:8" x14ac:dyDescent="0.25">
      <c r="A1037" s="16">
        <v>54</v>
      </c>
      <c r="B1037" s="4" t="s">
        <v>8</v>
      </c>
      <c r="C1037" s="4">
        <v>23</v>
      </c>
      <c r="D1037" s="4">
        <v>3</v>
      </c>
      <c r="E1037" s="4" t="s">
        <v>12</v>
      </c>
      <c r="F1037" s="4" t="s">
        <v>21</v>
      </c>
      <c r="G1037" s="14">
        <v>1457.5881306508979</v>
      </c>
      <c r="H1037" s="15">
        <v>1943.4508408678639</v>
      </c>
    </row>
    <row r="1038" spans="1:8" x14ac:dyDescent="0.25">
      <c r="A1038" s="16">
        <v>22</v>
      </c>
      <c r="B1038" s="4" t="s">
        <v>11</v>
      </c>
      <c r="C1038" s="4">
        <v>37.1</v>
      </c>
      <c r="D1038" s="4">
        <v>2</v>
      </c>
      <c r="E1038" s="4" t="s">
        <v>9</v>
      </c>
      <c r="F1038" s="4" t="s">
        <v>13</v>
      </c>
      <c r="G1038" s="14">
        <v>1741.7797794669095</v>
      </c>
      <c r="H1038" s="15">
        <v>2322.3730392892126</v>
      </c>
    </row>
    <row r="1039" spans="1:8" x14ac:dyDescent="0.25">
      <c r="A1039" s="16">
        <v>45</v>
      </c>
      <c r="B1039" s="4" t="s">
        <v>8</v>
      </c>
      <c r="C1039" s="4">
        <v>30.5</v>
      </c>
      <c r="D1039" s="4">
        <v>1</v>
      </c>
      <c r="E1039" s="4" t="s">
        <v>9</v>
      </c>
      <c r="F1039" s="4" t="s">
        <v>20</v>
      </c>
      <c r="G1039" s="14">
        <v>4036.0757557225165</v>
      </c>
      <c r="H1039" s="15">
        <v>3843.8816721166841</v>
      </c>
    </row>
    <row r="1040" spans="1:8" x14ac:dyDescent="0.25">
      <c r="A1040" s="16">
        <v>22</v>
      </c>
      <c r="B1040" s="4" t="s">
        <v>11</v>
      </c>
      <c r="C1040" s="4">
        <v>23.1</v>
      </c>
      <c r="D1040" s="4">
        <v>0</v>
      </c>
      <c r="E1040" s="4" t="s">
        <v>12</v>
      </c>
      <c r="F1040" s="4" t="s">
        <v>15</v>
      </c>
      <c r="G1040" s="14">
        <v>1683.8623423984259</v>
      </c>
      <c r="H1040" s="15">
        <v>1981.0145204687371</v>
      </c>
    </row>
    <row r="1041" spans="1:8" x14ac:dyDescent="0.25">
      <c r="A1041" s="16">
        <v>19</v>
      </c>
      <c r="B1041" s="4" t="s">
        <v>11</v>
      </c>
      <c r="C1041" s="4">
        <v>21.4</v>
      </c>
      <c r="D1041" s="4">
        <v>2</v>
      </c>
      <c r="E1041" s="4" t="s">
        <v>12</v>
      </c>
      <c r="F1041" s="4" t="s">
        <v>20</v>
      </c>
      <c r="G1041" s="14">
        <v>1754.8784640103825</v>
      </c>
      <c r="H1041" s="15">
        <v>2064.5628988357448</v>
      </c>
    </row>
    <row r="1042" spans="1:8" x14ac:dyDescent="0.25">
      <c r="A1042" s="16">
        <v>35</v>
      </c>
      <c r="B1042" s="4" t="s">
        <v>8</v>
      </c>
      <c r="C1042" s="4">
        <v>24</v>
      </c>
      <c r="D1042" s="4">
        <v>0</v>
      </c>
      <c r="E1042" s="4" t="s">
        <v>9</v>
      </c>
      <c r="F1042" s="4" t="s">
        <v>20</v>
      </c>
      <c r="G1042" s="14">
        <v>1598.2892007261344</v>
      </c>
      <c r="H1042" s="15">
        <v>1880.3402361483943</v>
      </c>
    </row>
    <row r="1043" spans="1:8" x14ac:dyDescent="0.25">
      <c r="A1043" s="16">
        <v>18</v>
      </c>
      <c r="B1043" s="4" t="s">
        <v>11</v>
      </c>
      <c r="C1043" s="4">
        <v>24.8</v>
      </c>
      <c r="D1043" s="4">
        <v>0</v>
      </c>
      <c r="E1043" s="4" t="s">
        <v>12</v>
      </c>
      <c r="F1043" s="4" t="s">
        <v>15</v>
      </c>
      <c r="G1043" s="14">
        <v>1457.3416037085512</v>
      </c>
      <c r="H1043" s="15">
        <v>1714.5195337747671</v>
      </c>
    </row>
    <row r="1044" spans="1:8" x14ac:dyDescent="0.25">
      <c r="A1044" s="16">
        <v>20</v>
      </c>
      <c r="B1044" s="4" t="s">
        <v>11</v>
      </c>
      <c r="C1044" s="4">
        <v>21.9</v>
      </c>
      <c r="D1044" s="4">
        <v>0</v>
      </c>
      <c r="E1044" s="4" t="s">
        <v>9</v>
      </c>
      <c r="F1044" s="4" t="s">
        <v>15</v>
      </c>
      <c r="G1044" s="14">
        <v>1636.6726650662445</v>
      </c>
      <c r="H1044" s="15">
        <v>1925.4972530191119</v>
      </c>
    </row>
    <row r="1045" spans="1:8" x14ac:dyDescent="0.25">
      <c r="A1045" s="16">
        <v>28</v>
      </c>
      <c r="B1045" s="4" t="s">
        <v>8</v>
      </c>
      <c r="C1045" s="4">
        <v>25.9</v>
      </c>
      <c r="D1045" s="4">
        <v>0</v>
      </c>
      <c r="E1045" s="4" t="s">
        <v>12</v>
      </c>
      <c r="F1045" s="4" t="s">
        <v>21</v>
      </c>
      <c r="G1045" s="14">
        <v>1760.3325038563974</v>
      </c>
      <c r="H1045" s="15">
        <v>2070.979416301645</v>
      </c>
    </row>
    <row r="1046" spans="1:8" x14ac:dyDescent="0.25">
      <c r="A1046" s="16">
        <v>55</v>
      </c>
      <c r="B1046" s="4" t="s">
        <v>11</v>
      </c>
      <c r="C1046" s="4">
        <v>35.200000000000003</v>
      </c>
      <c r="D1046" s="4">
        <v>1</v>
      </c>
      <c r="E1046" s="4" t="s">
        <v>12</v>
      </c>
      <c r="F1046" s="4" t="s">
        <v>15</v>
      </c>
      <c r="G1046" s="14">
        <v>5468.5587565672231</v>
      </c>
      <c r="H1046" s="15">
        <v>5208.1511967306906</v>
      </c>
    </row>
    <row r="1047" spans="1:8" x14ac:dyDescent="0.25">
      <c r="A1047" s="16">
        <v>43</v>
      </c>
      <c r="B1047" s="4" t="s">
        <v>8</v>
      </c>
      <c r="C1047" s="4">
        <v>24.7</v>
      </c>
      <c r="D1047" s="4">
        <v>2</v>
      </c>
      <c r="E1047" s="4" t="s">
        <v>9</v>
      </c>
      <c r="F1047" s="4" t="s">
        <v>20</v>
      </c>
      <c r="G1047" s="14">
        <v>1489.3803363185136</v>
      </c>
      <c r="H1047" s="15">
        <v>1985.8404484246848</v>
      </c>
    </row>
    <row r="1048" spans="1:8" x14ac:dyDescent="0.25">
      <c r="A1048" s="16">
        <v>43</v>
      </c>
      <c r="B1048" s="4" t="s">
        <v>8</v>
      </c>
      <c r="C1048" s="4">
        <v>25.1</v>
      </c>
      <c r="D1048" s="4">
        <v>0</v>
      </c>
      <c r="E1048" s="4" t="s">
        <v>12</v>
      </c>
      <c r="F1048" s="4" t="s">
        <v>15</v>
      </c>
      <c r="G1048" s="14">
        <v>2103.8070158121673</v>
      </c>
      <c r="H1048" s="15">
        <v>2475.0670774260798</v>
      </c>
    </row>
    <row r="1049" spans="1:8" x14ac:dyDescent="0.25">
      <c r="A1049" s="16">
        <v>22</v>
      </c>
      <c r="B1049" s="4" t="s">
        <v>11</v>
      </c>
      <c r="C1049" s="4">
        <v>23.4</v>
      </c>
      <c r="D1049" s="4">
        <v>1</v>
      </c>
      <c r="E1049" s="4" t="s">
        <v>9</v>
      </c>
      <c r="F1049" s="4" t="s">
        <v>13</v>
      </c>
      <c r="G1049" s="14">
        <v>1403.8974556700741</v>
      </c>
      <c r="H1049" s="15">
        <v>1651.6440654942055</v>
      </c>
    </row>
    <row r="1050" spans="1:8" x14ac:dyDescent="0.25">
      <c r="A1050" s="16">
        <v>25</v>
      </c>
      <c r="B1050" s="4" t="s">
        <v>8</v>
      </c>
      <c r="C1050" s="4">
        <v>24.2</v>
      </c>
      <c r="D1050" s="4">
        <v>1</v>
      </c>
      <c r="E1050" s="4" t="s">
        <v>12</v>
      </c>
      <c r="F1050" s="4" t="s">
        <v>20</v>
      </c>
      <c r="G1050" s="14">
        <v>1583.8321306523108</v>
      </c>
      <c r="H1050" s="15">
        <v>1863.3319184144841</v>
      </c>
    </row>
    <row r="1051" spans="1:8" x14ac:dyDescent="0.25">
      <c r="A1051" s="16">
        <v>49</v>
      </c>
      <c r="B1051" s="4" t="s">
        <v>11</v>
      </c>
      <c r="C1051" s="4">
        <v>30.9</v>
      </c>
      <c r="D1051" s="4">
        <v>0</v>
      </c>
      <c r="E1051" s="4" t="s">
        <v>9</v>
      </c>
      <c r="F1051" s="4" t="s">
        <v>21</v>
      </c>
      <c r="G1051" s="14">
        <v>4670.6446827084419</v>
      </c>
      <c r="H1051" s="15">
        <v>4448.2330311508986</v>
      </c>
    </row>
    <row r="1052" spans="1:8" x14ac:dyDescent="0.25">
      <c r="A1052" s="16">
        <v>44</v>
      </c>
      <c r="B1052" s="4" t="s">
        <v>8</v>
      </c>
      <c r="C1052" s="4">
        <v>37</v>
      </c>
      <c r="D1052" s="4">
        <v>1</v>
      </c>
      <c r="E1052" s="4" t="s">
        <v>12</v>
      </c>
      <c r="F1052" s="4" t="s">
        <v>20</v>
      </c>
      <c r="G1052" s="14">
        <v>6035.3364342030563</v>
      </c>
      <c r="H1052" s="15">
        <v>5747.9394611457692</v>
      </c>
    </row>
    <row r="1053" spans="1:8" x14ac:dyDescent="0.25">
      <c r="A1053" s="16">
        <v>64</v>
      </c>
      <c r="B1053" s="4" t="s">
        <v>11</v>
      </c>
      <c r="C1053" s="4">
        <v>26.4</v>
      </c>
      <c r="D1053" s="4">
        <v>0</v>
      </c>
      <c r="E1053" s="4" t="s">
        <v>12</v>
      </c>
      <c r="F1053" s="4" t="s">
        <v>15</v>
      </c>
      <c r="G1053" s="14">
        <v>4227.2754731988944</v>
      </c>
      <c r="H1053" s="15">
        <v>4025.9766411418059</v>
      </c>
    </row>
    <row r="1054" spans="1:8" x14ac:dyDescent="0.25">
      <c r="A1054" s="16">
        <v>49</v>
      </c>
      <c r="B1054" s="4" t="s">
        <v>11</v>
      </c>
      <c r="C1054" s="4">
        <v>29.8</v>
      </c>
      <c r="D1054" s="4">
        <v>1</v>
      </c>
      <c r="E1054" s="4" t="s">
        <v>12</v>
      </c>
      <c r="F1054" s="4" t="s">
        <v>15</v>
      </c>
      <c r="G1054" s="14">
        <v>5840.448922180859</v>
      </c>
      <c r="H1054" s="15">
        <v>5562.3323068389145</v>
      </c>
    </row>
    <row r="1055" spans="1:8" x14ac:dyDescent="0.25">
      <c r="A1055" s="16">
        <v>47</v>
      </c>
      <c r="B1055" s="4" t="s">
        <v>11</v>
      </c>
      <c r="C1055" s="4">
        <v>29.8</v>
      </c>
      <c r="D1055" s="4">
        <v>3</v>
      </c>
      <c r="E1055" s="4" t="s">
        <v>9</v>
      </c>
      <c r="F1055" s="4" t="s">
        <v>21</v>
      </c>
      <c r="G1055" s="14">
        <v>1703.2005875176774</v>
      </c>
      <c r="H1055" s="15">
        <v>2270.9341166902364</v>
      </c>
    </row>
    <row r="1056" spans="1:8" x14ac:dyDescent="0.25">
      <c r="A1056" s="16">
        <v>27</v>
      </c>
      <c r="B1056" s="4" t="s">
        <v>8</v>
      </c>
      <c r="C1056" s="4">
        <v>22.3</v>
      </c>
      <c r="D1056" s="4">
        <v>0</v>
      </c>
      <c r="E1056" s="4" t="s">
        <v>12</v>
      </c>
      <c r="F1056" s="4" t="s">
        <v>20</v>
      </c>
      <c r="G1056" s="14">
        <v>2291.9274457970755</v>
      </c>
      <c r="H1056" s="15">
        <v>2696.3852303495014</v>
      </c>
    </row>
    <row r="1057" spans="1:8" x14ac:dyDescent="0.25">
      <c r="A1057" s="16">
        <v>55</v>
      </c>
      <c r="B1057" s="4" t="s">
        <v>11</v>
      </c>
      <c r="C1057" s="4">
        <v>27.6</v>
      </c>
      <c r="D1057" s="4">
        <v>0</v>
      </c>
      <c r="E1057" s="4" t="s">
        <v>12</v>
      </c>
      <c r="F1057" s="4" t="s">
        <v>20</v>
      </c>
      <c r="G1057" s="14">
        <v>3679.3955930165366</v>
      </c>
      <c r="H1057" s="15">
        <v>3504.1862790633695</v>
      </c>
    </row>
    <row r="1058" spans="1:8" x14ac:dyDescent="0.25">
      <c r="A1058" s="16">
        <v>48</v>
      </c>
      <c r="B1058" s="4" t="s">
        <v>8</v>
      </c>
      <c r="C1058" s="4">
        <v>28.9</v>
      </c>
      <c r="D1058" s="4">
        <v>0</v>
      </c>
      <c r="E1058" s="4" t="s">
        <v>12</v>
      </c>
      <c r="F1058" s="4" t="s">
        <v>21</v>
      </c>
      <c r="G1058" s="14">
        <v>4504.2452876915622</v>
      </c>
      <c r="H1058" s="15">
        <v>4289.7574168491083</v>
      </c>
    </row>
    <row r="1059" spans="1:8" x14ac:dyDescent="0.25">
      <c r="A1059" s="16">
        <v>45</v>
      </c>
      <c r="B1059" s="4" t="s">
        <v>8</v>
      </c>
      <c r="C1059" s="4">
        <v>31.8</v>
      </c>
      <c r="D1059" s="4">
        <v>0</v>
      </c>
      <c r="E1059" s="4" t="s">
        <v>12</v>
      </c>
      <c r="F1059" s="4" t="s">
        <v>13</v>
      </c>
      <c r="G1059" s="14">
        <v>5107.7361104540205</v>
      </c>
      <c r="H1059" s="15">
        <v>4864.5105813847822</v>
      </c>
    </row>
    <row r="1060" spans="1:8" x14ac:dyDescent="0.25">
      <c r="A1060" s="16">
        <v>24</v>
      </c>
      <c r="B1060" s="4" t="s">
        <v>8</v>
      </c>
      <c r="C1060" s="4">
        <v>24.5</v>
      </c>
      <c r="D1060" s="4">
        <v>0</v>
      </c>
      <c r="E1060" s="4" t="s">
        <v>12</v>
      </c>
      <c r="F1060" s="4" t="s">
        <v>13</v>
      </c>
      <c r="G1060" s="14">
        <v>1523.6591255520352</v>
      </c>
      <c r="H1060" s="15">
        <v>1792.5401477082776</v>
      </c>
    </row>
    <row r="1061" spans="1:8" x14ac:dyDescent="0.25">
      <c r="A1061" s="16">
        <v>32</v>
      </c>
      <c r="B1061" s="4" t="s">
        <v>11</v>
      </c>
      <c r="C1061" s="4">
        <v>20.3</v>
      </c>
      <c r="D1061" s="4">
        <v>1</v>
      </c>
      <c r="E1061" s="4" t="s">
        <v>12</v>
      </c>
      <c r="F1061" s="4" t="s">
        <v>20</v>
      </c>
      <c r="G1061" s="14">
        <v>1641.5686871612636</v>
      </c>
      <c r="H1061" s="15">
        <v>1931.2572790132519</v>
      </c>
    </row>
    <row r="1062" spans="1:8" x14ac:dyDescent="0.25">
      <c r="A1062" s="16">
        <v>24</v>
      </c>
      <c r="B1062" s="4" t="s">
        <v>11</v>
      </c>
      <c r="C1062" s="4">
        <v>25.1</v>
      </c>
      <c r="D1062" s="4">
        <v>0</v>
      </c>
      <c r="E1062" s="4" t="s">
        <v>12</v>
      </c>
      <c r="F1062" s="4" t="s">
        <v>13</v>
      </c>
      <c r="G1062" s="14">
        <v>1872.0232723000147</v>
      </c>
      <c r="H1062" s="15">
        <v>2202.3803203529592</v>
      </c>
    </row>
    <row r="1063" spans="1:8" x14ac:dyDescent="0.25">
      <c r="A1063" s="16">
        <v>57</v>
      </c>
      <c r="B1063" s="4" t="s">
        <v>11</v>
      </c>
      <c r="C1063" s="4">
        <v>27.9</v>
      </c>
      <c r="D1063" s="4">
        <v>1</v>
      </c>
      <c r="E1063" s="4" t="s">
        <v>12</v>
      </c>
      <c r="F1063" s="4" t="s">
        <v>13</v>
      </c>
      <c r="G1063" s="14">
        <v>5019.5994184593956</v>
      </c>
      <c r="H1063" s="15">
        <v>4780.5708747232347</v>
      </c>
    </row>
    <row r="1064" spans="1:8" x14ac:dyDescent="0.25">
      <c r="A1064" s="16">
        <v>59</v>
      </c>
      <c r="B1064" s="4" t="s">
        <v>11</v>
      </c>
      <c r="C1064" s="4">
        <v>41.1</v>
      </c>
      <c r="D1064" s="4">
        <v>1</v>
      </c>
      <c r="E1064" s="4" t="s">
        <v>9</v>
      </c>
      <c r="F1064" s="4" t="s">
        <v>13</v>
      </c>
      <c r="G1064" s="14">
        <v>4519.2535492514589</v>
      </c>
      <c r="H1064" s="15">
        <v>4304.0509992871057</v>
      </c>
    </row>
    <row r="1065" spans="1:8" x14ac:dyDescent="0.25">
      <c r="A1065" s="16">
        <v>36</v>
      </c>
      <c r="B1065" s="4" t="s">
        <v>11</v>
      </c>
      <c r="C1065" s="4">
        <v>28.6</v>
      </c>
      <c r="D1065" s="4">
        <v>3</v>
      </c>
      <c r="E1065" s="4" t="s">
        <v>12</v>
      </c>
      <c r="F1065" s="4" t="s">
        <v>20</v>
      </c>
      <c r="G1065" s="14">
        <v>1711.3842855211078</v>
      </c>
      <c r="H1065" s="15">
        <v>2281.8457140281439</v>
      </c>
    </row>
    <row r="1066" spans="1:8" x14ac:dyDescent="0.25">
      <c r="A1066" s="16">
        <v>29</v>
      </c>
      <c r="B1066" s="4" t="s">
        <v>8</v>
      </c>
      <c r="C1066" s="4">
        <v>25.6</v>
      </c>
      <c r="D1066" s="4">
        <v>4</v>
      </c>
      <c r="E1066" s="4" t="s">
        <v>12</v>
      </c>
      <c r="F1066" s="4" t="s">
        <v>21</v>
      </c>
      <c r="G1066" s="14">
        <v>2037.5325546459676</v>
      </c>
      <c r="H1066" s="15">
        <v>2716.71007286129</v>
      </c>
    </row>
    <row r="1067" spans="1:8" x14ac:dyDescent="0.25">
      <c r="A1067" s="16">
        <v>42</v>
      </c>
      <c r="B1067" s="4" t="s">
        <v>8</v>
      </c>
      <c r="C1067" s="4">
        <v>25.3</v>
      </c>
      <c r="D1067" s="4">
        <v>1</v>
      </c>
      <c r="E1067" s="4" t="s">
        <v>12</v>
      </c>
      <c r="F1067" s="4" t="s">
        <v>21</v>
      </c>
      <c r="G1067" s="14">
        <v>2130.9581090674492</v>
      </c>
      <c r="H1067" s="15">
        <v>2507.0095400793525</v>
      </c>
    </row>
    <row r="1068" spans="1:8" x14ac:dyDescent="0.25">
      <c r="A1068" s="16">
        <v>48</v>
      </c>
      <c r="B1068" s="4" t="s">
        <v>11</v>
      </c>
      <c r="C1068" s="4">
        <v>37.299999999999997</v>
      </c>
      <c r="D1068" s="4">
        <v>2</v>
      </c>
      <c r="E1068" s="4" t="s">
        <v>12</v>
      </c>
      <c r="F1068" s="4" t="s">
        <v>13</v>
      </c>
      <c r="G1068" s="14">
        <v>1531.1793644389777</v>
      </c>
      <c r="H1068" s="15">
        <v>2041.5724859186369</v>
      </c>
    </row>
    <row r="1069" spans="1:8" x14ac:dyDescent="0.25">
      <c r="A1069" s="16">
        <v>39</v>
      </c>
      <c r="B1069" s="4" t="s">
        <v>11</v>
      </c>
      <c r="C1069" s="4">
        <v>42.7</v>
      </c>
      <c r="D1069" s="4">
        <v>0</v>
      </c>
      <c r="E1069" s="4" t="s">
        <v>12</v>
      </c>
      <c r="F1069" s="4" t="s">
        <v>15</v>
      </c>
      <c r="G1069" s="14">
        <v>4032.4108735329005</v>
      </c>
      <c r="H1069" s="15">
        <v>3840.3913081265732</v>
      </c>
    </row>
    <row r="1070" spans="1:8" x14ac:dyDescent="0.25">
      <c r="A1070" s="16">
        <v>63</v>
      </c>
      <c r="B1070" s="4" t="s">
        <v>11</v>
      </c>
      <c r="C1070" s="4">
        <v>21.7</v>
      </c>
      <c r="D1070" s="4">
        <v>1</v>
      </c>
      <c r="E1070" s="4" t="s">
        <v>12</v>
      </c>
      <c r="F1070" s="4" t="s">
        <v>20</v>
      </c>
      <c r="G1070" s="14">
        <v>4152.4206232771076</v>
      </c>
      <c r="H1070" s="15">
        <v>3954.686307882961</v>
      </c>
    </row>
    <row r="1071" spans="1:8" x14ac:dyDescent="0.25">
      <c r="A1071" s="16">
        <v>54</v>
      </c>
      <c r="B1071" s="4" t="s">
        <v>8</v>
      </c>
      <c r="C1071" s="4">
        <v>31.9</v>
      </c>
      <c r="D1071" s="4">
        <v>1</v>
      </c>
      <c r="E1071" s="4" t="s">
        <v>12</v>
      </c>
      <c r="F1071" s="4" t="s">
        <v>13</v>
      </c>
      <c r="G1071" s="14">
        <v>5570.6653222694995</v>
      </c>
      <c r="H1071" s="15">
        <v>5305.3955450185731</v>
      </c>
    </row>
    <row r="1072" spans="1:8" x14ac:dyDescent="0.25">
      <c r="A1072" s="16">
        <v>37</v>
      </c>
      <c r="B1072" s="4" t="s">
        <v>11</v>
      </c>
      <c r="C1072" s="4">
        <v>37.1</v>
      </c>
      <c r="D1072" s="4">
        <v>1</v>
      </c>
      <c r="E1072" s="4" t="s">
        <v>9</v>
      </c>
      <c r="F1072" s="4" t="s">
        <v>13</v>
      </c>
      <c r="G1072" s="14">
        <v>5427.7938781035227</v>
      </c>
      <c r="H1072" s="15">
        <v>5169.3275029557371</v>
      </c>
    </row>
    <row r="1073" spans="1:8" x14ac:dyDescent="0.25">
      <c r="A1073" s="16">
        <v>63</v>
      </c>
      <c r="B1073" s="4" t="s">
        <v>11</v>
      </c>
      <c r="C1073" s="4">
        <v>31.4</v>
      </c>
      <c r="D1073" s="4">
        <v>0</v>
      </c>
      <c r="E1073" s="4" t="s">
        <v>12</v>
      </c>
      <c r="F1073" s="4" t="s">
        <v>15</v>
      </c>
      <c r="G1073" s="14">
        <v>5221.9425605370825</v>
      </c>
      <c r="H1073" s="15">
        <v>4973.2786290829363</v>
      </c>
    </row>
    <row r="1074" spans="1:8" x14ac:dyDescent="0.25">
      <c r="A1074" s="16">
        <v>21</v>
      </c>
      <c r="B1074" s="4" t="s">
        <v>11</v>
      </c>
      <c r="C1074" s="4">
        <v>21.5</v>
      </c>
      <c r="D1074" s="4">
        <v>0</v>
      </c>
      <c r="E1074" s="4" t="s">
        <v>12</v>
      </c>
      <c r="F1074" s="4" t="s">
        <v>20</v>
      </c>
      <c r="G1074" s="14">
        <v>1412.0310235780269</v>
      </c>
      <c r="H1074" s="15">
        <v>1661.2129689153267</v>
      </c>
    </row>
    <row r="1075" spans="1:8" x14ac:dyDescent="0.25">
      <c r="A1075" s="16">
        <v>54</v>
      </c>
      <c r="B1075" s="4" t="s">
        <v>8</v>
      </c>
      <c r="C1075" s="4">
        <v>28.9</v>
      </c>
      <c r="D1075" s="4">
        <v>2</v>
      </c>
      <c r="E1075" s="4" t="s">
        <v>12</v>
      </c>
      <c r="F1075" s="4" t="s">
        <v>15</v>
      </c>
      <c r="G1075" s="14">
        <v>1919.1017903131349</v>
      </c>
      <c r="H1075" s="15">
        <v>2558.8023870841798</v>
      </c>
    </row>
    <row r="1076" spans="1:8" x14ac:dyDescent="0.25">
      <c r="A1076" s="16">
        <v>60</v>
      </c>
      <c r="B1076" s="4" t="s">
        <v>8</v>
      </c>
      <c r="C1076" s="4">
        <v>18.3</v>
      </c>
      <c r="D1076" s="4">
        <v>0</v>
      </c>
      <c r="E1076" s="4" t="s">
        <v>12</v>
      </c>
      <c r="F1076" s="4" t="s">
        <v>15</v>
      </c>
      <c r="G1076" s="14">
        <v>5589.9913769262203</v>
      </c>
      <c r="H1076" s="15">
        <v>5323.8013113583056</v>
      </c>
    </row>
    <row r="1077" spans="1:8" x14ac:dyDescent="0.25">
      <c r="A1077" s="16">
        <v>32</v>
      </c>
      <c r="B1077" s="4" t="s">
        <v>8</v>
      </c>
      <c r="C1077" s="4">
        <v>23.8</v>
      </c>
      <c r="D1077" s="4">
        <v>1</v>
      </c>
      <c r="E1077" s="4" t="s">
        <v>12</v>
      </c>
      <c r="F1077" s="4" t="s">
        <v>13</v>
      </c>
      <c r="G1077" s="14">
        <v>1741.8165311944856</v>
      </c>
      <c r="H1077" s="15">
        <v>2049.1959190523366</v>
      </c>
    </row>
    <row r="1078" spans="1:8" x14ac:dyDescent="0.25">
      <c r="A1078" s="16">
        <v>47</v>
      </c>
      <c r="B1078" s="4" t="s">
        <v>8</v>
      </c>
      <c r="C1078" s="4">
        <v>32</v>
      </c>
      <c r="D1078" s="4">
        <v>1</v>
      </c>
      <c r="E1078" s="4" t="s">
        <v>12</v>
      </c>
      <c r="F1078" s="4" t="s">
        <v>21</v>
      </c>
      <c r="G1078" s="14">
        <v>4775.8163899403735</v>
      </c>
      <c r="H1078" s="15">
        <v>4548.396561847977</v>
      </c>
    </row>
    <row r="1079" spans="1:8" x14ac:dyDescent="0.25">
      <c r="A1079" s="16">
        <v>21</v>
      </c>
      <c r="B1079" s="4" t="s">
        <v>11</v>
      </c>
      <c r="C1079" s="4">
        <v>24.4</v>
      </c>
      <c r="D1079" s="4">
        <v>0</v>
      </c>
      <c r="E1079" s="4" t="s">
        <v>12</v>
      </c>
      <c r="F1079" s="4" t="s">
        <v>15</v>
      </c>
      <c r="G1079" s="14">
        <v>1596.7062974165797</v>
      </c>
      <c r="H1079" s="15">
        <v>1878.477996960683</v>
      </c>
    </row>
    <row r="1080" spans="1:8" x14ac:dyDescent="0.25">
      <c r="A1080" s="16">
        <v>28</v>
      </c>
      <c r="B1080" s="4" t="s">
        <v>11</v>
      </c>
      <c r="C1080" s="4">
        <v>21.1</v>
      </c>
      <c r="D1080" s="4">
        <v>0</v>
      </c>
      <c r="E1080" s="4" t="s">
        <v>9</v>
      </c>
      <c r="F1080" s="4" t="s">
        <v>13</v>
      </c>
      <c r="G1080" s="14">
        <v>1992.0756758797852</v>
      </c>
      <c r="H1080" s="15">
        <v>2343.618442211513</v>
      </c>
    </row>
    <row r="1081" spans="1:8" x14ac:dyDescent="0.25">
      <c r="A1081" s="16">
        <v>63</v>
      </c>
      <c r="B1081" s="4" t="s">
        <v>11</v>
      </c>
      <c r="C1081" s="4">
        <v>33.700000000000003</v>
      </c>
      <c r="D1081" s="4">
        <v>3</v>
      </c>
      <c r="E1081" s="4" t="s">
        <v>12</v>
      </c>
      <c r="F1081" s="4" t="s">
        <v>13</v>
      </c>
      <c r="G1081" s="14">
        <v>3475.1706017141305</v>
      </c>
      <c r="H1081" s="15">
        <v>4633.5608022855076</v>
      </c>
    </row>
    <row r="1082" spans="1:8" x14ac:dyDescent="0.25">
      <c r="A1082" s="16">
        <v>18</v>
      </c>
      <c r="B1082" s="4" t="s">
        <v>11</v>
      </c>
      <c r="C1082" s="4">
        <v>25.1</v>
      </c>
      <c r="D1082" s="4">
        <v>2</v>
      </c>
      <c r="E1082" s="4" t="s">
        <v>12</v>
      </c>
      <c r="F1082" s="4" t="s">
        <v>13</v>
      </c>
      <c r="G1082" s="14">
        <v>1524.6047501329999</v>
      </c>
      <c r="H1082" s="15">
        <v>1793.652647215295</v>
      </c>
    </row>
    <row r="1083" spans="1:8" x14ac:dyDescent="0.25">
      <c r="A1083" s="16">
        <v>32</v>
      </c>
      <c r="B1083" s="4" t="s">
        <v>11</v>
      </c>
      <c r="C1083" s="4">
        <v>20.3</v>
      </c>
      <c r="D1083" s="4">
        <v>1</v>
      </c>
      <c r="E1083" s="4" t="s">
        <v>12</v>
      </c>
      <c r="F1083" s="4" t="s">
        <v>20</v>
      </c>
      <c r="G1083" s="14">
        <v>2061.749807570864</v>
      </c>
      <c r="H1083" s="15">
        <v>2425.5880089068992</v>
      </c>
    </row>
    <row r="1084" spans="1:8" x14ac:dyDescent="0.25">
      <c r="A1084" s="16">
        <v>38</v>
      </c>
      <c r="B1084" s="4" t="s">
        <v>11</v>
      </c>
      <c r="C1084" s="4">
        <v>20.8</v>
      </c>
      <c r="D1084" s="4">
        <v>1</v>
      </c>
      <c r="E1084" s="4" t="s">
        <v>12</v>
      </c>
      <c r="F1084" s="4" t="s">
        <v>20</v>
      </c>
      <c r="G1084" s="14">
        <v>1520.9504873222211</v>
      </c>
      <c r="H1084" s="15">
        <v>1789.3535144967313</v>
      </c>
    </row>
    <row r="1085" spans="1:8" x14ac:dyDescent="0.25">
      <c r="A1085" s="16">
        <v>32</v>
      </c>
      <c r="B1085" s="4" t="s">
        <v>11</v>
      </c>
      <c r="C1085" s="4">
        <v>25.8</v>
      </c>
      <c r="D1085" s="4">
        <v>1</v>
      </c>
      <c r="E1085" s="4" t="s">
        <v>12</v>
      </c>
      <c r="F1085" s="4" t="s">
        <v>21</v>
      </c>
      <c r="G1085" s="14">
        <v>2011.5630690675853</v>
      </c>
      <c r="H1085" s="15">
        <v>2366.5447871383362</v>
      </c>
    </row>
    <row r="1086" spans="1:8" x14ac:dyDescent="0.25">
      <c r="A1086" s="16">
        <v>62</v>
      </c>
      <c r="B1086" s="4" t="s">
        <v>8</v>
      </c>
      <c r="C1086" s="4">
        <v>30.5</v>
      </c>
      <c r="D1086" s="4">
        <v>2</v>
      </c>
      <c r="E1086" s="4" t="s">
        <v>12</v>
      </c>
      <c r="F1086" s="4" t="s">
        <v>20</v>
      </c>
      <c r="G1086" s="14">
        <v>3861.7566518788713</v>
      </c>
      <c r="H1086" s="15">
        <v>3677.863477979879</v>
      </c>
    </row>
    <row r="1087" spans="1:8" x14ac:dyDescent="0.25">
      <c r="A1087" s="16">
        <v>39</v>
      </c>
      <c r="B1087" s="4" t="s">
        <v>8</v>
      </c>
      <c r="C1087" s="4">
        <v>18.3</v>
      </c>
      <c r="D1087" s="4">
        <v>5</v>
      </c>
      <c r="E1087" s="4" t="s">
        <v>9</v>
      </c>
      <c r="F1087" s="4" t="s">
        <v>21</v>
      </c>
      <c r="G1087" s="14">
        <v>1159.0161856990621</v>
      </c>
      <c r="H1087" s="15">
        <v>1545.3549142654163</v>
      </c>
    </row>
    <row r="1088" spans="1:8" x14ac:dyDescent="0.25">
      <c r="A1088" s="16">
        <v>55</v>
      </c>
      <c r="B1088" s="4" t="s">
        <v>11</v>
      </c>
      <c r="C1088" s="4">
        <v>29</v>
      </c>
      <c r="D1088" s="4">
        <v>0</v>
      </c>
      <c r="E1088" s="4" t="s">
        <v>12</v>
      </c>
      <c r="F1088" s="4" t="s">
        <v>15</v>
      </c>
      <c r="G1088" s="14">
        <v>5417.4595229667593</v>
      </c>
      <c r="H1088" s="15">
        <v>5159.4852599683436</v>
      </c>
    </row>
    <row r="1089" spans="1:8" x14ac:dyDescent="0.25">
      <c r="A1089" s="16">
        <v>57</v>
      </c>
      <c r="B1089" s="4" t="s">
        <v>11</v>
      </c>
      <c r="C1089" s="4">
        <v>31.5</v>
      </c>
      <c r="D1089" s="4">
        <v>0</v>
      </c>
      <c r="E1089" s="4" t="s">
        <v>12</v>
      </c>
      <c r="F1089" s="4" t="s">
        <v>20</v>
      </c>
      <c r="G1089" s="14">
        <v>5588.9963239420467</v>
      </c>
      <c r="H1089" s="15">
        <v>5322.8536418495705</v>
      </c>
    </row>
    <row r="1090" spans="1:8" x14ac:dyDescent="0.25">
      <c r="A1090" s="16">
        <v>52</v>
      </c>
      <c r="B1090" s="4" t="s">
        <v>11</v>
      </c>
      <c r="C1090" s="4">
        <v>47.7</v>
      </c>
      <c r="D1090" s="4">
        <v>1</v>
      </c>
      <c r="E1090" s="4" t="s">
        <v>12</v>
      </c>
      <c r="F1090" s="4" t="s">
        <v>13</v>
      </c>
      <c r="G1090" s="14">
        <v>4920.3113204769625</v>
      </c>
      <c r="H1090" s="15">
        <v>4686.0107814066323</v>
      </c>
    </row>
    <row r="1091" spans="1:8" x14ac:dyDescent="0.25">
      <c r="A1091" s="16">
        <v>56</v>
      </c>
      <c r="B1091" s="4" t="s">
        <v>11</v>
      </c>
      <c r="C1091" s="4">
        <v>22.1</v>
      </c>
      <c r="D1091" s="4">
        <v>0</v>
      </c>
      <c r="E1091" s="4" t="s">
        <v>12</v>
      </c>
      <c r="F1091" s="4" t="s">
        <v>21</v>
      </c>
      <c r="G1091" s="14">
        <v>4554.9488794309855</v>
      </c>
      <c r="H1091" s="15">
        <v>4338.0465518390347</v>
      </c>
    </row>
    <row r="1092" spans="1:8" x14ac:dyDescent="0.25">
      <c r="A1092" s="16">
        <v>47</v>
      </c>
      <c r="B1092" s="4" t="s">
        <v>11</v>
      </c>
      <c r="C1092" s="4">
        <v>36.200000000000003</v>
      </c>
      <c r="D1092" s="4">
        <v>0</v>
      </c>
      <c r="E1092" s="4" t="s">
        <v>9</v>
      </c>
      <c r="F1092" s="4" t="s">
        <v>13</v>
      </c>
      <c r="G1092" s="14">
        <v>5152.1519845069624</v>
      </c>
      <c r="H1092" s="15">
        <v>4906.8114138161563</v>
      </c>
    </row>
    <row r="1093" spans="1:8" x14ac:dyDescent="0.25">
      <c r="A1093" s="16">
        <v>55</v>
      </c>
      <c r="B1093" s="4" t="s">
        <v>8</v>
      </c>
      <c r="C1093" s="4">
        <v>29.8</v>
      </c>
      <c r="D1093" s="4">
        <v>0</v>
      </c>
      <c r="E1093" s="4" t="s">
        <v>12</v>
      </c>
      <c r="F1093" s="4" t="s">
        <v>15</v>
      </c>
      <c r="G1093" s="14">
        <v>4731.6515357468252</v>
      </c>
      <c r="H1093" s="15">
        <v>4506.3347959493585</v>
      </c>
    </row>
    <row r="1094" spans="1:8" x14ac:dyDescent="0.25">
      <c r="A1094" s="16">
        <v>23</v>
      </c>
      <c r="B1094" s="4" t="s">
        <v>11</v>
      </c>
      <c r="C1094" s="4">
        <v>32.700000000000003</v>
      </c>
      <c r="D1094" s="4">
        <v>3</v>
      </c>
      <c r="E1094" s="4" t="s">
        <v>12</v>
      </c>
      <c r="F1094" s="4" t="s">
        <v>21</v>
      </c>
      <c r="G1094" s="14">
        <v>1076.9622344689758</v>
      </c>
      <c r="H1094" s="15">
        <v>1435.9496459586344</v>
      </c>
    </row>
    <row r="1095" spans="1:8" x14ac:dyDescent="0.25">
      <c r="A1095" s="16">
        <v>22</v>
      </c>
      <c r="B1095" s="4" t="s">
        <v>8</v>
      </c>
      <c r="C1095" s="4">
        <v>22.2</v>
      </c>
      <c r="D1095" s="4">
        <v>0</v>
      </c>
      <c r="E1095" s="4" t="s">
        <v>9</v>
      </c>
      <c r="F1095" s="4" t="s">
        <v>20</v>
      </c>
      <c r="G1095" s="14">
        <v>1972.8371144516482</v>
      </c>
      <c r="H1095" s="15">
        <v>2320.9848405313514</v>
      </c>
    </row>
    <row r="1096" spans="1:8" x14ac:dyDescent="0.25">
      <c r="A1096" s="16">
        <v>50</v>
      </c>
      <c r="B1096" s="4" t="s">
        <v>8</v>
      </c>
      <c r="C1096" s="4">
        <v>33.700000000000003</v>
      </c>
      <c r="D1096" s="4">
        <v>4</v>
      </c>
      <c r="E1096" s="4" t="s">
        <v>12</v>
      </c>
      <c r="F1096" s="4" t="s">
        <v>21</v>
      </c>
      <c r="G1096" s="14">
        <v>1841.1928397445038</v>
      </c>
      <c r="H1096" s="15">
        <v>2454.923786326005</v>
      </c>
    </row>
    <row r="1097" spans="1:8" x14ac:dyDescent="0.25">
      <c r="A1097" s="16">
        <v>18</v>
      </c>
      <c r="B1097" s="4" t="s">
        <v>8</v>
      </c>
      <c r="C1097" s="4">
        <v>31.4</v>
      </c>
      <c r="D1097" s="4">
        <v>4</v>
      </c>
      <c r="E1097" s="4" t="s">
        <v>12</v>
      </c>
      <c r="F1097" s="4" t="s">
        <v>15</v>
      </c>
      <c r="G1097" s="14">
        <v>1263.3851748121324</v>
      </c>
      <c r="H1097" s="15">
        <v>1684.5135664161764</v>
      </c>
    </row>
    <row r="1098" spans="1:8" x14ac:dyDescent="0.25">
      <c r="A1098" s="16">
        <v>51</v>
      </c>
      <c r="B1098" s="4" t="s">
        <v>8</v>
      </c>
      <c r="C1098" s="4">
        <v>35</v>
      </c>
      <c r="D1098" s="4">
        <v>2</v>
      </c>
      <c r="E1098" s="4" t="s">
        <v>9</v>
      </c>
      <c r="F1098" s="4" t="s">
        <v>15</v>
      </c>
      <c r="G1098" s="14">
        <v>2525.8093854614881</v>
      </c>
      <c r="H1098" s="15">
        <v>3367.7458472819844</v>
      </c>
    </row>
    <row r="1099" spans="1:8" x14ac:dyDescent="0.25">
      <c r="A1099" s="16">
        <v>22</v>
      </c>
      <c r="B1099" s="4" t="s">
        <v>11</v>
      </c>
      <c r="C1099" s="4">
        <v>25.6</v>
      </c>
      <c r="D1099" s="4">
        <v>0</v>
      </c>
      <c r="E1099" s="4" t="s">
        <v>12</v>
      </c>
      <c r="F1099" s="4" t="s">
        <v>13</v>
      </c>
      <c r="G1099" s="14">
        <v>2255.9898903267772</v>
      </c>
      <c r="H1099" s="15">
        <v>2654.1057533256212</v>
      </c>
    </row>
    <row r="1100" spans="1:8" x14ac:dyDescent="0.25">
      <c r="A1100" s="16">
        <v>52</v>
      </c>
      <c r="B1100" s="4" t="s">
        <v>8</v>
      </c>
      <c r="C1100" s="4">
        <v>30.9</v>
      </c>
      <c r="D1100" s="4">
        <v>0</v>
      </c>
      <c r="E1100" s="4" t="s">
        <v>12</v>
      </c>
      <c r="F1100" s="4" t="s">
        <v>15</v>
      </c>
      <c r="G1100" s="14">
        <v>5354.3032703448753</v>
      </c>
      <c r="H1100" s="15">
        <v>5099.3364479475003</v>
      </c>
    </row>
    <row r="1101" spans="1:8" x14ac:dyDescent="0.25">
      <c r="A1101" s="16">
        <v>25</v>
      </c>
      <c r="B1101" s="4" t="s">
        <v>8</v>
      </c>
      <c r="C1101" s="4">
        <v>21.5</v>
      </c>
      <c r="D1101" s="4">
        <v>1</v>
      </c>
      <c r="E1101" s="4" t="s">
        <v>12</v>
      </c>
      <c r="F1101" s="4" t="s">
        <v>13</v>
      </c>
      <c r="G1101" s="14">
        <v>2036.5188812111187</v>
      </c>
      <c r="H1101" s="15">
        <v>2395.9045661307287</v>
      </c>
    </row>
    <row r="1102" spans="1:8" x14ac:dyDescent="0.25">
      <c r="A1102" s="16">
        <v>33</v>
      </c>
      <c r="B1102" s="4" t="s">
        <v>8</v>
      </c>
      <c r="C1102" s="4">
        <v>19.100000000000001</v>
      </c>
      <c r="D1102" s="4">
        <v>2</v>
      </c>
      <c r="E1102" s="4" t="s">
        <v>9</v>
      </c>
      <c r="F1102" s="4" t="s">
        <v>15</v>
      </c>
      <c r="G1102" s="14">
        <v>2708.81778027357</v>
      </c>
      <c r="H1102" s="15">
        <v>3186.8444473806717</v>
      </c>
    </row>
    <row r="1103" spans="1:8" x14ac:dyDescent="0.25">
      <c r="A1103" s="16">
        <v>53</v>
      </c>
      <c r="B1103" s="4" t="s">
        <v>11</v>
      </c>
      <c r="C1103" s="4">
        <v>28.6</v>
      </c>
      <c r="D1103" s="4">
        <v>3</v>
      </c>
      <c r="E1103" s="4" t="s">
        <v>12</v>
      </c>
      <c r="F1103" s="4" t="s">
        <v>21</v>
      </c>
      <c r="G1103" s="14">
        <v>1207.4768178743359</v>
      </c>
      <c r="H1103" s="15">
        <v>1609.9690904991146</v>
      </c>
    </row>
    <row r="1104" spans="1:8" x14ac:dyDescent="0.25">
      <c r="A1104" s="16">
        <v>29</v>
      </c>
      <c r="B1104" s="4" t="s">
        <v>11</v>
      </c>
      <c r="C1104" s="4">
        <v>25.3</v>
      </c>
      <c r="D1104" s="4">
        <v>1</v>
      </c>
      <c r="E1104" s="4" t="s">
        <v>12</v>
      </c>
      <c r="F1104" s="4" t="s">
        <v>13</v>
      </c>
      <c r="G1104" s="14">
        <v>2219.2781174511592</v>
      </c>
      <c r="H1104" s="15">
        <v>2610.9154322954828</v>
      </c>
    </row>
    <row r="1105" spans="1:8" x14ac:dyDescent="0.25">
      <c r="A1105" s="16">
        <v>58</v>
      </c>
      <c r="B1105" s="4" t="s">
        <v>11</v>
      </c>
      <c r="C1105" s="4">
        <v>36.1</v>
      </c>
      <c r="D1105" s="4">
        <v>0</v>
      </c>
      <c r="E1105" s="4" t="s">
        <v>12</v>
      </c>
      <c r="F1105" s="4" t="s">
        <v>13</v>
      </c>
      <c r="G1105" s="14">
        <v>6294.8813658228619</v>
      </c>
      <c r="H1105" s="15">
        <v>5995.1251103074892</v>
      </c>
    </row>
    <row r="1106" spans="1:8" x14ac:dyDescent="0.25">
      <c r="A1106" s="16">
        <v>37</v>
      </c>
      <c r="B1106" s="4" t="s">
        <v>11</v>
      </c>
      <c r="C1106" s="4">
        <v>21.4</v>
      </c>
      <c r="D1106" s="4">
        <v>0</v>
      </c>
      <c r="E1106" s="4" t="s">
        <v>12</v>
      </c>
      <c r="F1106" s="4" t="s">
        <v>21</v>
      </c>
      <c r="G1106" s="14">
        <v>1713.0738334346652</v>
      </c>
      <c r="H1106" s="15">
        <v>2015.3809805113715</v>
      </c>
    </row>
    <row r="1107" spans="1:8" x14ac:dyDescent="0.25">
      <c r="A1107" s="16">
        <v>54</v>
      </c>
      <c r="B1107" s="4" t="s">
        <v>8</v>
      </c>
      <c r="C1107" s="4">
        <v>31.2</v>
      </c>
      <c r="D1107" s="4">
        <v>0</v>
      </c>
      <c r="E1107" s="4" t="s">
        <v>12</v>
      </c>
      <c r="F1107" s="4" t="s">
        <v>13</v>
      </c>
      <c r="G1107" s="14">
        <v>5261.4683353449973</v>
      </c>
      <c r="H1107" s="15">
        <v>5010.9222241380949</v>
      </c>
    </row>
    <row r="1108" spans="1:8" x14ac:dyDescent="0.25">
      <c r="A1108" s="16">
        <v>49</v>
      </c>
      <c r="B1108" s="4" t="s">
        <v>8</v>
      </c>
      <c r="C1108" s="4">
        <v>29.9</v>
      </c>
      <c r="D1108" s="4">
        <v>0</v>
      </c>
      <c r="E1108" s="4" t="s">
        <v>12</v>
      </c>
      <c r="F1108" s="4" t="s">
        <v>20</v>
      </c>
      <c r="G1108" s="14">
        <v>4107.1775954388577</v>
      </c>
      <c r="H1108" s="15">
        <v>3911.5977099417705</v>
      </c>
    </row>
    <row r="1109" spans="1:8" x14ac:dyDescent="0.25">
      <c r="A1109" s="16">
        <v>50</v>
      </c>
      <c r="B1109" s="4" t="s">
        <v>8</v>
      </c>
      <c r="C1109" s="4">
        <v>26.2</v>
      </c>
      <c r="D1109" s="4">
        <v>2</v>
      </c>
      <c r="E1109" s="4" t="s">
        <v>12</v>
      </c>
      <c r="F1109" s="4" t="s">
        <v>20</v>
      </c>
      <c r="G1109" s="14">
        <v>2488.1397920585041</v>
      </c>
      <c r="H1109" s="15">
        <v>3317.5197227446724</v>
      </c>
    </row>
    <row r="1110" spans="1:8" x14ac:dyDescent="0.25">
      <c r="A1110" s="16">
        <v>26</v>
      </c>
      <c r="B1110" s="4" t="s">
        <v>11</v>
      </c>
      <c r="C1110" s="4">
        <v>25.8</v>
      </c>
      <c r="D1110" s="4">
        <v>1</v>
      </c>
      <c r="E1110" s="4" t="s">
        <v>12</v>
      </c>
      <c r="F1110" s="4" t="s">
        <v>21</v>
      </c>
      <c r="G1110" s="14">
        <v>2045.3876378739849</v>
      </c>
      <c r="H1110" s="15">
        <v>2406.3383974988064</v>
      </c>
    </row>
    <row r="1111" spans="1:8" x14ac:dyDescent="0.25">
      <c r="A1111" s="16">
        <v>45</v>
      </c>
      <c r="B1111" s="4" t="s">
        <v>11</v>
      </c>
      <c r="C1111" s="4">
        <v>20.399999999999999</v>
      </c>
      <c r="D1111" s="4">
        <v>3</v>
      </c>
      <c r="E1111" s="4" t="s">
        <v>12</v>
      </c>
      <c r="F1111" s="4" t="s">
        <v>13</v>
      </c>
      <c r="G1111" s="14">
        <v>1938.199337943601</v>
      </c>
      <c r="H1111" s="15">
        <v>2584.2657839248013</v>
      </c>
    </row>
    <row r="1112" spans="1:8" x14ac:dyDescent="0.25">
      <c r="A1112" s="16">
        <v>54</v>
      </c>
      <c r="B1112" s="4" t="s">
        <v>8</v>
      </c>
      <c r="C1112" s="4">
        <v>32.299999999999997</v>
      </c>
      <c r="D1112" s="4">
        <v>1</v>
      </c>
      <c r="E1112" s="4" t="s">
        <v>12</v>
      </c>
      <c r="F1112" s="4" t="s">
        <v>15</v>
      </c>
      <c r="G1112" s="14">
        <v>5065.7206836023925</v>
      </c>
      <c r="H1112" s="15">
        <v>4824.495889145137</v>
      </c>
    </row>
    <row r="1113" spans="1:8" x14ac:dyDescent="0.25">
      <c r="A1113" s="16">
        <v>38</v>
      </c>
      <c r="B1113" s="4" t="s">
        <v>11</v>
      </c>
      <c r="C1113" s="4">
        <v>38.4</v>
      </c>
      <c r="D1113" s="4">
        <v>3</v>
      </c>
      <c r="E1113" s="4" t="s">
        <v>9</v>
      </c>
      <c r="F1113" s="4" t="s">
        <v>13</v>
      </c>
      <c r="G1113" s="14">
        <v>2510.7586824907708</v>
      </c>
      <c r="H1113" s="15">
        <v>3347.6782433210278</v>
      </c>
    </row>
    <row r="1114" spans="1:8" x14ac:dyDescent="0.25">
      <c r="A1114" s="16">
        <v>48</v>
      </c>
      <c r="B1114" s="4" t="s">
        <v>8</v>
      </c>
      <c r="C1114" s="4">
        <v>25.9</v>
      </c>
      <c r="D1114" s="4">
        <v>3</v>
      </c>
      <c r="E1114" s="4" t="s">
        <v>9</v>
      </c>
      <c r="F1114" s="4" t="s">
        <v>13</v>
      </c>
      <c r="G1114" s="14">
        <v>1261.8929327874898</v>
      </c>
      <c r="H1114" s="15">
        <v>1682.5239103833198</v>
      </c>
    </row>
    <row r="1115" spans="1:8" x14ac:dyDescent="0.25">
      <c r="A1115" s="16">
        <v>28</v>
      </c>
      <c r="B1115" s="4" t="s">
        <v>8</v>
      </c>
      <c r="C1115" s="4">
        <v>26.3</v>
      </c>
      <c r="D1115" s="4">
        <v>3</v>
      </c>
      <c r="E1115" s="4" t="s">
        <v>12</v>
      </c>
      <c r="F1115" s="4" t="s">
        <v>20</v>
      </c>
      <c r="G1115" s="14">
        <v>1384.4110165028533</v>
      </c>
      <c r="H1115" s="15">
        <v>1845.8813553371378</v>
      </c>
    </row>
    <row r="1116" spans="1:8" x14ac:dyDescent="0.25">
      <c r="A1116" s="16">
        <v>23</v>
      </c>
      <c r="B1116" s="4" t="s">
        <v>11</v>
      </c>
      <c r="C1116" s="4">
        <v>24.2</v>
      </c>
      <c r="D1116" s="4">
        <v>0</v>
      </c>
      <c r="E1116" s="4" t="s">
        <v>12</v>
      </c>
      <c r="F1116" s="4" t="s">
        <v>15</v>
      </c>
      <c r="G1116" s="14">
        <v>2158.0564867335152</v>
      </c>
      <c r="H1116" s="15">
        <v>2538.8899843923718</v>
      </c>
    </row>
    <row r="1117" spans="1:8" x14ac:dyDescent="0.25">
      <c r="A1117" s="16">
        <v>55</v>
      </c>
      <c r="B1117" s="4" t="s">
        <v>11</v>
      </c>
      <c r="C1117" s="4">
        <v>32.700000000000003</v>
      </c>
      <c r="D1117" s="4">
        <v>1</v>
      </c>
      <c r="E1117" s="4" t="s">
        <v>12</v>
      </c>
      <c r="F1117" s="4" t="s">
        <v>13</v>
      </c>
      <c r="G1117" s="14">
        <v>4656.6803582857274</v>
      </c>
      <c r="H1117" s="15">
        <v>4434.9336745578366</v>
      </c>
    </row>
    <row r="1118" spans="1:8" x14ac:dyDescent="0.25">
      <c r="A1118" s="16">
        <v>41</v>
      </c>
      <c r="B1118" s="4" t="s">
        <v>11</v>
      </c>
      <c r="C1118" s="4">
        <v>29.6</v>
      </c>
      <c r="D1118" s="4">
        <v>5</v>
      </c>
      <c r="E1118" s="4" t="s">
        <v>12</v>
      </c>
      <c r="F1118" s="4" t="s">
        <v>15</v>
      </c>
      <c r="G1118" s="14">
        <v>2114.5125599579669</v>
      </c>
      <c r="H1118" s="15">
        <v>2819.3500799439557</v>
      </c>
    </row>
    <row r="1119" spans="1:8" x14ac:dyDescent="0.25">
      <c r="A1119" s="16">
        <v>25</v>
      </c>
      <c r="B1119" s="4" t="s">
        <v>11</v>
      </c>
      <c r="C1119" s="4">
        <v>33.299999999999997</v>
      </c>
      <c r="D1119" s="4">
        <v>2</v>
      </c>
      <c r="E1119" s="4" t="s">
        <v>9</v>
      </c>
      <c r="F1119" s="4" t="s">
        <v>13</v>
      </c>
      <c r="G1119" s="14">
        <v>1069.4044552872585</v>
      </c>
      <c r="H1119" s="15">
        <v>1425.872607049678</v>
      </c>
    </row>
    <row r="1120" spans="1:8" x14ac:dyDescent="0.25">
      <c r="A1120" s="16">
        <v>33</v>
      </c>
      <c r="B1120" s="4" t="s">
        <v>11</v>
      </c>
      <c r="C1120" s="4">
        <v>24.1</v>
      </c>
      <c r="D1120" s="4">
        <v>1</v>
      </c>
      <c r="E1120" s="4" t="s">
        <v>9</v>
      </c>
      <c r="F1120" s="4" t="s">
        <v>13</v>
      </c>
      <c r="G1120" s="14">
        <v>1939.6676792807723</v>
      </c>
      <c r="H1120" s="15">
        <v>2281.9619756244388</v>
      </c>
    </row>
    <row r="1121" spans="1:8" x14ac:dyDescent="0.25">
      <c r="A1121" s="16">
        <v>30</v>
      </c>
      <c r="B1121" s="4" t="s">
        <v>8</v>
      </c>
      <c r="C1121" s="4">
        <v>20</v>
      </c>
      <c r="D1121" s="4">
        <v>3</v>
      </c>
      <c r="E1121" s="4" t="s">
        <v>12</v>
      </c>
      <c r="F1121" s="4" t="s">
        <v>20</v>
      </c>
      <c r="G1121" s="14">
        <v>1392.1706165699159</v>
      </c>
      <c r="H1121" s="15">
        <v>1856.2274887598878</v>
      </c>
    </row>
    <row r="1122" spans="1:8" x14ac:dyDescent="0.25">
      <c r="A1122" s="16">
        <v>23</v>
      </c>
      <c r="B1122" s="4" t="s">
        <v>8</v>
      </c>
      <c r="C1122" s="4">
        <v>21</v>
      </c>
      <c r="D1122" s="4">
        <v>0</v>
      </c>
      <c r="E1122" s="4" t="s">
        <v>9</v>
      </c>
      <c r="F1122" s="4" t="s">
        <v>21</v>
      </c>
      <c r="G1122" s="14">
        <v>1813.54341974317</v>
      </c>
      <c r="H1122" s="15">
        <v>2133.5804938154952</v>
      </c>
    </row>
    <row r="1123" spans="1:8" x14ac:dyDescent="0.25">
      <c r="A1123" s="16">
        <v>46</v>
      </c>
      <c r="B1123" s="4" t="s">
        <v>11</v>
      </c>
      <c r="C1123" s="4">
        <v>38.200000000000003</v>
      </c>
      <c r="D1123" s="4">
        <v>2</v>
      </c>
      <c r="E1123" s="4" t="s">
        <v>12</v>
      </c>
      <c r="F1123" s="4" t="s">
        <v>13</v>
      </c>
      <c r="G1123" s="14">
        <v>1632.5003968795218</v>
      </c>
      <c r="H1123" s="15">
        <v>2176.6671958393622</v>
      </c>
    </row>
    <row r="1124" spans="1:8" x14ac:dyDescent="0.25">
      <c r="A1124" s="16">
        <v>53</v>
      </c>
      <c r="B1124" s="4" t="s">
        <v>8</v>
      </c>
      <c r="C1124" s="4">
        <v>36.9</v>
      </c>
      <c r="D1124" s="4">
        <v>3</v>
      </c>
      <c r="E1124" s="4" t="s">
        <v>9</v>
      </c>
      <c r="F1124" s="4" t="s">
        <v>20</v>
      </c>
      <c r="G1124" s="14">
        <v>1748.8271868605361</v>
      </c>
      <c r="H1124" s="15">
        <v>2331.7695824807147</v>
      </c>
    </row>
    <row r="1125" spans="1:8" x14ac:dyDescent="0.25">
      <c r="A1125" s="16">
        <v>27</v>
      </c>
      <c r="B1125" s="4" t="s">
        <v>8</v>
      </c>
      <c r="C1125" s="4">
        <v>23.4</v>
      </c>
      <c r="D1125" s="4">
        <v>1</v>
      </c>
      <c r="E1125" s="4" t="s">
        <v>12</v>
      </c>
      <c r="F1125" s="4" t="s">
        <v>15</v>
      </c>
      <c r="G1125" s="14">
        <v>1764.0052041706501</v>
      </c>
      <c r="H1125" s="15">
        <v>2075.300240200766</v>
      </c>
    </row>
    <row r="1126" spans="1:8" x14ac:dyDescent="0.25">
      <c r="A1126" s="16">
        <v>23</v>
      </c>
      <c r="B1126" s="4" t="s">
        <v>8</v>
      </c>
      <c r="C1126" s="4">
        <v>22</v>
      </c>
      <c r="D1126" s="4">
        <v>1</v>
      </c>
      <c r="E1126" s="4" t="s">
        <v>9</v>
      </c>
      <c r="F1126" s="4" t="s">
        <v>15</v>
      </c>
      <c r="G1126" s="14">
        <v>1379.4881747900549</v>
      </c>
      <c r="H1126" s="15">
        <v>1622.9272644588889</v>
      </c>
    </row>
    <row r="1127" spans="1:8" x14ac:dyDescent="0.25">
      <c r="A1127" s="16">
        <v>63</v>
      </c>
      <c r="B1127" s="4" t="s">
        <v>8</v>
      </c>
      <c r="C1127" s="4">
        <v>25.1</v>
      </c>
      <c r="D1127" s="4">
        <v>0</v>
      </c>
      <c r="E1127" s="4" t="s">
        <v>12</v>
      </c>
      <c r="F1127" s="4" t="s">
        <v>20</v>
      </c>
      <c r="G1127" s="14">
        <v>4121.9155823878555</v>
      </c>
      <c r="H1127" s="15">
        <v>3925.6338879884361</v>
      </c>
    </row>
    <row r="1128" spans="1:8" x14ac:dyDescent="0.25">
      <c r="A1128" s="16">
        <v>55</v>
      </c>
      <c r="B1128" s="4" t="s">
        <v>11</v>
      </c>
      <c r="C1128" s="4">
        <v>29.9</v>
      </c>
      <c r="D1128" s="4">
        <v>0</v>
      </c>
      <c r="E1128" s="4" t="s">
        <v>12</v>
      </c>
      <c r="F1128" s="4" t="s">
        <v>21</v>
      </c>
      <c r="G1128" s="14">
        <v>4234.8832224391663</v>
      </c>
      <c r="H1128" s="15">
        <v>4033.2221166087315</v>
      </c>
    </row>
    <row r="1129" spans="1:8" x14ac:dyDescent="0.25">
      <c r="A1129" s="16">
        <v>35</v>
      </c>
      <c r="B1129" s="4" t="s">
        <v>8</v>
      </c>
      <c r="C1129" s="4">
        <v>35.9</v>
      </c>
      <c r="D1129" s="4">
        <v>2</v>
      </c>
      <c r="E1129" s="4" t="s">
        <v>12</v>
      </c>
      <c r="F1129" s="4" t="s">
        <v>13</v>
      </c>
      <c r="G1129" s="14">
        <v>1229.8167626607212</v>
      </c>
      <c r="H1129" s="15">
        <v>1639.7556835476282</v>
      </c>
    </row>
    <row r="1130" spans="1:8" x14ac:dyDescent="0.25">
      <c r="A1130" s="16">
        <v>34</v>
      </c>
      <c r="B1130" s="4" t="s">
        <v>11</v>
      </c>
      <c r="C1130" s="4">
        <v>25</v>
      </c>
      <c r="D1130" s="4">
        <v>1</v>
      </c>
      <c r="E1130" s="4" t="s">
        <v>12</v>
      </c>
      <c r="F1130" s="4" t="s">
        <v>21</v>
      </c>
      <c r="G1130" s="14">
        <v>2329.0537506827977</v>
      </c>
      <c r="H1130" s="15">
        <v>2740.0632360974096</v>
      </c>
    </row>
    <row r="1131" spans="1:8" x14ac:dyDescent="0.25">
      <c r="A1131" s="16">
        <v>19</v>
      </c>
      <c r="B1131" s="4" t="s">
        <v>8</v>
      </c>
      <c r="C1131" s="4">
        <v>21.7</v>
      </c>
      <c r="D1131" s="4">
        <v>0</v>
      </c>
      <c r="E1131" s="4" t="s">
        <v>12</v>
      </c>
      <c r="F1131" s="4" t="s">
        <v>21</v>
      </c>
      <c r="G1131" s="14">
        <v>1708.5260865149435</v>
      </c>
      <c r="H1131" s="15">
        <v>2010.0306900175813</v>
      </c>
    </row>
    <row r="1132" spans="1:8" x14ac:dyDescent="0.25">
      <c r="A1132" s="16">
        <v>39</v>
      </c>
      <c r="B1132" s="4" t="s">
        <v>8</v>
      </c>
      <c r="C1132" s="4">
        <v>23.9</v>
      </c>
      <c r="D1132" s="4">
        <v>5</v>
      </c>
      <c r="E1132" s="4" t="s">
        <v>12</v>
      </c>
      <c r="F1132" s="4" t="s">
        <v>13</v>
      </c>
      <c r="G1132" s="14">
        <v>2747.1692663894464</v>
      </c>
      <c r="H1132" s="15">
        <v>3662.8923551859289</v>
      </c>
    </row>
    <row r="1133" spans="1:8" x14ac:dyDescent="0.25">
      <c r="A1133" s="16">
        <v>27</v>
      </c>
      <c r="B1133" s="4" t="s">
        <v>11</v>
      </c>
      <c r="C1133" s="4">
        <v>45.9</v>
      </c>
      <c r="D1133" s="4">
        <v>2</v>
      </c>
      <c r="E1133" s="4" t="s">
        <v>12</v>
      </c>
      <c r="F1133" s="4" t="s">
        <v>21</v>
      </c>
      <c r="G1133" s="14">
        <v>2565.9316788557485</v>
      </c>
      <c r="H1133" s="15">
        <v>3421.2422384743313</v>
      </c>
    </row>
    <row r="1134" spans="1:8" x14ac:dyDescent="0.25">
      <c r="A1134" s="16">
        <v>57</v>
      </c>
      <c r="B1134" s="4" t="s">
        <v>11</v>
      </c>
      <c r="C1134" s="4">
        <v>40.299999999999997</v>
      </c>
      <c r="D1134" s="4">
        <v>0</v>
      </c>
      <c r="E1134" s="4" t="s">
        <v>12</v>
      </c>
      <c r="F1134" s="4" t="s">
        <v>15</v>
      </c>
      <c r="G1134" s="14">
        <v>5120.5655945150756</v>
      </c>
      <c r="H1134" s="15">
        <v>4876.7291376334069</v>
      </c>
    </row>
    <row r="1135" spans="1:8" x14ac:dyDescent="0.25">
      <c r="A1135" s="16">
        <v>52</v>
      </c>
      <c r="B1135" s="4" t="s">
        <v>8</v>
      </c>
      <c r="C1135" s="4">
        <v>18.3</v>
      </c>
      <c r="D1135" s="4">
        <v>0</v>
      </c>
      <c r="E1135" s="4" t="s">
        <v>12</v>
      </c>
      <c r="F1135" s="4" t="s">
        <v>20</v>
      </c>
      <c r="G1135" s="14">
        <v>1535.7138035250678</v>
      </c>
      <c r="H1135" s="15">
        <v>1806.7221217941981</v>
      </c>
    </row>
    <row r="1136" spans="1:8" x14ac:dyDescent="0.25">
      <c r="A1136" s="16">
        <v>28</v>
      </c>
      <c r="B1136" s="4" t="s">
        <v>11</v>
      </c>
      <c r="C1136" s="4">
        <v>21.4</v>
      </c>
      <c r="D1136" s="4">
        <v>0</v>
      </c>
      <c r="E1136" s="4" t="s">
        <v>12</v>
      </c>
      <c r="F1136" s="4" t="s">
        <v>20</v>
      </c>
      <c r="G1136" s="14">
        <v>1767.0139424303238</v>
      </c>
      <c r="H1136" s="15">
        <v>2078.8399322709702</v>
      </c>
    </row>
    <row r="1137" spans="1:8" x14ac:dyDescent="0.25">
      <c r="A1137" s="16">
        <v>50</v>
      </c>
      <c r="B1137" s="4" t="s">
        <v>8</v>
      </c>
      <c r="C1137" s="4">
        <v>28.1</v>
      </c>
      <c r="D1137" s="4">
        <v>3</v>
      </c>
      <c r="E1137" s="4" t="s">
        <v>12</v>
      </c>
      <c r="F1137" s="4" t="s">
        <v>20</v>
      </c>
      <c r="G1137" s="14">
        <v>2149.4353178833599</v>
      </c>
      <c r="H1137" s="15">
        <v>2865.9137571778133</v>
      </c>
    </row>
    <row r="1138" spans="1:8" x14ac:dyDescent="0.25">
      <c r="A1138" s="16">
        <v>44</v>
      </c>
      <c r="B1138" s="4" t="s">
        <v>8</v>
      </c>
      <c r="C1138" s="4">
        <v>25</v>
      </c>
      <c r="D1138" s="4">
        <v>1</v>
      </c>
      <c r="E1138" s="4" t="s">
        <v>12</v>
      </c>
      <c r="F1138" s="4" t="s">
        <v>21</v>
      </c>
      <c r="G1138" s="14">
        <v>2845.831537329037</v>
      </c>
      <c r="H1138" s="15">
        <v>3348.0371027400442</v>
      </c>
    </row>
    <row r="1139" spans="1:8" x14ac:dyDescent="0.25">
      <c r="A1139" s="16">
        <v>26</v>
      </c>
      <c r="B1139" s="4" t="s">
        <v>8</v>
      </c>
      <c r="C1139" s="4">
        <v>22.7</v>
      </c>
      <c r="D1139" s="4">
        <v>0</v>
      </c>
      <c r="E1139" s="4" t="s">
        <v>12</v>
      </c>
      <c r="F1139" s="4" t="s">
        <v>20</v>
      </c>
      <c r="G1139" s="14">
        <v>1850.9318882678276</v>
      </c>
      <c r="H1139" s="15">
        <v>2177.5669273739154</v>
      </c>
    </row>
    <row r="1140" spans="1:8" x14ac:dyDescent="0.25">
      <c r="A1140" s="16">
        <v>33</v>
      </c>
      <c r="B1140" s="4" t="s">
        <v>11</v>
      </c>
      <c r="C1140" s="4">
        <v>23</v>
      </c>
      <c r="D1140" s="4">
        <v>0</v>
      </c>
      <c r="E1140" s="4" t="s">
        <v>12</v>
      </c>
      <c r="F1140" s="4" t="s">
        <v>13</v>
      </c>
      <c r="G1140" s="14">
        <v>1481.6712773234626</v>
      </c>
      <c r="H1140" s="15">
        <v>1743.1426792040743</v>
      </c>
    </row>
    <row r="1141" spans="1:8" x14ac:dyDescent="0.25">
      <c r="A1141" s="16">
        <v>19</v>
      </c>
      <c r="B1141" s="4" t="s">
        <v>8</v>
      </c>
      <c r="C1141" s="4">
        <v>24</v>
      </c>
      <c r="D1141" s="4">
        <v>0</v>
      </c>
      <c r="E1141" s="4" t="s">
        <v>9</v>
      </c>
      <c r="F1141" s="4" t="s">
        <v>20</v>
      </c>
      <c r="G1141" s="14">
        <v>1806.5192571123414</v>
      </c>
      <c r="H1141" s="15">
        <v>2125.3167730733435</v>
      </c>
    </row>
    <row r="1142" spans="1:8" x14ac:dyDescent="0.25">
      <c r="A1142" s="16">
        <v>50</v>
      </c>
      <c r="B1142" s="4" t="s">
        <v>11</v>
      </c>
      <c r="C1142" s="4">
        <v>37.1</v>
      </c>
      <c r="D1142" s="4">
        <v>1</v>
      </c>
      <c r="E1142" s="4" t="s">
        <v>12</v>
      </c>
      <c r="F1142" s="4" t="s">
        <v>13</v>
      </c>
      <c r="G1142" s="14">
        <v>5185.7366379293308</v>
      </c>
      <c r="H1142" s="15">
        <v>4938.7967980279354</v>
      </c>
    </row>
    <row r="1143" spans="1:8" x14ac:dyDescent="0.25">
      <c r="A1143" s="16">
        <v>41</v>
      </c>
      <c r="B1143" s="4" t="s">
        <v>8</v>
      </c>
      <c r="C1143" s="4">
        <v>32.6</v>
      </c>
      <c r="D1143" s="4">
        <v>3</v>
      </c>
      <c r="E1143" s="4" t="s">
        <v>12</v>
      </c>
      <c r="F1143" s="4" t="s">
        <v>21</v>
      </c>
      <c r="G1143" s="14">
        <v>2663.7353035930141</v>
      </c>
      <c r="H1143" s="15">
        <v>3551.647071457352</v>
      </c>
    </row>
    <row r="1144" spans="1:8" x14ac:dyDescent="0.25">
      <c r="A1144" s="16">
        <v>52</v>
      </c>
      <c r="B1144" s="4" t="s">
        <v>8</v>
      </c>
      <c r="C1144" s="4">
        <v>24.9</v>
      </c>
      <c r="D1144" s="4">
        <v>0</v>
      </c>
      <c r="E1144" s="4" t="s">
        <v>12</v>
      </c>
      <c r="F1144" s="4" t="s">
        <v>13</v>
      </c>
      <c r="G1144" s="14">
        <v>4078.6933006476384</v>
      </c>
      <c r="H1144" s="15">
        <v>3884.4698101406098</v>
      </c>
    </row>
    <row r="1145" spans="1:8" x14ac:dyDescent="0.25">
      <c r="A1145" s="16">
        <v>39</v>
      </c>
      <c r="B1145" s="4" t="s">
        <v>11</v>
      </c>
      <c r="C1145" s="4">
        <v>32.299999999999997</v>
      </c>
      <c r="D1145" s="4">
        <v>2</v>
      </c>
      <c r="E1145" s="4" t="s">
        <v>12</v>
      </c>
      <c r="F1145" s="4" t="s">
        <v>13</v>
      </c>
      <c r="G1145" s="14">
        <v>2905.3350063889629</v>
      </c>
      <c r="H1145" s="15">
        <v>3873.7800085186173</v>
      </c>
    </row>
    <row r="1146" spans="1:8" x14ac:dyDescent="0.25">
      <c r="A1146" s="16">
        <v>50</v>
      </c>
      <c r="B1146" s="4" t="s">
        <v>11</v>
      </c>
      <c r="C1146" s="4">
        <v>32.299999999999997</v>
      </c>
      <c r="D1146" s="4">
        <v>2</v>
      </c>
      <c r="E1146" s="4" t="s">
        <v>12</v>
      </c>
      <c r="F1146" s="4" t="s">
        <v>21</v>
      </c>
      <c r="G1146" s="14">
        <v>1819.2652398905657</v>
      </c>
      <c r="H1146" s="15">
        <v>2425.6869865207541</v>
      </c>
    </row>
    <row r="1147" spans="1:8" x14ac:dyDescent="0.25">
      <c r="A1147" s="16">
        <v>52</v>
      </c>
      <c r="B1147" s="4" t="s">
        <v>11</v>
      </c>
      <c r="C1147" s="4">
        <v>32.799999999999997</v>
      </c>
      <c r="D1147" s="4">
        <v>3</v>
      </c>
      <c r="E1147" s="4" t="s">
        <v>12</v>
      </c>
      <c r="F1147" s="4" t="s">
        <v>20</v>
      </c>
      <c r="G1147" s="14">
        <v>2364.427261600662</v>
      </c>
      <c r="H1147" s="15">
        <v>3152.5696821342158</v>
      </c>
    </row>
    <row r="1148" spans="1:8" x14ac:dyDescent="0.25">
      <c r="A1148" s="16">
        <v>60</v>
      </c>
      <c r="B1148" s="4" t="s">
        <v>11</v>
      </c>
      <c r="C1148" s="4">
        <v>32.799999999999997</v>
      </c>
      <c r="D1148" s="4">
        <v>0</v>
      </c>
      <c r="E1148" s="4" t="s">
        <v>9</v>
      </c>
      <c r="F1148" s="4" t="s">
        <v>21</v>
      </c>
      <c r="G1148" s="14">
        <v>4660.810285309828</v>
      </c>
      <c r="H1148" s="15">
        <v>4438.8669383903134</v>
      </c>
    </row>
    <row r="1149" spans="1:8" x14ac:dyDescent="0.25">
      <c r="A1149" s="16">
        <v>20</v>
      </c>
      <c r="B1149" s="4" t="s">
        <v>8</v>
      </c>
      <c r="C1149" s="4">
        <v>24.8</v>
      </c>
      <c r="D1149" s="4">
        <v>0</v>
      </c>
      <c r="E1149" s="4" t="s">
        <v>12</v>
      </c>
      <c r="F1149" s="4" t="s">
        <v>20</v>
      </c>
      <c r="G1149" s="14">
        <v>1614.4057622945957</v>
      </c>
      <c r="H1149" s="15">
        <v>1899.3008968171721</v>
      </c>
    </row>
    <row r="1150" spans="1:8" x14ac:dyDescent="0.25">
      <c r="A1150" s="16">
        <v>55</v>
      </c>
      <c r="B1150" s="4" t="s">
        <v>11</v>
      </c>
      <c r="C1150" s="4">
        <v>21.5</v>
      </c>
      <c r="D1150" s="4">
        <v>1</v>
      </c>
      <c r="E1150" s="4" t="s">
        <v>12</v>
      </c>
      <c r="F1150" s="4" t="s">
        <v>21</v>
      </c>
      <c r="G1150" s="14">
        <v>5018.0355710217291</v>
      </c>
      <c r="H1150" s="15">
        <v>4779.0814962111717</v>
      </c>
    </row>
    <row r="1151" spans="1:8" x14ac:dyDescent="0.25">
      <c r="A1151" s="16">
        <v>42</v>
      </c>
      <c r="B1151" s="4" t="s">
        <v>11</v>
      </c>
      <c r="C1151" s="4">
        <v>34.1</v>
      </c>
      <c r="D1151" s="4">
        <v>0</v>
      </c>
      <c r="E1151" s="4" t="s">
        <v>12</v>
      </c>
      <c r="F1151" s="4" t="s">
        <v>21</v>
      </c>
      <c r="G1151" s="14">
        <v>5142.5321327294587</v>
      </c>
      <c r="H1151" s="15">
        <v>4897.6496502185337</v>
      </c>
    </row>
    <row r="1152" spans="1:8" x14ac:dyDescent="0.25">
      <c r="A1152" s="16">
        <v>18</v>
      </c>
      <c r="B1152" s="4" t="s">
        <v>8</v>
      </c>
      <c r="C1152" s="4">
        <v>20.7</v>
      </c>
      <c r="D1152" s="4">
        <v>0</v>
      </c>
      <c r="E1152" s="4" t="s">
        <v>12</v>
      </c>
      <c r="F1152" s="4" t="s">
        <v>15</v>
      </c>
      <c r="G1152" s="14">
        <v>2352.1177029313062</v>
      </c>
      <c r="H1152" s="15">
        <v>2767.1972975662438</v>
      </c>
    </row>
    <row r="1153" spans="1:8" x14ac:dyDescent="0.25">
      <c r="A1153" s="16">
        <v>58</v>
      </c>
      <c r="B1153" s="4" t="s">
        <v>8</v>
      </c>
      <c r="C1153" s="4">
        <v>36.5</v>
      </c>
      <c r="D1153" s="4">
        <v>0</v>
      </c>
      <c r="E1153" s="4" t="s">
        <v>12</v>
      </c>
      <c r="F1153" s="4" t="s">
        <v>20</v>
      </c>
      <c r="G1153" s="14">
        <v>4979.4703701468825</v>
      </c>
      <c r="H1153" s="15">
        <v>4742.3527334732235</v>
      </c>
    </row>
    <row r="1154" spans="1:8" x14ac:dyDescent="0.25">
      <c r="A1154" s="16">
        <v>43</v>
      </c>
      <c r="B1154" s="4" t="s">
        <v>8</v>
      </c>
      <c r="C1154" s="4">
        <v>32.6</v>
      </c>
      <c r="D1154" s="4">
        <v>3</v>
      </c>
      <c r="E1154" s="4" t="s">
        <v>9</v>
      </c>
      <c r="F1154" s="4" t="s">
        <v>13</v>
      </c>
      <c r="G1154" s="14">
        <v>1228.7459242733712</v>
      </c>
      <c r="H1154" s="15">
        <v>1638.3278990311617</v>
      </c>
    </row>
    <row r="1155" spans="1:8" x14ac:dyDescent="0.25">
      <c r="A1155" s="16">
        <v>35</v>
      </c>
      <c r="B1155" s="4" t="s">
        <v>8</v>
      </c>
      <c r="C1155" s="4">
        <v>22.7</v>
      </c>
      <c r="D1155" s="4">
        <v>1</v>
      </c>
      <c r="E1155" s="4" t="s">
        <v>12</v>
      </c>
      <c r="F1155" s="4" t="s">
        <v>20</v>
      </c>
      <c r="G1155" s="14">
        <v>2175.7755714728737</v>
      </c>
      <c r="H1155" s="15">
        <v>2559.7359664386754</v>
      </c>
    </row>
    <row r="1156" spans="1:8" x14ac:dyDescent="0.25">
      <c r="A1156" s="16">
        <v>48</v>
      </c>
      <c r="B1156" s="4" t="s">
        <v>8</v>
      </c>
      <c r="C1156" s="4">
        <v>27.9</v>
      </c>
      <c r="D1156" s="4">
        <v>4</v>
      </c>
      <c r="E1156" s="4" t="s">
        <v>12</v>
      </c>
      <c r="F1156" s="4" t="s">
        <v>20</v>
      </c>
      <c r="G1156" s="14">
        <v>1290.7719709121366</v>
      </c>
      <c r="H1156" s="15">
        <v>1721.0292945495153</v>
      </c>
    </row>
    <row r="1157" spans="1:8" x14ac:dyDescent="0.25">
      <c r="A1157" s="16">
        <v>36</v>
      </c>
      <c r="B1157" s="4" t="s">
        <v>8</v>
      </c>
      <c r="C1157" s="4">
        <v>22.1</v>
      </c>
      <c r="D1157" s="4">
        <v>3</v>
      </c>
      <c r="E1157" s="4" t="s">
        <v>12</v>
      </c>
      <c r="F1157" s="4" t="s">
        <v>15</v>
      </c>
      <c r="G1157" s="14">
        <v>2063.0008245412569</v>
      </c>
      <c r="H1157" s="15">
        <v>2750.667766055009</v>
      </c>
    </row>
    <row r="1158" spans="1:8" x14ac:dyDescent="0.25">
      <c r="A1158" s="16">
        <v>19</v>
      </c>
      <c r="B1158" s="4" t="s">
        <v>11</v>
      </c>
      <c r="C1158" s="4">
        <v>21.5</v>
      </c>
      <c r="D1158" s="4">
        <v>0</v>
      </c>
      <c r="E1158" s="4" t="s">
        <v>9</v>
      </c>
      <c r="F1158" s="4" t="s">
        <v>13</v>
      </c>
      <c r="G1158" s="14">
        <v>1487.8344806226792</v>
      </c>
      <c r="H1158" s="15">
        <v>1750.3935066149174</v>
      </c>
    </row>
    <row r="1159" spans="1:8" x14ac:dyDescent="0.25">
      <c r="A1159" s="16">
        <v>23</v>
      </c>
      <c r="B1159" s="4" t="s">
        <v>8</v>
      </c>
      <c r="C1159" s="4">
        <v>24.8</v>
      </c>
      <c r="D1159" s="4">
        <v>2</v>
      </c>
      <c r="E1159" s="4" t="s">
        <v>12</v>
      </c>
      <c r="F1159" s="4" t="s">
        <v>20</v>
      </c>
      <c r="G1159" s="14">
        <v>1560.4851024012869</v>
      </c>
      <c r="H1159" s="15">
        <v>1835.864826354456</v>
      </c>
    </row>
    <row r="1160" spans="1:8" x14ac:dyDescent="0.25">
      <c r="A1160" s="16">
        <v>20</v>
      </c>
      <c r="B1160" s="4" t="s">
        <v>8</v>
      </c>
      <c r="C1160" s="4">
        <v>21.2</v>
      </c>
      <c r="D1160" s="4">
        <v>0</v>
      </c>
      <c r="E1160" s="4" t="s">
        <v>12</v>
      </c>
      <c r="F1160" s="4" t="s">
        <v>15</v>
      </c>
      <c r="G1160" s="14">
        <v>1562.3453275901929</v>
      </c>
      <c r="H1160" s="15">
        <v>1838.0533265766985</v>
      </c>
    </row>
    <row r="1161" spans="1:8" x14ac:dyDescent="0.25">
      <c r="A1161" s="16">
        <v>32</v>
      </c>
      <c r="B1161" s="4" t="s">
        <v>8</v>
      </c>
      <c r="C1161" s="4">
        <v>20.6</v>
      </c>
      <c r="D1161" s="4">
        <v>0</v>
      </c>
      <c r="E1161" s="4" t="s">
        <v>12</v>
      </c>
      <c r="F1161" s="4" t="s">
        <v>21</v>
      </c>
      <c r="G1161" s="14">
        <v>2055.7311295093596</v>
      </c>
      <c r="H1161" s="15">
        <v>2418.5072111874829</v>
      </c>
    </row>
    <row r="1162" spans="1:8" x14ac:dyDescent="0.25">
      <c r="A1162" s="16">
        <v>43</v>
      </c>
      <c r="B1162" s="4" t="s">
        <v>8</v>
      </c>
      <c r="C1162" s="4">
        <v>34.6</v>
      </c>
      <c r="D1162" s="4">
        <v>1</v>
      </c>
      <c r="E1162" s="4" t="s">
        <v>12</v>
      </c>
      <c r="F1162" s="4" t="s">
        <v>20</v>
      </c>
      <c r="G1162" s="14">
        <v>4881.3052814107323</v>
      </c>
      <c r="H1162" s="15">
        <v>4648.8621727721275</v>
      </c>
    </row>
    <row r="1163" spans="1:8" x14ac:dyDescent="0.25">
      <c r="A1163" s="16">
        <v>34</v>
      </c>
      <c r="B1163" s="4" t="s">
        <v>11</v>
      </c>
      <c r="C1163" s="4">
        <v>42.1</v>
      </c>
      <c r="D1163" s="4">
        <v>2</v>
      </c>
      <c r="E1163" s="4" t="s">
        <v>12</v>
      </c>
      <c r="F1163" s="4" t="s">
        <v>13</v>
      </c>
      <c r="G1163" s="14">
        <v>3386.1180025179392</v>
      </c>
      <c r="H1163" s="15">
        <v>4514.824003357252</v>
      </c>
    </row>
    <row r="1164" spans="1:8" x14ac:dyDescent="0.25">
      <c r="A1164" s="16">
        <v>30</v>
      </c>
      <c r="B1164" s="4" t="s">
        <v>11</v>
      </c>
      <c r="C1164" s="4">
        <v>21.2</v>
      </c>
      <c r="D1164" s="4">
        <v>1</v>
      </c>
      <c r="E1164" s="4" t="s">
        <v>12</v>
      </c>
      <c r="F1164" s="4" t="s">
        <v>13</v>
      </c>
      <c r="G1164" s="14">
        <v>2543.7884064148898</v>
      </c>
      <c r="H1164" s="15">
        <v>2992.6922428410476</v>
      </c>
    </row>
    <row r="1165" spans="1:8" x14ac:dyDescent="0.25">
      <c r="A1165" s="16">
        <v>18</v>
      </c>
      <c r="B1165" s="4" t="s">
        <v>8</v>
      </c>
      <c r="C1165" s="4">
        <v>20.5</v>
      </c>
      <c r="D1165" s="4">
        <v>0</v>
      </c>
      <c r="E1165" s="4" t="s">
        <v>12</v>
      </c>
      <c r="F1165" s="4" t="s">
        <v>15</v>
      </c>
      <c r="G1165" s="14">
        <v>1379.225892382198</v>
      </c>
      <c r="H1165" s="15">
        <v>1622.6186969202338</v>
      </c>
    </row>
    <row r="1166" spans="1:8" x14ac:dyDescent="0.25">
      <c r="A1166" s="16">
        <v>41</v>
      </c>
      <c r="B1166" s="4" t="s">
        <v>8</v>
      </c>
      <c r="C1166" s="4">
        <v>28.3</v>
      </c>
      <c r="D1166" s="4">
        <v>1</v>
      </c>
      <c r="E1166" s="4" t="s">
        <v>12</v>
      </c>
      <c r="F1166" s="4" t="s">
        <v>20</v>
      </c>
      <c r="G1166" s="14">
        <v>5879.2083576814684</v>
      </c>
      <c r="H1166" s="15">
        <v>5599.2460549347334</v>
      </c>
    </row>
    <row r="1167" spans="1:8" x14ac:dyDescent="0.25">
      <c r="A1167" s="16">
        <v>35</v>
      </c>
      <c r="B1167" s="4" t="s">
        <v>8</v>
      </c>
      <c r="C1167" s="4">
        <v>25.8</v>
      </c>
      <c r="D1167" s="4">
        <v>0</v>
      </c>
      <c r="E1167" s="4" t="s">
        <v>12</v>
      </c>
      <c r="F1167" s="4" t="s">
        <v>15</v>
      </c>
      <c r="G1167" s="14">
        <v>1686.8901640235338</v>
      </c>
      <c r="H1167" s="15">
        <v>1984.576663557099</v>
      </c>
    </row>
    <row r="1168" spans="1:8" x14ac:dyDescent="0.25">
      <c r="A1168" s="16">
        <v>57</v>
      </c>
      <c r="B1168" s="4" t="s">
        <v>11</v>
      </c>
      <c r="C1168" s="4">
        <v>40.4</v>
      </c>
      <c r="D1168" s="4">
        <v>0</v>
      </c>
      <c r="E1168" s="4" t="s">
        <v>12</v>
      </c>
      <c r="F1168" s="4" t="s">
        <v>13</v>
      </c>
      <c r="G1168" s="14">
        <v>4321.894825598506</v>
      </c>
      <c r="H1168" s="15">
        <v>4116.0903100938167</v>
      </c>
    </row>
    <row r="1169" spans="1:8" x14ac:dyDescent="0.25">
      <c r="A1169" s="16">
        <v>29</v>
      </c>
      <c r="B1169" s="4" t="s">
        <v>8</v>
      </c>
      <c r="C1169" s="4">
        <v>24.6</v>
      </c>
      <c r="D1169" s="4">
        <v>2</v>
      </c>
      <c r="E1169" s="4" t="s">
        <v>12</v>
      </c>
      <c r="F1169" s="4" t="s">
        <v>21</v>
      </c>
      <c r="G1169" s="14">
        <v>1921.5201433241823</v>
      </c>
      <c r="H1169" s="15">
        <v>2260.6119333225683</v>
      </c>
    </row>
    <row r="1170" spans="1:8" x14ac:dyDescent="0.25">
      <c r="A1170" s="16">
        <v>32</v>
      </c>
      <c r="B1170" s="4" t="s">
        <v>11</v>
      </c>
      <c r="C1170" s="4">
        <v>35.200000000000003</v>
      </c>
      <c r="D1170" s="4">
        <v>2</v>
      </c>
      <c r="E1170" s="4" t="s">
        <v>12</v>
      </c>
      <c r="F1170" s="4" t="s">
        <v>21</v>
      </c>
      <c r="G1170" s="14">
        <v>2669.9180098681131</v>
      </c>
      <c r="H1170" s="15">
        <v>3559.890679824151</v>
      </c>
    </row>
    <row r="1171" spans="1:8" x14ac:dyDescent="0.25">
      <c r="A1171" s="16">
        <v>37</v>
      </c>
      <c r="B1171" s="4" t="s">
        <v>8</v>
      </c>
      <c r="C1171" s="4">
        <v>20.9</v>
      </c>
      <c r="D1171" s="4">
        <v>1</v>
      </c>
      <c r="E1171" s="4" t="s">
        <v>12</v>
      </c>
      <c r="F1171" s="4" t="s">
        <v>20</v>
      </c>
      <c r="G1171" s="14">
        <v>2010.1798948544103</v>
      </c>
      <c r="H1171" s="15">
        <v>2364.9175233581304</v>
      </c>
    </row>
    <row r="1172" spans="1:8" x14ac:dyDescent="0.25">
      <c r="A1172" s="16">
        <v>18</v>
      </c>
      <c r="B1172" s="4" t="s">
        <v>11</v>
      </c>
      <c r="C1172" s="4">
        <v>22.5</v>
      </c>
      <c r="D1172" s="4">
        <v>1</v>
      </c>
      <c r="E1172" s="4" t="s">
        <v>9</v>
      </c>
      <c r="F1172" s="4" t="s">
        <v>15</v>
      </c>
      <c r="G1172" s="14">
        <v>1283.8903771637515</v>
      </c>
      <c r="H1172" s="15">
        <v>1510.4592672514732</v>
      </c>
    </row>
    <row r="1173" spans="1:8" x14ac:dyDescent="0.25">
      <c r="A1173" s="16">
        <v>43</v>
      </c>
      <c r="B1173" s="4" t="s">
        <v>8</v>
      </c>
      <c r="C1173" s="4">
        <v>26.7</v>
      </c>
      <c r="D1173" s="4">
        <v>2</v>
      </c>
      <c r="E1173" s="4" t="s">
        <v>9</v>
      </c>
      <c r="F1173" s="4" t="s">
        <v>21</v>
      </c>
      <c r="G1173" s="14">
        <v>1104.8807591803168</v>
      </c>
      <c r="H1173" s="15">
        <v>1473.1743455737558</v>
      </c>
    </row>
    <row r="1174" spans="1:8" x14ac:dyDescent="0.25">
      <c r="A1174" s="16">
        <v>56</v>
      </c>
      <c r="B1174" s="4" t="s">
        <v>8</v>
      </c>
      <c r="C1174" s="4">
        <v>41.9</v>
      </c>
      <c r="D1174" s="4">
        <v>0</v>
      </c>
      <c r="E1174" s="4" t="s">
        <v>12</v>
      </c>
      <c r="F1174" s="4" t="s">
        <v>13</v>
      </c>
      <c r="G1174" s="14">
        <v>4392.9191197526416</v>
      </c>
      <c r="H1174" s="15">
        <v>4183.7324950025177</v>
      </c>
    </row>
    <row r="1175" spans="1:8" x14ac:dyDescent="0.25">
      <c r="A1175" s="16">
        <v>38</v>
      </c>
      <c r="B1175" s="4" t="s">
        <v>11</v>
      </c>
      <c r="C1175" s="4">
        <v>29.3</v>
      </c>
      <c r="D1175" s="4">
        <v>2</v>
      </c>
      <c r="E1175" s="4" t="s">
        <v>12</v>
      </c>
      <c r="F1175" s="4" t="s">
        <v>20</v>
      </c>
      <c r="G1175" s="14">
        <v>1213.4537369366853</v>
      </c>
      <c r="H1175" s="15">
        <v>1617.9383159155805</v>
      </c>
    </row>
    <row r="1176" spans="1:8" x14ac:dyDescent="0.25">
      <c r="A1176" s="16">
        <v>29</v>
      </c>
      <c r="B1176" s="4" t="s">
        <v>11</v>
      </c>
      <c r="C1176" s="4">
        <v>32.1</v>
      </c>
      <c r="D1176" s="4">
        <v>2</v>
      </c>
      <c r="E1176" s="4" t="s">
        <v>12</v>
      </c>
      <c r="F1176" s="4" t="s">
        <v>20</v>
      </c>
      <c r="G1176" s="14">
        <v>1677.5255681699571</v>
      </c>
      <c r="H1176" s="15">
        <v>2236.7007575599428</v>
      </c>
    </row>
    <row r="1177" spans="1:8" x14ac:dyDescent="0.25">
      <c r="A1177" s="16">
        <v>22</v>
      </c>
      <c r="B1177" s="4" t="s">
        <v>8</v>
      </c>
      <c r="C1177" s="4">
        <v>23.4</v>
      </c>
      <c r="D1177" s="4">
        <v>0</v>
      </c>
      <c r="E1177" s="4" t="s">
        <v>12</v>
      </c>
      <c r="F1177" s="4" t="s">
        <v>21</v>
      </c>
      <c r="G1177" s="14">
        <v>1937.6314665148852</v>
      </c>
      <c r="H1177" s="15">
        <v>2279.5664311939831</v>
      </c>
    </row>
    <row r="1178" spans="1:8" x14ac:dyDescent="0.25">
      <c r="A1178" s="16">
        <v>52</v>
      </c>
      <c r="B1178" s="4" t="s">
        <v>8</v>
      </c>
      <c r="C1178" s="4">
        <v>24.1</v>
      </c>
      <c r="D1178" s="4">
        <v>1</v>
      </c>
      <c r="E1178" s="4" t="s">
        <v>9</v>
      </c>
      <c r="F1178" s="4" t="s">
        <v>20</v>
      </c>
      <c r="G1178" s="14">
        <v>4160.3150781130062</v>
      </c>
      <c r="H1178" s="15">
        <v>3962.2048362981027</v>
      </c>
    </row>
    <row r="1179" spans="1:8" x14ac:dyDescent="0.25">
      <c r="A1179" s="16">
        <v>40</v>
      </c>
      <c r="B1179" s="4" t="s">
        <v>8</v>
      </c>
      <c r="C1179" s="4">
        <v>23.9</v>
      </c>
      <c r="D1179" s="4">
        <v>1</v>
      </c>
      <c r="E1179" s="4" t="s">
        <v>12</v>
      </c>
      <c r="F1179" s="4" t="s">
        <v>21</v>
      </c>
      <c r="G1179" s="14">
        <v>1799.7076096806088</v>
      </c>
      <c r="H1179" s="15">
        <v>2117.3030702124815</v>
      </c>
    </row>
    <row r="1180" spans="1:8" x14ac:dyDescent="0.25">
      <c r="A1180" s="16">
        <v>23</v>
      </c>
      <c r="B1180" s="4" t="s">
        <v>8</v>
      </c>
      <c r="C1180" s="4">
        <v>21.2</v>
      </c>
      <c r="D1180" s="4">
        <v>0</v>
      </c>
      <c r="E1180" s="4" t="s">
        <v>12</v>
      </c>
      <c r="F1180" s="4" t="s">
        <v>15</v>
      </c>
      <c r="G1180" s="14">
        <v>1857.0839130615625</v>
      </c>
      <c r="H1180" s="15">
        <v>2184.8046036018386</v>
      </c>
    </row>
    <row r="1181" spans="1:8" x14ac:dyDescent="0.25">
      <c r="A1181" s="16">
        <v>31</v>
      </c>
      <c r="B1181" s="4" t="s">
        <v>11</v>
      </c>
      <c r="C1181" s="4">
        <v>23.8</v>
      </c>
      <c r="D1181" s="4">
        <v>0</v>
      </c>
      <c r="E1181" s="4" t="s">
        <v>9</v>
      </c>
      <c r="F1181" s="4" t="s">
        <v>13</v>
      </c>
      <c r="G1181" s="14">
        <v>1713.4848418716367</v>
      </c>
      <c r="H1181" s="15">
        <v>2015.8645198489851</v>
      </c>
    </row>
    <row r="1182" spans="1:8" x14ac:dyDescent="0.25">
      <c r="A1182" s="16">
        <v>42</v>
      </c>
      <c r="B1182" s="4" t="s">
        <v>8</v>
      </c>
      <c r="C1182" s="4">
        <v>41.3</v>
      </c>
      <c r="D1182" s="4">
        <v>1</v>
      </c>
      <c r="E1182" s="4" t="s">
        <v>12</v>
      </c>
      <c r="F1182" s="4" t="s">
        <v>15</v>
      </c>
      <c r="G1182" s="14">
        <v>3603.1329133594936</v>
      </c>
      <c r="H1182" s="15">
        <v>3431.5551555804714</v>
      </c>
    </row>
    <row r="1183" spans="1:8" x14ac:dyDescent="0.25">
      <c r="A1183" s="16">
        <v>24</v>
      </c>
      <c r="B1183" s="4" t="s">
        <v>8</v>
      </c>
      <c r="C1183" s="4">
        <v>21.8</v>
      </c>
      <c r="D1183" s="4">
        <v>0</v>
      </c>
      <c r="E1183" s="4" t="s">
        <v>12</v>
      </c>
      <c r="F1183" s="4" t="s">
        <v>20</v>
      </c>
      <c r="G1183" s="14">
        <v>2032.5470674782953</v>
      </c>
      <c r="H1183" s="15">
        <v>2391.2318440921126</v>
      </c>
    </row>
    <row r="1184" spans="1:8" x14ac:dyDescent="0.25">
      <c r="A1184" s="16">
        <v>25</v>
      </c>
      <c r="B1184" s="4" t="s">
        <v>8</v>
      </c>
      <c r="C1184" s="4">
        <v>24.7</v>
      </c>
      <c r="D1184" s="4">
        <v>0</v>
      </c>
      <c r="E1184" s="4" t="s">
        <v>12</v>
      </c>
      <c r="F1184" s="4" t="s">
        <v>21</v>
      </c>
      <c r="G1184" s="14">
        <v>1398.0615265311453</v>
      </c>
      <c r="H1184" s="15">
        <v>1644.7782665072307</v>
      </c>
    </row>
    <row r="1185" spans="1:8" x14ac:dyDescent="0.25">
      <c r="A1185" s="16">
        <v>48</v>
      </c>
      <c r="B1185" s="4" t="s">
        <v>8</v>
      </c>
      <c r="C1185" s="4">
        <v>27.4</v>
      </c>
      <c r="D1185" s="4">
        <v>1</v>
      </c>
      <c r="E1185" s="4" t="s">
        <v>12</v>
      </c>
      <c r="F1185" s="4" t="s">
        <v>15</v>
      </c>
      <c r="G1185" s="14">
        <v>4571.3446453612487</v>
      </c>
      <c r="H1185" s="15">
        <v>4353.661567010714</v>
      </c>
    </row>
    <row r="1186" spans="1:8" x14ac:dyDescent="0.25">
      <c r="A1186" s="16">
        <v>23</v>
      </c>
      <c r="B1186" s="4" t="s">
        <v>8</v>
      </c>
      <c r="C1186" s="4">
        <v>25.9</v>
      </c>
      <c r="D1186" s="4">
        <v>1</v>
      </c>
      <c r="E1186" s="4" t="s">
        <v>9</v>
      </c>
      <c r="F1186" s="4" t="s">
        <v>13</v>
      </c>
      <c r="G1186" s="14">
        <v>1862.2297811137382</v>
      </c>
      <c r="H1186" s="15">
        <v>2190.8585660161634</v>
      </c>
    </row>
    <row r="1187" spans="1:8" x14ac:dyDescent="0.25">
      <c r="A1187" s="16">
        <v>45</v>
      </c>
      <c r="B1187" s="4" t="s">
        <v>11</v>
      </c>
      <c r="C1187" s="4">
        <v>23.6</v>
      </c>
      <c r="D1187" s="4">
        <v>2</v>
      </c>
      <c r="E1187" s="4" t="s">
        <v>12</v>
      </c>
      <c r="F1187" s="4" t="s">
        <v>15</v>
      </c>
      <c r="G1187" s="14">
        <v>1711.4349761890612</v>
      </c>
      <c r="H1187" s="15">
        <v>2281.913301585415</v>
      </c>
    </row>
    <row r="1188" spans="1:8" x14ac:dyDescent="0.25">
      <c r="A1188" s="16">
        <v>20</v>
      </c>
      <c r="B1188" s="4" t="s">
        <v>11</v>
      </c>
      <c r="C1188" s="4">
        <v>35.6</v>
      </c>
      <c r="D1188" s="4">
        <v>3</v>
      </c>
      <c r="E1188" s="4" t="s">
        <v>9</v>
      </c>
      <c r="F1188" s="4" t="s">
        <v>20</v>
      </c>
      <c r="G1188" s="14">
        <v>2141.905254827217</v>
      </c>
      <c r="H1188" s="15">
        <v>2855.8736731029562</v>
      </c>
    </row>
    <row r="1189" spans="1:8" x14ac:dyDescent="0.25">
      <c r="A1189" s="16">
        <v>62</v>
      </c>
      <c r="B1189" s="4" t="s">
        <v>8</v>
      </c>
      <c r="C1189" s="4">
        <v>32.700000000000003</v>
      </c>
      <c r="D1189" s="4">
        <v>0</v>
      </c>
      <c r="E1189" s="4" t="s">
        <v>12</v>
      </c>
      <c r="F1189" s="4" t="s">
        <v>20</v>
      </c>
      <c r="G1189" s="14">
        <v>4530.7236717423157</v>
      </c>
      <c r="H1189" s="15">
        <v>4314.9749254688732</v>
      </c>
    </row>
    <row r="1190" spans="1:8" x14ac:dyDescent="0.25">
      <c r="A1190" s="16">
        <v>43</v>
      </c>
      <c r="B1190" s="4" t="s">
        <v>8</v>
      </c>
      <c r="C1190" s="4">
        <v>25.3</v>
      </c>
      <c r="D1190" s="4">
        <v>1</v>
      </c>
      <c r="E1190" s="4" t="s">
        <v>9</v>
      </c>
      <c r="F1190" s="4" t="s">
        <v>15</v>
      </c>
      <c r="G1190" s="14">
        <v>2644.9357599574882</v>
      </c>
      <c r="H1190" s="15">
        <v>3111.6891293617514</v>
      </c>
    </row>
    <row r="1191" spans="1:8" x14ac:dyDescent="0.25">
      <c r="A1191" s="16">
        <v>23</v>
      </c>
      <c r="B1191" s="4" t="s">
        <v>8</v>
      </c>
      <c r="C1191" s="4">
        <v>22.4</v>
      </c>
      <c r="D1191" s="4">
        <v>0</v>
      </c>
      <c r="E1191" s="4" t="s">
        <v>12</v>
      </c>
      <c r="F1191" s="4" t="s">
        <v>21</v>
      </c>
      <c r="G1191" s="14">
        <v>1460.1031324670857</v>
      </c>
      <c r="H1191" s="15">
        <v>1717.7683911377487</v>
      </c>
    </row>
    <row r="1192" spans="1:8" x14ac:dyDescent="0.25">
      <c r="A1192" s="16">
        <v>31</v>
      </c>
      <c r="B1192" s="4" t="s">
        <v>8</v>
      </c>
      <c r="C1192" s="4">
        <v>32.799999999999997</v>
      </c>
      <c r="D1192" s="4">
        <v>2</v>
      </c>
      <c r="E1192" s="4" t="s">
        <v>12</v>
      </c>
      <c r="F1192" s="4" t="s">
        <v>20</v>
      </c>
      <c r="G1192" s="14">
        <v>969.78986014282054</v>
      </c>
      <c r="H1192" s="15">
        <v>1293.0531468570941</v>
      </c>
    </row>
    <row r="1193" spans="1:8" x14ac:dyDescent="0.25">
      <c r="A1193" s="16">
        <v>41</v>
      </c>
      <c r="B1193" s="4" t="s">
        <v>8</v>
      </c>
      <c r="C1193" s="4">
        <v>21.9</v>
      </c>
      <c r="D1193" s="4">
        <v>1</v>
      </c>
      <c r="E1193" s="4" t="s">
        <v>12</v>
      </c>
      <c r="F1193" s="4" t="s">
        <v>15</v>
      </c>
      <c r="G1193" s="14">
        <v>1882.6226142624273</v>
      </c>
      <c r="H1193" s="15">
        <v>2214.8501344263855</v>
      </c>
    </row>
    <row r="1194" spans="1:8" x14ac:dyDescent="0.25">
      <c r="A1194" s="16">
        <v>58</v>
      </c>
      <c r="B1194" s="4" t="s">
        <v>8</v>
      </c>
      <c r="C1194" s="4">
        <v>32.4</v>
      </c>
      <c r="D1194" s="4">
        <v>1</v>
      </c>
      <c r="E1194" s="4" t="s">
        <v>12</v>
      </c>
      <c r="F1194" s="4" t="s">
        <v>15</v>
      </c>
      <c r="G1194" s="14">
        <v>5305.588642902876</v>
      </c>
      <c r="H1194" s="15">
        <v>5052.9415646694069</v>
      </c>
    </row>
    <row r="1195" spans="1:8" x14ac:dyDescent="0.25">
      <c r="A1195" s="16">
        <v>48</v>
      </c>
      <c r="B1195" s="4" t="s">
        <v>8</v>
      </c>
      <c r="C1195" s="4">
        <v>36.6</v>
      </c>
      <c r="D1195" s="4">
        <v>0</v>
      </c>
      <c r="E1195" s="4" t="s">
        <v>12</v>
      </c>
      <c r="F1195" s="4" t="s">
        <v>20</v>
      </c>
      <c r="G1195" s="14">
        <v>5316.8821972415144</v>
      </c>
      <c r="H1195" s="15">
        <v>5063.6973307062062</v>
      </c>
    </row>
    <row r="1196" spans="1:8" x14ac:dyDescent="0.25">
      <c r="A1196" s="16">
        <v>31</v>
      </c>
      <c r="B1196" s="4" t="s">
        <v>8</v>
      </c>
      <c r="C1196" s="4">
        <v>25.3</v>
      </c>
      <c r="D1196" s="4">
        <v>0</v>
      </c>
      <c r="E1196" s="4" t="s">
        <v>12</v>
      </c>
      <c r="F1196" s="4" t="s">
        <v>20</v>
      </c>
      <c r="G1196" s="14">
        <v>1500.4873812564385</v>
      </c>
      <c r="H1196" s="15">
        <v>1765.2792720663992</v>
      </c>
    </row>
    <row r="1197" spans="1:8" x14ac:dyDescent="0.25">
      <c r="A1197" s="16">
        <v>19</v>
      </c>
      <c r="B1197" s="4" t="s">
        <v>8</v>
      </c>
      <c r="C1197" s="4">
        <v>27.9</v>
      </c>
      <c r="D1197" s="4">
        <v>3</v>
      </c>
      <c r="E1197" s="4" t="s">
        <v>12</v>
      </c>
      <c r="F1197" s="4" t="s">
        <v>20</v>
      </c>
      <c r="G1197" s="14">
        <v>1311.2611833139633</v>
      </c>
      <c r="H1197" s="15">
        <v>1748.3482444186177</v>
      </c>
    </row>
    <row r="1198" spans="1:8" x14ac:dyDescent="0.25">
      <c r="A1198" s="16">
        <v>19</v>
      </c>
      <c r="B1198" s="4" t="s">
        <v>8</v>
      </c>
      <c r="C1198" s="4">
        <v>22.4</v>
      </c>
      <c r="D1198" s="4">
        <v>0</v>
      </c>
      <c r="E1198" s="4" t="s">
        <v>9</v>
      </c>
      <c r="F1198" s="4" t="s">
        <v>20</v>
      </c>
      <c r="G1198" s="14">
        <v>1868.7024748123515</v>
      </c>
      <c r="H1198" s="15">
        <v>2198.473499779238</v>
      </c>
    </row>
    <row r="1199" spans="1:8" x14ac:dyDescent="0.25">
      <c r="A1199" s="16">
        <v>41</v>
      </c>
      <c r="B1199" s="4" t="s">
        <v>11</v>
      </c>
      <c r="C1199" s="4">
        <v>33.6</v>
      </c>
      <c r="D1199" s="4">
        <v>0</v>
      </c>
      <c r="E1199" s="4" t="s">
        <v>12</v>
      </c>
      <c r="F1199" s="4" t="s">
        <v>13</v>
      </c>
      <c r="G1199" s="14">
        <v>3627.4163266912069</v>
      </c>
      <c r="H1199" s="15">
        <v>3454.6822158963892</v>
      </c>
    </row>
    <row r="1200" spans="1:8" x14ac:dyDescent="0.25">
      <c r="A1200" s="16">
        <v>40</v>
      </c>
      <c r="B1200" s="4" t="s">
        <v>11</v>
      </c>
      <c r="C1200" s="4">
        <v>29.4</v>
      </c>
      <c r="D1200" s="4">
        <v>1</v>
      </c>
      <c r="E1200" s="4" t="s">
        <v>12</v>
      </c>
      <c r="F1200" s="4" t="s">
        <v>20</v>
      </c>
      <c r="G1200" s="14">
        <v>5585.1498044315422</v>
      </c>
      <c r="H1200" s="15">
        <v>5319.1902899348033</v>
      </c>
    </row>
    <row r="1201" spans="1:8" x14ac:dyDescent="0.25">
      <c r="A1201" s="16">
        <v>31</v>
      </c>
      <c r="B1201" s="4" t="s">
        <v>8</v>
      </c>
      <c r="C1201" s="4">
        <v>25.8</v>
      </c>
      <c r="D1201" s="4">
        <v>2</v>
      </c>
      <c r="E1201" s="4" t="s">
        <v>12</v>
      </c>
      <c r="F1201" s="4" t="s">
        <v>21</v>
      </c>
      <c r="G1201" s="14">
        <v>1657.8756588650349</v>
      </c>
      <c r="H1201" s="15">
        <v>2210.5008784867132</v>
      </c>
    </row>
    <row r="1202" spans="1:8" x14ac:dyDescent="0.25">
      <c r="A1202" s="16">
        <v>37</v>
      </c>
      <c r="B1202" s="4" t="s">
        <v>11</v>
      </c>
      <c r="C1202" s="4">
        <v>24.3</v>
      </c>
      <c r="D1202" s="4">
        <v>2</v>
      </c>
      <c r="E1202" s="4" t="s">
        <v>12</v>
      </c>
      <c r="F1202" s="4" t="s">
        <v>20</v>
      </c>
      <c r="G1202" s="14">
        <v>1963.1052172299878</v>
      </c>
      <c r="H1202" s="15">
        <v>2617.4736229733171</v>
      </c>
    </row>
    <row r="1203" spans="1:8" x14ac:dyDescent="0.25">
      <c r="A1203" s="16">
        <v>46</v>
      </c>
      <c r="B1203" s="4" t="s">
        <v>11</v>
      </c>
      <c r="C1203" s="4">
        <v>40.4</v>
      </c>
      <c r="D1203" s="4">
        <v>2</v>
      </c>
      <c r="E1203" s="4" t="s">
        <v>12</v>
      </c>
      <c r="F1203" s="4" t="s">
        <v>20</v>
      </c>
      <c r="G1203" s="14">
        <v>1745.4600207874882</v>
      </c>
      <c r="H1203" s="15">
        <v>2327.2800277166511</v>
      </c>
    </row>
    <row r="1204" spans="1:8" x14ac:dyDescent="0.25">
      <c r="A1204" s="16">
        <v>22</v>
      </c>
      <c r="B1204" s="4" t="s">
        <v>11</v>
      </c>
      <c r="C1204" s="4">
        <v>21.7</v>
      </c>
      <c r="D1204" s="4">
        <v>0</v>
      </c>
      <c r="E1204" s="4" t="s">
        <v>12</v>
      </c>
      <c r="F1204" s="4" t="s">
        <v>20</v>
      </c>
      <c r="G1204" s="14">
        <v>2348.5652694676874</v>
      </c>
      <c r="H1204" s="15">
        <v>2763.0179640796327</v>
      </c>
    </row>
    <row r="1205" spans="1:8" x14ac:dyDescent="0.25">
      <c r="A1205" s="16">
        <v>51</v>
      </c>
      <c r="B1205" s="4" t="s">
        <v>11</v>
      </c>
      <c r="C1205" s="4">
        <v>32.299999999999997</v>
      </c>
      <c r="D1205" s="4">
        <v>1</v>
      </c>
      <c r="E1205" s="4" t="s">
        <v>12</v>
      </c>
      <c r="F1205" s="4" t="s">
        <v>15</v>
      </c>
      <c r="G1205" s="14">
        <v>3948.8735584114115</v>
      </c>
      <c r="H1205" s="15">
        <v>3760.8319603918217</v>
      </c>
    </row>
    <row r="1206" spans="1:8" x14ac:dyDescent="0.25">
      <c r="A1206" s="16">
        <v>18</v>
      </c>
      <c r="B1206" s="4" t="s">
        <v>8</v>
      </c>
      <c r="C1206" s="4">
        <v>27.3</v>
      </c>
      <c r="D1206" s="4">
        <v>3</v>
      </c>
      <c r="E1206" s="4" t="s">
        <v>9</v>
      </c>
      <c r="F1206" s="4" t="s">
        <v>13</v>
      </c>
      <c r="G1206" s="14">
        <v>1810.8001001406255</v>
      </c>
      <c r="H1206" s="15">
        <v>2414.4001335208341</v>
      </c>
    </row>
    <row r="1207" spans="1:8" x14ac:dyDescent="0.25">
      <c r="A1207" s="16">
        <v>35</v>
      </c>
      <c r="B1207" s="4" t="s">
        <v>11</v>
      </c>
      <c r="C1207" s="4">
        <v>21.6</v>
      </c>
      <c r="D1207" s="4">
        <v>1</v>
      </c>
      <c r="E1207" s="4" t="s">
        <v>12</v>
      </c>
      <c r="F1207" s="4" t="s">
        <v>20</v>
      </c>
      <c r="G1207" s="14">
        <v>1828.988299119608</v>
      </c>
      <c r="H1207" s="15">
        <v>2151.750940140716</v>
      </c>
    </row>
    <row r="1208" spans="1:8" x14ac:dyDescent="0.25">
      <c r="A1208" s="16">
        <v>59</v>
      </c>
      <c r="B1208" s="4" t="s">
        <v>8</v>
      </c>
      <c r="C1208" s="4">
        <v>34.799999999999997</v>
      </c>
      <c r="D1208" s="4">
        <v>2</v>
      </c>
      <c r="E1208" s="4" t="s">
        <v>12</v>
      </c>
      <c r="F1208" s="4" t="s">
        <v>21</v>
      </c>
      <c r="G1208" s="14">
        <v>2555.8224991234611</v>
      </c>
      <c r="H1208" s="15">
        <v>3407.7633321646149</v>
      </c>
    </row>
    <row r="1209" spans="1:8" x14ac:dyDescent="0.25">
      <c r="A1209" s="16">
        <v>36</v>
      </c>
      <c r="B1209" s="4" t="s">
        <v>11</v>
      </c>
      <c r="C1209" s="4">
        <v>33.4</v>
      </c>
      <c r="D1209" s="4">
        <v>2</v>
      </c>
      <c r="E1209" s="4" t="s">
        <v>9</v>
      </c>
      <c r="F1209" s="4" t="s">
        <v>21</v>
      </c>
      <c r="G1209" s="14">
        <v>2266.0159561122045</v>
      </c>
      <c r="H1209" s="15">
        <v>3021.3546081496061</v>
      </c>
    </row>
    <row r="1210" spans="1:8" x14ac:dyDescent="0.25">
      <c r="A1210" s="16">
        <v>37</v>
      </c>
      <c r="B1210" s="4" t="s">
        <v>8</v>
      </c>
      <c r="C1210" s="4">
        <v>23</v>
      </c>
      <c r="D1210" s="4">
        <v>1</v>
      </c>
      <c r="E1210" s="4" t="s">
        <v>9</v>
      </c>
      <c r="F1210" s="4" t="s">
        <v>15</v>
      </c>
      <c r="G1210" s="14">
        <v>1832.1817135156286</v>
      </c>
      <c r="H1210" s="15">
        <v>2155.5078982536816</v>
      </c>
    </row>
    <row r="1211" spans="1:8" x14ac:dyDescent="0.25">
      <c r="A1211" s="16">
        <v>59</v>
      </c>
      <c r="B1211" s="4" t="s">
        <v>11</v>
      </c>
      <c r="C1211" s="4">
        <v>37.1</v>
      </c>
      <c r="D1211" s="4">
        <v>1</v>
      </c>
      <c r="E1211" s="4" t="s">
        <v>12</v>
      </c>
      <c r="F1211" s="4" t="s">
        <v>21</v>
      </c>
      <c r="G1211" s="14">
        <v>4379.3976640953997</v>
      </c>
      <c r="H1211" s="15">
        <v>4170.8549181860963</v>
      </c>
    </row>
    <row r="1212" spans="1:8" x14ac:dyDescent="0.25">
      <c r="A1212" s="16">
        <v>36</v>
      </c>
      <c r="B1212" s="4" t="s">
        <v>11</v>
      </c>
      <c r="C1212" s="4">
        <v>22.6</v>
      </c>
      <c r="D1212" s="4">
        <v>1</v>
      </c>
      <c r="E1212" s="4" t="s">
        <v>12</v>
      </c>
      <c r="F1212" s="4" t="s">
        <v>20</v>
      </c>
      <c r="G1212" s="14">
        <v>1491.9192746687613</v>
      </c>
      <c r="H1212" s="15">
        <v>1755.199146669132</v>
      </c>
    </row>
    <row r="1213" spans="1:8" x14ac:dyDescent="0.25">
      <c r="A1213" s="16">
        <v>39</v>
      </c>
      <c r="B1213" s="4" t="s">
        <v>11</v>
      </c>
      <c r="C1213" s="4">
        <v>34.1</v>
      </c>
      <c r="D1213" s="4">
        <v>2</v>
      </c>
      <c r="E1213" s="4" t="s">
        <v>12</v>
      </c>
      <c r="F1213" s="4" t="s">
        <v>13</v>
      </c>
      <c r="G1213" s="14">
        <v>2001.4017807551027</v>
      </c>
      <c r="H1213" s="15">
        <v>2668.5357076734704</v>
      </c>
    </row>
    <row r="1214" spans="1:8" x14ac:dyDescent="0.25">
      <c r="A1214" s="16">
        <v>18</v>
      </c>
      <c r="B1214" s="4" t="s">
        <v>11</v>
      </c>
      <c r="C1214" s="4">
        <v>24.6</v>
      </c>
      <c r="D1214" s="4">
        <v>0</v>
      </c>
      <c r="E1214" s="4" t="s">
        <v>12</v>
      </c>
      <c r="F1214" s="4" t="s">
        <v>15</v>
      </c>
      <c r="G1214" s="14">
        <v>2176.6435855584259</v>
      </c>
      <c r="H1214" s="15">
        <v>2560.7571594805017</v>
      </c>
    </row>
    <row r="1215" spans="1:8" x14ac:dyDescent="0.25">
      <c r="A1215" s="16">
        <v>52</v>
      </c>
      <c r="B1215" s="4" t="s">
        <v>8</v>
      </c>
      <c r="C1215" s="4">
        <v>33.299999999999997</v>
      </c>
      <c r="D1215" s="4">
        <v>2</v>
      </c>
      <c r="E1215" s="4" t="s">
        <v>12</v>
      </c>
      <c r="F1215" s="4" t="s">
        <v>21</v>
      </c>
      <c r="G1215" s="14">
        <v>1920.8040067875368</v>
      </c>
      <c r="H1215" s="15">
        <v>2561.072009050049</v>
      </c>
    </row>
    <row r="1216" spans="1:8" x14ac:dyDescent="0.25">
      <c r="A1216" s="16">
        <v>27</v>
      </c>
      <c r="B1216" s="4" t="s">
        <v>8</v>
      </c>
      <c r="C1216" s="4">
        <v>23</v>
      </c>
      <c r="D1216" s="4">
        <v>1</v>
      </c>
      <c r="E1216" s="4" t="s">
        <v>12</v>
      </c>
      <c r="F1216" s="4" t="s">
        <v>20</v>
      </c>
      <c r="G1216" s="14">
        <v>1671.227122921995</v>
      </c>
      <c r="H1216" s="15">
        <v>1966.1495563788185</v>
      </c>
    </row>
    <row r="1217" spans="1:8" x14ac:dyDescent="0.25">
      <c r="A1217" s="16">
        <v>18</v>
      </c>
      <c r="B1217" s="4" t="s">
        <v>11</v>
      </c>
      <c r="C1217" s="4">
        <v>21.1</v>
      </c>
      <c r="D1217" s="4">
        <v>0</v>
      </c>
      <c r="E1217" s="4" t="s">
        <v>12</v>
      </c>
      <c r="F1217" s="4" t="s">
        <v>15</v>
      </c>
      <c r="G1217" s="14">
        <v>1655.4040704556642</v>
      </c>
      <c r="H1217" s="15">
        <v>1947.5342005360762</v>
      </c>
    </row>
    <row r="1218" spans="1:8" x14ac:dyDescent="0.25">
      <c r="A1218" s="16">
        <v>40</v>
      </c>
      <c r="B1218" s="4" t="s">
        <v>11</v>
      </c>
      <c r="C1218" s="4">
        <v>20.100000000000001</v>
      </c>
      <c r="D1218" s="4">
        <v>0</v>
      </c>
      <c r="E1218" s="4" t="s">
        <v>12</v>
      </c>
      <c r="F1218" s="4" t="s">
        <v>13</v>
      </c>
      <c r="G1218" s="14">
        <v>1618.4456792630097</v>
      </c>
      <c r="H1218" s="15">
        <v>1904.053740309424</v>
      </c>
    </row>
    <row r="1219" spans="1:8" x14ac:dyDescent="0.25">
      <c r="A1219" s="16">
        <v>29</v>
      </c>
      <c r="B1219" s="4" t="s">
        <v>11</v>
      </c>
      <c r="C1219" s="4">
        <v>37.299999999999997</v>
      </c>
      <c r="D1219" s="4">
        <v>2</v>
      </c>
      <c r="E1219" s="4" t="s">
        <v>12</v>
      </c>
      <c r="F1219" s="4" t="s">
        <v>13</v>
      </c>
      <c r="G1219" s="14">
        <v>2011.0520096060466</v>
      </c>
      <c r="H1219" s="15">
        <v>2681.4026794747288</v>
      </c>
    </row>
    <row r="1220" spans="1:8" x14ac:dyDescent="0.25">
      <c r="A1220" s="16">
        <v>46</v>
      </c>
      <c r="B1220" s="4" t="s">
        <v>8</v>
      </c>
      <c r="C1220" s="4">
        <v>34.6</v>
      </c>
      <c r="D1220" s="4">
        <v>1</v>
      </c>
      <c r="E1220" s="4" t="s">
        <v>9</v>
      </c>
      <c r="F1220" s="4" t="s">
        <v>21</v>
      </c>
      <c r="G1220" s="14">
        <v>3707.1635708559525</v>
      </c>
      <c r="H1220" s="15">
        <v>3530.6319722437656</v>
      </c>
    </row>
    <row r="1221" spans="1:8" x14ac:dyDescent="0.25">
      <c r="A1221" s="16">
        <v>38</v>
      </c>
      <c r="B1221" s="4" t="s">
        <v>8</v>
      </c>
      <c r="C1221" s="4">
        <v>30.2</v>
      </c>
      <c r="D1221" s="4">
        <v>3</v>
      </c>
      <c r="E1221" s="4" t="s">
        <v>12</v>
      </c>
      <c r="F1221" s="4" t="s">
        <v>20</v>
      </c>
      <c r="G1221" s="14">
        <v>1880.1009211078481</v>
      </c>
      <c r="H1221" s="15">
        <v>2506.8012281437973</v>
      </c>
    </row>
    <row r="1222" spans="1:8" x14ac:dyDescent="0.25">
      <c r="A1222" s="16">
        <v>30</v>
      </c>
      <c r="B1222" s="4" t="s">
        <v>8</v>
      </c>
      <c r="C1222" s="4">
        <v>25.1</v>
      </c>
      <c r="D1222" s="4">
        <v>1</v>
      </c>
      <c r="E1222" s="4" t="s">
        <v>12</v>
      </c>
      <c r="F1222" s="4" t="s">
        <v>15</v>
      </c>
      <c r="G1222" s="14">
        <v>2736.1375313644239</v>
      </c>
      <c r="H1222" s="15">
        <v>3218.9853310169692</v>
      </c>
    </row>
    <row r="1223" spans="1:8" x14ac:dyDescent="0.25">
      <c r="A1223" s="16">
        <v>40</v>
      </c>
      <c r="B1223" s="4" t="s">
        <v>11</v>
      </c>
      <c r="C1223" s="4">
        <v>25</v>
      </c>
      <c r="D1223" s="4">
        <v>2</v>
      </c>
      <c r="E1223" s="4" t="s">
        <v>12</v>
      </c>
      <c r="F1223" s="4" t="s">
        <v>13</v>
      </c>
      <c r="G1223" s="14">
        <v>1117.7326595226446</v>
      </c>
      <c r="H1223" s="15">
        <v>1490.3102126968593</v>
      </c>
    </row>
    <row r="1224" spans="1:8" x14ac:dyDescent="0.25">
      <c r="A1224" s="16">
        <v>50</v>
      </c>
      <c r="B1224" s="4" t="s">
        <v>11</v>
      </c>
      <c r="C1224" s="4">
        <v>25.3</v>
      </c>
      <c r="D1224" s="4">
        <v>0</v>
      </c>
      <c r="E1224" s="4" t="s">
        <v>12</v>
      </c>
      <c r="F1224" s="4" t="s">
        <v>13</v>
      </c>
      <c r="G1224" s="14">
        <v>5391.6950576562258</v>
      </c>
      <c r="H1224" s="15">
        <v>5134.9476739583115</v>
      </c>
    </row>
    <row r="1225" spans="1:8" x14ac:dyDescent="0.25">
      <c r="A1225" s="16">
        <v>20</v>
      </c>
      <c r="B1225" s="4" t="s">
        <v>8</v>
      </c>
      <c r="C1225" s="4">
        <v>23.9</v>
      </c>
      <c r="D1225" s="4">
        <v>0</v>
      </c>
      <c r="E1225" s="4" t="s">
        <v>9</v>
      </c>
      <c r="F1225" s="4" t="s">
        <v>13</v>
      </c>
      <c r="G1225" s="14">
        <v>1627.5383886655504</v>
      </c>
      <c r="H1225" s="15">
        <v>1914.7510454888836</v>
      </c>
    </row>
    <row r="1226" spans="1:8" x14ac:dyDescent="0.25">
      <c r="A1226" s="16">
        <v>41</v>
      </c>
      <c r="B1226" s="4" t="s">
        <v>11</v>
      </c>
      <c r="C1226" s="4">
        <v>20.100000000000001</v>
      </c>
      <c r="D1226" s="4">
        <v>1</v>
      </c>
      <c r="E1226" s="4" t="s">
        <v>12</v>
      </c>
      <c r="F1226" s="4" t="s">
        <v>15</v>
      </c>
      <c r="G1226" s="14">
        <v>1369.6892410862845</v>
      </c>
      <c r="H1226" s="15">
        <v>1611.3991071603355</v>
      </c>
    </row>
    <row r="1227" spans="1:8" x14ac:dyDescent="0.25">
      <c r="A1227" s="16">
        <v>33</v>
      </c>
      <c r="B1227" s="4" t="s">
        <v>8</v>
      </c>
      <c r="C1227" s="4">
        <v>22.6</v>
      </c>
      <c r="D1227" s="4">
        <v>1</v>
      </c>
      <c r="E1227" s="4" t="s">
        <v>12</v>
      </c>
      <c r="F1227" s="4" t="s">
        <v>13</v>
      </c>
      <c r="G1227" s="14">
        <v>1806.1645982504888</v>
      </c>
      <c r="H1227" s="15">
        <v>2124.899527353517</v>
      </c>
    </row>
    <row r="1228" spans="1:8" x14ac:dyDescent="0.25">
      <c r="A1228" s="16">
        <v>38</v>
      </c>
      <c r="B1228" s="4" t="s">
        <v>11</v>
      </c>
      <c r="C1228" s="4">
        <v>16.8</v>
      </c>
      <c r="D1228" s="4">
        <v>2</v>
      </c>
      <c r="E1228" s="4" t="s">
        <v>12</v>
      </c>
      <c r="F1228" s="4" t="s">
        <v>15</v>
      </c>
      <c r="G1228" s="14">
        <v>2199.8385837487513</v>
      </c>
      <c r="H1228" s="15">
        <v>2588.0453926455907</v>
      </c>
    </row>
    <row r="1229" spans="1:8" x14ac:dyDescent="0.25">
      <c r="A1229" s="16">
        <v>42</v>
      </c>
      <c r="B1229" s="4" t="s">
        <v>11</v>
      </c>
      <c r="C1229" s="4">
        <v>37.200000000000003</v>
      </c>
      <c r="D1229" s="4">
        <v>2</v>
      </c>
      <c r="E1229" s="4" t="s">
        <v>12</v>
      </c>
      <c r="F1229" s="4" t="s">
        <v>13</v>
      </c>
      <c r="G1229" s="14">
        <v>1175.3204791098271</v>
      </c>
      <c r="H1229" s="15">
        <v>1567.0939721464363</v>
      </c>
    </row>
    <row r="1230" spans="1:8" x14ac:dyDescent="0.25">
      <c r="A1230" s="16">
        <v>56</v>
      </c>
      <c r="B1230" s="4" t="s">
        <v>11</v>
      </c>
      <c r="C1230" s="4">
        <v>34.4</v>
      </c>
      <c r="D1230" s="4">
        <v>0</v>
      </c>
      <c r="E1230" s="4" t="s">
        <v>12</v>
      </c>
      <c r="F1230" s="4" t="s">
        <v>13</v>
      </c>
      <c r="G1230" s="14">
        <v>4093.0231317845573</v>
      </c>
      <c r="H1230" s="15">
        <v>3898.1172683662467</v>
      </c>
    </row>
    <row r="1231" spans="1:8" x14ac:dyDescent="0.25">
      <c r="A1231" s="16">
        <v>58</v>
      </c>
      <c r="B1231" s="4" t="s">
        <v>11</v>
      </c>
      <c r="C1231" s="4">
        <v>30.3</v>
      </c>
      <c r="D1231" s="4">
        <v>0</v>
      </c>
      <c r="E1231" s="4" t="s">
        <v>12</v>
      </c>
      <c r="F1231" s="4" t="s">
        <v>15</v>
      </c>
      <c r="G1231" s="14">
        <v>4922.4126190013139</v>
      </c>
      <c r="H1231" s="15">
        <v>4688.0120180964914</v>
      </c>
    </row>
    <row r="1232" spans="1:8" x14ac:dyDescent="0.25">
      <c r="A1232" s="16">
        <v>52</v>
      </c>
      <c r="B1232" s="4" t="s">
        <v>11</v>
      </c>
      <c r="C1232" s="4">
        <v>34.5</v>
      </c>
      <c r="D1232" s="4">
        <v>3</v>
      </c>
      <c r="E1232" s="4" t="s">
        <v>9</v>
      </c>
      <c r="F1232" s="4" t="s">
        <v>20</v>
      </c>
      <c r="G1232" s="14">
        <v>1721.3218755011308</v>
      </c>
      <c r="H1232" s="15">
        <v>2295.0958340015077</v>
      </c>
    </row>
    <row r="1233" spans="1:8" x14ac:dyDescent="0.25">
      <c r="A1233" s="16">
        <v>20</v>
      </c>
      <c r="B1233" s="4" t="s">
        <v>8</v>
      </c>
      <c r="C1233" s="4">
        <v>20.100000000000001</v>
      </c>
      <c r="D1233" s="4">
        <v>0</v>
      </c>
      <c r="E1233" s="4" t="s">
        <v>9</v>
      </c>
      <c r="F1233" s="4" t="s">
        <v>21</v>
      </c>
      <c r="G1233" s="14">
        <v>1513.8630942320733</v>
      </c>
      <c r="H1233" s="15">
        <v>1781.0154049789107</v>
      </c>
    </row>
    <row r="1234" spans="1:8" x14ac:dyDescent="0.25">
      <c r="A1234" s="16">
        <v>54</v>
      </c>
      <c r="B1234" s="4" t="s">
        <v>8</v>
      </c>
      <c r="C1234" s="4">
        <v>24.6</v>
      </c>
      <c r="D1234" s="4">
        <v>3</v>
      </c>
      <c r="E1234" s="4" t="s">
        <v>12</v>
      </c>
      <c r="F1234" s="4" t="s">
        <v>20</v>
      </c>
      <c r="G1234" s="14">
        <v>1657.062372102127</v>
      </c>
      <c r="H1234" s="15">
        <v>2209.4164961361694</v>
      </c>
    </row>
    <row r="1235" spans="1:8" x14ac:dyDescent="0.25">
      <c r="A1235" s="16">
        <v>58</v>
      </c>
      <c r="B1235" s="4" t="s">
        <v>11</v>
      </c>
      <c r="C1235" s="4">
        <v>23.3</v>
      </c>
      <c r="D1235" s="4">
        <v>0</v>
      </c>
      <c r="E1235" s="4" t="s">
        <v>12</v>
      </c>
      <c r="F1235" s="4" t="s">
        <v>21</v>
      </c>
      <c r="G1235" s="14">
        <v>4731.0445013336412</v>
      </c>
      <c r="H1235" s="15">
        <v>4505.7566679368028</v>
      </c>
    </row>
    <row r="1236" spans="1:8" x14ac:dyDescent="0.25">
      <c r="A1236" s="16">
        <v>45</v>
      </c>
      <c r="B1236" s="4" t="s">
        <v>8</v>
      </c>
      <c r="C1236" s="4">
        <v>27.8</v>
      </c>
      <c r="D1236" s="4">
        <v>2</v>
      </c>
      <c r="E1236" s="4" t="s">
        <v>12</v>
      </c>
      <c r="F1236" s="4" t="s">
        <v>13</v>
      </c>
      <c r="G1236" s="14">
        <v>2651.2359472051598</v>
      </c>
      <c r="H1236" s="15">
        <v>3534.9812629402131</v>
      </c>
    </row>
    <row r="1237" spans="1:8" x14ac:dyDescent="0.25">
      <c r="A1237" s="16">
        <v>26</v>
      </c>
      <c r="B1237" s="4" t="s">
        <v>11</v>
      </c>
      <c r="C1237" s="4">
        <v>25.5</v>
      </c>
      <c r="D1237" s="4">
        <v>0</v>
      </c>
      <c r="E1237" s="4" t="s">
        <v>12</v>
      </c>
      <c r="F1237" s="4" t="s">
        <v>20</v>
      </c>
      <c r="G1237" s="14">
        <v>1595.119225154207</v>
      </c>
      <c r="H1237" s="15">
        <v>1876.6108531225973</v>
      </c>
    </row>
    <row r="1238" spans="1:8" x14ac:dyDescent="0.25">
      <c r="A1238" s="16">
        <v>63</v>
      </c>
      <c r="B1238" s="4" t="s">
        <v>8</v>
      </c>
      <c r="C1238" s="4">
        <v>21.7</v>
      </c>
      <c r="D1238" s="4">
        <v>0</v>
      </c>
      <c r="E1238" s="4" t="s">
        <v>12</v>
      </c>
      <c r="F1238" s="4" t="s">
        <v>15</v>
      </c>
      <c r="G1238" s="14">
        <v>5213.4082317937091</v>
      </c>
      <c r="H1238" s="15">
        <v>4965.1506969463908</v>
      </c>
    </row>
    <row r="1239" spans="1:8" x14ac:dyDescent="0.25">
      <c r="A1239" s="16">
        <v>58</v>
      </c>
      <c r="B1239" s="4" t="s">
        <v>8</v>
      </c>
      <c r="C1239" s="4">
        <v>28.2</v>
      </c>
      <c r="D1239" s="4">
        <v>0</v>
      </c>
      <c r="E1239" s="4" t="s">
        <v>12</v>
      </c>
      <c r="F1239" s="4" t="s">
        <v>20</v>
      </c>
      <c r="G1239" s="14">
        <v>4472.611400704247</v>
      </c>
      <c r="H1239" s="15">
        <v>4259.6299054326173</v>
      </c>
    </row>
    <row r="1240" spans="1:8" x14ac:dyDescent="0.25">
      <c r="A1240" s="16">
        <v>37</v>
      </c>
      <c r="B1240" s="4" t="s">
        <v>11</v>
      </c>
      <c r="C1240" s="4">
        <v>22.7</v>
      </c>
      <c r="D1240" s="4">
        <v>3</v>
      </c>
      <c r="E1240" s="4" t="s">
        <v>12</v>
      </c>
      <c r="F1240" s="4" t="s">
        <v>15</v>
      </c>
      <c r="G1240" s="14">
        <v>2013.1287970207986</v>
      </c>
      <c r="H1240" s="15">
        <v>2684.171729361065</v>
      </c>
    </row>
    <row r="1241" spans="1:8" x14ac:dyDescent="0.25">
      <c r="A1241" s="16">
        <v>25</v>
      </c>
      <c r="B1241" s="4" t="s">
        <v>8</v>
      </c>
      <c r="C1241" s="4">
        <v>21.3</v>
      </c>
      <c r="D1241" s="4">
        <v>1</v>
      </c>
      <c r="E1241" s="4" t="s">
        <v>12</v>
      </c>
      <c r="F1241" s="4" t="s">
        <v>13</v>
      </c>
      <c r="G1241" s="14">
        <v>2391.7840681069661</v>
      </c>
      <c r="H1241" s="15">
        <v>2813.8636095376082</v>
      </c>
    </row>
    <row r="1242" spans="1:8" x14ac:dyDescent="0.25">
      <c r="A1242" s="16">
        <v>52</v>
      </c>
      <c r="B1242" s="4" t="s">
        <v>11</v>
      </c>
      <c r="C1242" s="4">
        <v>41.8</v>
      </c>
      <c r="D1242" s="4">
        <v>2</v>
      </c>
      <c r="E1242" s="4" t="s">
        <v>9</v>
      </c>
      <c r="F1242" s="4" t="s">
        <v>13</v>
      </c>
      <c r="G1242" s="14">
        <v>1308.42828043498</v>
      </c>
      <c r="H1242" s="15">
        <v>1744.5710405799734</v>
      </c>
    </row>
    <row r="1243" spans="1:8" x14ac:dyDescent="0.25">
      <c r="A1243" s="16">
        <v>64</v>
      </c>
      <c r="B1243" s="4" t="s">
        <v>11</v>
      </c>
      <c r="C1243" s="4">
        <v>37</v>
      </c>
      <c r="D1243" s="4">
        <v>2</v>
      </c>
      <c r="E1243" s="4" t="s">
        <v>9</v>
      </c>
      <c r="F1243" s="4" t="s">
        <v>13</v>
      </c>
      <c r="G1243" s="14">
        <v>4809.5263616796947</v>
      </c>
      <c r="H1243" s="15">
        <v>4580.5012968378051</v>
      </c>
    </row>
    <row r="1244" spans="1:8" x14ac:dyDescent="0.25">
      <c r="A1244" s="16">
        <v>22</v>
      </c>
      <c r="B1244" s="4" t="s">
        <v>8</v>
      </c>
      <c r="C1244" s="4">
        <v>21.3</v>
      </c>
      <c r="D1244" s="4">
        <v>3</v>
      </c>
      <c r="E1244" s="4" t="s">
        <v>12</v>
      </c>
      <c r="F1244" s="4" t="s">
        <v>20</v>
      </c>
      <c r="G1244" s="14">
        <v>1454.1595188348492</v>
      </c>
      <c r="H1244" s="15">
        <v>1710.7759045115879</v>
      </c>
    </row>
    <row r="1245" spans="1:8" x14ac:dyDescent="0.25">
      <c r="A1245" s="16">
        <v>28</v>
      </c>
      <c r="B1245" s="4" t="s">
        <v>8</v>
      </c>
      <c r="C1245" s="4">
        <v>20.399999999999999</v>
      </c>
      <c r="D1245" s="4">
        <v>0</v>
      </c>
      <c r="E1245" s="4" t="s">
        <v>12</v>
      </c>
      <c r="F1245" s="4" t="s">
        <v>13</v>
      </c>
      <c r="G1245" s="14">
        <v>2025.7983389055348</v>
      </c>
      <c r="H1245" s="15">
        <v>2383.2921634182771</v>
      </c>
    </row>
    <row r="1246" spans="1:8" x14ac:dyDescent="0.25">
      <c r="A1246" s="16">
        <v>18</v>
      </c>
      <c r="B1246" s="4" t="s">
        <v>11</v>
      </c>
      <c r="C1246" s="4">
        <v>21.4</v>
      </c>
      <c r="D1246" s="4">
        <v>0</v>
      </c>
      <c r="E1246" s="4" t="s">
        <v>12</v>
      </c>
      <c r="F1246" s="4" t="s">
        <v>13</v>
      </c>
      <c r="G1246" s="14">
        <v>1582.1007352793411</v>
      </c>
      <c r="H1246" s="15">
        <v>1861.2949826815786</v>
      </c>
    </row>
    <row r="1247" spans="1:8" x14ac:dyDescent="0.25">
      <c r="A1247" s="16">
        <v>28</v>
      </c>
      <c r="B1247" s="4" t="s">
        <v>11</v>
      </c>
      <c r="C1247" s="4">
        <v>24.3</v>
      </c>
      <c r="D1247" s="4">
        <v>5</v>
      </c>
      <c r="E1247" s="4" t="s">
        <v>12</v>
      </c>
      <c r="F1247" s="4" t="s">
        <v>21</v>
      </c>
      <c r="G1247" s="14">
        <v>2480.7026106784474</v>
      </c>
      <c r="H1247" s="15">
        <v>3307.6034809045964</v>
      </c>
    </row>
    <row r="1248" spans="1:8" x14ac:dyDescent="0.25">
      <c r="A1248" s="16">
        <v>45</v>
      </c>
      <c r="B1248" s="4" t="s">
        <v>8</v>
      </c>
      <c r="C1248" s="4">
        <v>25.7</v>
      </c>
      <c r="D1248" s="4">
        <v>3</v>
      </c>
      <c r="E1248" s="4" t="s">
        <v>12</v>
      </c>
      <c r="F1248" s="4" t="s">
        <v>21</v>
      </c>
      <c r="G1248" s="14">
        <v>1671.8129564381181</v>
      </c>
      <c r="H1248" s="15">
        <v>2229.0839419174908</v>
      </c>
    </row>
    <row r="1249" spans="1:8" x14ac:dyDescent="0.25">
      <c r="A1249" s="16">
        <v>33</v>
      </c>
      <c r="B1249" s="4" t="s">
        <v>11</v>
      </c>
      <c r="C1249" s="4">
        <v>29.4</v>
      </c>
      <c r="D1249" s="4">
        <v>4</v>
      </c>
      <c r="E1249" s="4" t="s">
        <v>12</v>
      </c>
      <c r="F1249" s="4" t="s">
        <v>21</v>
      </c>
      <c r="G1249" s="14">
        <v>1704.8333101648452</v>
      </c>
      <c r="H1249" s="15">
        <v>2273.1110802197936</v>
      </c>
    </row>
    <row r="1250" spans="1:8" x14ac:dyDescent="0.25">
      <c r="A1250" s="16">
        <v>18</v>
      </c>
      <c r="B1250" s="4" t="s">
        <v>8</v>
      </c>
      <c r="C1250" s="4">
        <v>26</v>
      </c>
      <c r="D1250" s="4">
        <v>0</v>
      </c>
      <c r="E1250" s="4" t="s">
        <v>12</v>
      </c>
      <c r="F1250" s="4" t="s">
        <v>13</v>
      </c>
      <c r="G1250" s="14">
        <v>1901.6744429442617</v>
      </c>
      <c r="H1250" s="15">
        <v>2237.2640505226618</v>
      </c>
    </row>
    <row r="1251" spans="1:8" x14ac:dyDescent="0.25">
      <c r="A1251" s="16">
        <v>32</v>
      </c>
      <c r="B1251" s="4" t="s">
        <v>11</v>
      </c>
      <c r="C1251" s="4">
        <v>21.7</v>
      </c>
      <c r="D1251" s="4">
        <v>1</v>
      </c>
      <c r="E1251" s="4" t="s">
        <v>9</v>
      </c>
      <c r="F1251" s="4" t="s">
        <v>15</v>
      </c>
      <c r="G1251" s="14">
        <v>1772.1820376624241</v>
      </c>
      <c r="H1251" s="15">
        <v>2084.9200443087352</v>
      </c>
    </row>
    <row r="1252" spans="1:8" x14ac:dyDescent="0.25">
      <c r="A1252" s="16">
        <v>24</v>
      </c>
      <c r="B1252" s="4" t="s">
        <v>11</v>
      </c>
      <c r="C1252" s="4">
        <v>25.5</v>
      </c>
      <c r="D1252" s="4">
        <v>0</v>
      </c>
      <c r="E1252" s="4" t="s">
        <v>9</v>
      </c>
      <c r="F1252" s="4" t="s">
        <v>15</v>
      </c>
      <c r="G1252" s="14">
        <v>1867.2030239150915</v>
      </c>
      <c r="H1252" s="15">
        <v>2196.7094399001085</v>
      </c>
    </row>
    <row r="1253" spans="1:8" x14ac:dyDescent="0.25">
      <c r="A1253" s="16">
        <v>19</v>
      </c>
      <c r="B1253" s="4" t="s">
        <v>11</v>
      </c>
      <c r="C1253" s="4">
        <v>25.5</v>
      </c>
      <c r="D1253" s="4">
        <v>0</v>
      </c>
      <c r="E1253" s="4" t="s">
        <v>12</v>
      </c>
      <c r="F1253" s="4" t="s">
        <v>21</v>
      </c>
      <c r="G1253" s="14">
        <v>1802.6059633059999</v>
      </c>
      <c r="H1253" s="15">
        <v>2120.7128980070593</v>
      </c>
    </row>
    <row r="1254" spans="1:8" x14ac:dyDescent="0.25">
      <c r="A1254" s="16">
        <v>20</v>
      </c>
      <c r="B1254" s="4" t="s">
        <v>11</v>
      </c>
      <c r="C1254" s="4">
        <v>20.6</v>
      </c>
      <c r="D1254" s="4">
        <v>0</v>
      </c>
      <c r="E1254" s="4" t="s">
        <v>9</v>
      </c>
      <c r="F1254" s="4" t="s">
        <v>21</v>
      </c>
      <c r="G1254" s="14">
        <v>1696.2541618961693</v>
      </c>
      <c r="H1254" s="15">
        <v>1995.5931316425529</v>
      </c>
    </row>
    <row r="1255" spans="1:8" x14ac:dyDescent="0.25">
      <c r="A1255" s="16">
        <v>40</v>
      </c>
      <c r="B1255" s="4" t="s">
        <v>8</v>
      </c>
      <c r="C1255" s="4">
        <v>29.3</v>
      </c>
      <c r="D1255" s="4">
        <v>4</v>
      </c>
      <c r="E1255" s="4" t="s">
        <v>12</v>
      </c>
      <c r="F1255" s="4" t="s">
        <v>21</v>
      </c>
      <c r="G1255" s="14">
        <v>2282.8907700958707</v>
      </c>
      <c r="H1255" s="15">
        <v>3043.8543601278279</v>
      </c>
    </row>
    <row r="1256" spans="1:8" x14ac:dyDescent="0.25">
      <c r="A1256" s="16">
        <v>34</v>
      </c>
      <c r="B1256" s="4" t="s">
        <v>8</v>
      </c>
      <c r="C1256" s="4">
        <v>22.4</v>
      </c>
      <c r="D1256" s="4">
        <v>0</v>
      </c>
      <c r="E1256" s="4" t="s">
        <v>12</v>
      </c>
      <c r="F1256" s="4" t="s">
        <v>13</v>
      </c>
      <c r="G1256" s="14">
        <v>1667.112915142684</v>
      </c>
      <c r="H1256" s="15">
        <v>1961.3093119325702</v>
      </c>
    </row>
    <row r="1257" spans="1:8" x14ac:dyDescent="0.25">
      <c r="A1257" s="16">
        <v>42</v>
      </c>
      <c r="B1257" s="4" t="s">
        <v>8</v>
      </c>
      <c r="C1257" s="4">
        <v>37.9</v>
      </c>
      <c r="D1257" s="4">
        <v>0</v>
      </c>
      <c r="E1257" s="4" t="s">
        <v>12</v>
      </c>
      <c r="F1257" s="4" t="s">
        <v>21</v>
      </c>
      <c r="G1257" s="14">
        <v>5256.3938820431167</v>
      </c>
      <c r="H1257" s="15">
        <v>5006.0894114696357</v>
      </c>
    </row>
    <row r="1258" spans="1:8" x14ac:dyDescent="0.25">
      <c r="A1258" s="16">
        <v>51</v>
      </c>
      <c r="B1258" s="4" t="s">
        <v>8</v>
      </c>
      <c r="C1258" s="4">
        <v>36.4</v>
      </c>
      <c r="D1258" s="4">
        <v>3</v>
      </c>
      <c r="E1258" s="4" t="s">
        <v>12</v>
      </c>
      <c r="F1258" s="4" t="s">
        <v>20</v>
      </c>
      <c r="G1258" s="14">
        <v>1378.0200245154804</v>
      </c>
      <c r="H1258" s="15">
        <v>1837.3600326873072</v>
      </c>
    </row>
    <row r="1259" spans="1:8" x14ac:dyDescent="0.25">
      <c r="A1259" s="16">
        <v>54</v>
      </c>
      <c r="B1259" s="4" t="s">
        <v>8</v>
      </c>
      <c r="C1259" s="4">
        <v>27.6</v>
      </c>
      <c r="D1259" s="4">
        <v>1</v>
      </c>
      <c r="E1259" s="4" t="s">
        <v>12</v>
      </c>
      <c r="F1259" s="4" t="s">
        <v>20</v>
      </c>
      <c r="G1259" s="14">
        <v>4483.4063400766518</v>
      </c>
      <c r="H1259" s="15">
        <v>4269.910800073003</v>
      </c>
    </row>
    <row r="1260" spans="1:8" x14ac:dyDescent="0.25">
      <c r="A1260" s="16">
        <v>55</v>
      </c>
      <c r="B1260" s="4" t="s">
        <v>11</v>
      </c>
      <c r="C1260" s="4">
        <v>37.700000000000003</v>
      </c>
      <c r="D1260" s="4">
        <v>3</v>
      </c>
      <c r="E1260" s="4" t="s">
        <v>12</v>
      </c>
      <c r="F1260" s="4" t="s">
        <v>20</v>
      </c>
      <c r="G1260" s="14">
        <v>3218.1975594007763</v>
      </c>
      <c r="H1260" s="15">
        <v>4290.9300792010354</v>
      </c>
    </row>
    <row r="1261" spans="1:8" x14ac:dyDescent="0.25">
      <c r="A1261" s="16">
        <v>52</v>
      </c>
      <c r="B1261" s="4" t="s">
        <v>8</v>
      </c>
      <c r="C1261" s="4">
        <v>23.2</v>
      </c>
      <c r="D1261" s="4">
        <v>0</v>
      </c>
      <c r="E1261" s="4" t="s">
        <v>12</v>
      </c>
      <c r="F1261" s="4" t="s">
        <v>15</v>
      </c>
      <c r="G1261" s="14">
        <v>4002.0483300688602</v>
      </c>
      <c r="H1261" s="15">
        <v>3811.4746000655828</v>
      </c>
    </row>
    <row r="1262" spans="1:8" x14ac:dyDescent="0.25">
      <c r="A1262" s="16">
        <v>32</v>
      </c>
      <c r="B1262" s="4" t="s">
        <v>8</v>
      </c>
      <c r="C1262" s="4">
        <v>24.2</v>
      </c>
      <c r="D1262" s="4">
        <v>0</v>
      </c>
      <c r="E1262" s="4" t="s">
        <v>12</v>
      </c>
      <c r="F1262" s="4" t="s">
        <v>15</v>
      </c>
      <c r="G1262" s="14">
        <v>1796.0321970090831</v>
      </c>
      <c r="H1262" s="15">
        <v>2112.9790553048042</v>
      </c>
    </row>
    <row r="1263" spans="1:8" x14ac:dyDescent="0.25">
      <c r="A1263" s="16">
        <v>28</v>
      </c>
      <c r="B1263" s="4" t="s">
        <v>11</v>
      </c>
      <c r="C1263" s="4">
        <v>23.9</v>
      </c>
      <c r="D1263" s="4">
        <v>1</v>
      </c>
      <c r="E1263" s="4" t="s">
        <v>12</v>
      </c>
      <c r="F1263" s="4" t="s">
        <v>21</v>
      </c>
      <c r="G1263" s="14">
        <v>1950.2814419891849</v>
      </c>
      <c r="H1263" s="15">
        <v>2294.4487552813944</v>
      </c>
    </row>
    <row r="1264" spans="1:8" x14ac:dyDescent="0.25">
      <c r="A1264" s="16">
        <v>41</v>
      </c>
      <c r="B1264" s="4" t="s">
        <v>8</v>
      </c>
      <c r="C1264" s="4">
        <v>28.1</v>
      </c>
      <c r="D1264" s="4">
        <v>1</v>
      </c>
      <c r="E1264" s="4" t="s">
        <v>12</v>
      </c>
      <c r="F1264" s="4" t="s">
        <v>13</v>
      </c>
      <c r="G1264" s="14">
        <v>4531.051888680583</v>
      </c>
      <c r="H1264" s="15">
        <v>4315.2875130291286</v>
      </c>
    </row>
    <row r="1265" spans="1:8" x14ac:dyDescent="0.25">
      <c r="A1265" s="16">
        <v>43</v>
      </c>
      <c r="B1265" s="4" t="s">
        <v>8</v>
      </c>
      <c r="C1265" s="4">
        <v>29.9</v>
      </c>
      <c r="D1265" s="4">
        <v>1</v>
      </c>
      <c r="E1265" s="4" t="s">
        <v>12</v>
      </c>
      <c r="F1265" s="4" t="s">
        <v>21</v>
      </c>
      <c r="G1265" s="14">
        <v>5470.2585805715207</v>
      </c>
      <c r="H1265" s="15">
        <v>5209.7700767347833</v>
      </c>
    </row>
    <row r="1266" spans="1:8" x14ac:dyDescent="0.25">
      <c r="A1266" s="16">
        <v>49</v>
      </c>
      <c r="B1266" s="4" t="s">
        <v>8</v>
      </c>
      <c r="C1266" s="4">
        <v>33.299999999999997</v>
      </c>
      <c r="D1266" s="4">
        <v>2</v>
      </c>
      <c r="E1266" s="4" t="s">
        <v>12</v>
      </c>
      <c r="F1266" s="4" t="s">
        <v>15</v>
      </c>
      <c r="G1266" s="14">
        <v>2940.2828070675068</v>
      </c>
      <c r="H1266" s="15">
        <v>3920.3770760900093</v>
      </c>
    </row>
    <row r="1267" spans="1:8" x14ac:dyDescent="0.25">
      <c r="A1267" s="16">
        <v>64</v>
      </c>
      <c r="B1267" s="4" t="s">
        <v>11</v>
      </c>
      <c r="C1267" s="4">
        <v>23.8</v>
      </c>
      <c r="D1267" s="4">
        <v>0</v>
      </c>
      <c r="E1267" s="4" t="s">
        <v>9</v>
      </c>
      <c r="F1267" s="4" t="s">
        <v>13</v>
      </c>
      <c r="G1267" s="14">
        <v>3840.0645448038185</v>
      </c>
      <c r="H1267" s="15">
        <v>3657.2043283845906</v>
      </c>
    </row>
    <row r="1268" spans="1:8" x14ac:dyDescent="0.25">
      <c r="A1268" s="16">
        <v>55</v>
      </c>
      <c r="B1268" s="4" t="s">
        <v>8</v>
      </c>
      <c r="C1268" s="4">
        <v>30.5</v>
      </c>
      <c r="D1268" s="4">
        <v>0</v>
      </c>
      <c r="E1268" s="4" t="s">
        <v>12</v>
      </c>
      <c r="F1268" s="4" t="s">
        <v>21</v>
      </c>
      <c r="G1268" s="14">
        <v>5106.2317807826648</v>
      </c>
      <c r="H1268" s="15">
        <v>4863.0778864596823</v>
      </c>
    </row>
    <row r="1269" spans="1:8" x14ac:dyDescent="0.25">
      <c r="A1269" s="16">
        <v>24</v>
      </c>
      <c r="B1269" s="4" t="s">
        <v>11</v>
      </c>
      <c r="C1269" s="4">
        <v>23.2</v>
      </c>
      <c r="D1269" s="4">
        <v>0</v>
      </c>
      <c r="E1269" s="4" t="s">
        <v>9</v>
      </c>
      <c r="F1269" s="4" t="s">
        <v>15</v>
      </c>
      <c r="G1269" s="14">
        <v>1572.6805246042024</v>
      </c>
      <c r="H1269" s="15">
        <v>1850.2123818872976</v>
      </c>
    </row>
    <row r="1270" spans="1:8" x14ac:dyDescent="0.25">
      <c r="A1270" s="16">
        <v>20</v>
      </c>
      <c r="B1270" s="4" t="s">
        <v>8</v>
      </c>
      <c r="C1270" s="4">
        <v>25.4</v>
      </c>
      <c r="D1270" s="4">
        <v>0</v>
      </c>
      <c r="E1270" s="4" t="s">
        <v>12</v>
      </c>
      <c r="F1270" s="4" t="s">
        <v>21</v>
      </c>
      <c r="G1270" s="14">
        <v>1605.0955086742042</v>
      </c>
      <c r="H1270" s="15">
        <v>1888.3476572637703</v>
      </c>
    </row>
    <row r="1271" spans="1:8" x14ac:dyDescent="0.25">
      <c r="A1271" s="16">
        <v>45</v>
      </c>
      <c r="B1271" s="4" t="s">
        <v>11</v>
      </c>
      <c r="C1271" s="4">
        <v>27.5</v>
      </c>
      <c r="D1271" s="4">
        <v>3</v>
      </c>
      <c r="E1271" s="4" t="s">
        <v>12</v>
      </c>
      <c r="F1271" s="4" t="s">
        <v>21</v>
      </c>
      <c r="G1271" s="14">
        <v>2935.0010525239868</v>
      </c>
      <c r="H1271" s="15">
        <v>3913.3347366986491</v>
      </c>
    </row>
    <row r="1272" spans="1:8" x14ac:dyDescent="0.25">
      <c r="A1272" s="16">
        <v>26</v>
      </c>
      <c r="B1272" s="4" t="s">
        <v>11</v>
      </c>
      <c r="C1272" s="4">
        <v>22.7</v>
      </c>
      <c r="D1272" s="4">
        <v>1</v>
      </c>
      <c r="E1272" s="4" t="s">
        <v>12</v>
      </c>
      <c r="F1272" s="4" t="s">
        <v>20</v>
      </c>
      <c r="G1272" s="14">
        <v>1848.5103218611544</v>
      </c>
      <c r="H1272" s="15">
        <v>2174.7180257190057</v>
      </c>
    </row>
    <row r="1273" spans="1:8" x14ac:dyDescent="0.25">
      <c r="A1273" s="16">
        <v>25</v>
      </c>
      <c r="B1273" s="4" t="s">
        <v>8</v>
      </c>
      <c r="C1273" s="4">
        <v>24.2</v>
      </c>
      <c r="D1273" s="4">
        <v>0</v>
      </c>
      <c r="E1273" s="4" t="s">
        <v>12</v>
      </c>
      <c r="F1273" s="4" t="s">
        <v>20</v>
      </c>
      <c r="G1273" s="14">
        <v>1912.2199961342476</v>
      </c>
      <c r="H1273" s="15">
        <v>2249.6705836873507</v>
      </c>
    </row>
    <row r="1274" spans="1:8" x14ac:dyDescent="0.25">
      <c r="A1274" s="16">
        <v>43</v>
      </c>
      <c r="B1274" s="4" t="s">
        <v>11</v>
      </c>
      <c r="C1274" s="4">
        <v>25.5</v>
      </c>
      <c r="D1274" s="4">
        <v>5</v>
      </c>
      <c r="E1274" s="4" t="s">
        <v>12</v>
      </c>
      <c r="F1274" s="4" t="s">
        <v>13</v>
      </c>
      <c r="G1274" s="14">
        <v>2947.2770989008072</v>
      </c>
      <c r="H1274" s="15">
        <v>3929.7027985344098</v>
      </c>
    </row>
    <row r="1275" spans="1:8" x14ac:dyDescent="0.25">
      <c r="A1275" s="16">
        <v>35</v>
      </c>
      <c r="B1275" s="4" t="s">
        <v>11</v>
      </c>
      <c r="C1275" s="4">
        <v>25.2</v>
      </c>
      <c r="D1275" s="4">
        <v>1</v>
      </c>
      <c r="E1275" s="4" t="s">
        <v>12</v>
      </c>
      <c r="F1275" s="4" t="s">
        <v>13</v>
      </c>
      <c r="G1275" s="14">
        <v>1727.566067495201</v>
      </c>
      <c r="H1275" s="15">
        <v>2032.4306676414135</v>
      </c>
    </row>
    <row r="1276" spans="1:8" x14ac:dyDescent="0.25">
      <c r="A1276" s="16">
        <v>26</v>
      </c>
      <c r="B1276" s="4" t="s">
        <v>11</v>
      </c>
      <c r="C1276" s="4">
        <v>20.5</v>
      </c>
      <c r="D1276" s="4">
        <v>0</v>
      </c>
      <c r="E1276" s="4" t="s">
        <v>9</v>
      </c>
      <c r="F1276" s="4" t="s">
        <v>13</v>
      </c>
      <c r="G1276" s="14">
        <v>1561.9941246023066</v>
      </c>
      <c r="H1276" s="15">
        <v>1837.6401465909498</v>
      </c>
    </row>
    <row r="1277" spans="1:8" x14ac:dyDescent="0.25">
      <c r="A1277" s="16">
        <v>57</v>
      </c>
      <c r="B1277" s="4" t="s">
        <v>11</v>
      </c>
      <c r="C1277" s="4">
        <v>23.7</v>
      </c>
      <c r="D1277" s="4">
        <v>0</v>
      </c>
      <c r="E1277" s="4" t="s">
        <v>12</v>
      </c>
      <c r="F1277" s="4" t="s">
        <v>21</v>
      </c>
      <c r="G1277" s="14">
        <v>5971.4341003683003</v>
      </c>
      <c r="H1277" s="15">
        <v>5687.080095588859</v>
      </c>
    </row>
    <row r="1278" spans="1:8" x14ac:dyDescent="0.25">
      <c r="A1278" s="16">
        <v>22</v>
      </c>
      <c r="B1278" s="4" t="s">
        <v>8</v>
      </c>
      <c r="C1278" s="4">
        <v>23.1</v>
      </c>
      <c r="D1278" s="4">
        <v>0</v>
      </c>
      <c r="E1278" s="4" t="s">
        <v>12</v>
      </c>
      <c r="F1278" s="4" t="s">
        <v>15</v>
      </c>
      <c r="G1278" s="14">
        <v>2266.1935681554864</v>
      </c>
      <c r="H1278" s="15">
        <v>2666.1100801829257</v>
      </c>
    </row>
    <row r="1279" spans="1:8" x14ac:dyDescent="0.25">
      <c r="A1279" s="16">
        <v>32</v>
      </c>
      <c r="B1279" s="4" t="s">
        <v>8</v>
      </c>
      <c r="C1279" s="4">
        <v>22.8</v>
      </c>
      <c r="D1279" s="4">
        <v>0</v>
      </c>
      <c r="E1279" s="4" t="s">
        <v>12</v>
      </c>
      <c r="F1279" s="4" t="s">
        <v>20</v>
      </c>
      <c r="G1279" s="14">
        <v>1654.2634890991922</v>
      </c>
      <c r="H1279" s="15">
        <v>1946.1923401166973</v>
      </c>
    </row>
    <row r="1280" spans="1:8" x14ac:dyDescent="0.25">
      <c r="A1280" s="16">
        <v>39</v>
      </c>
      <c r="B1280" s="4" t="s">
        <v>11</v>
      </c>
      <c r="C1280" s="4">
        <v>23.8</v>
      </c>
      <c r="D1280" s="4">
        <v>1</v>
      </c>
      <c r="E1280" s="4" t="s">
        <v>9</v>
      </c>
      <c r="F1280" s="4" t="s">
        <v>15</v>
      </c>
      <c r="G1280" s="14">
        <v>1703.8473752789525</v>
      </c>
      <c r="H1280" s="15">
        <v>2004.5263238575922</v>
      </c>
    </row>
    <row r="1281" spans="1:8" x14ac:dyDescent="0.25">
      <c r="A1281" s="16">
        <v>25</v>
      </c>
      <c r="B1281" s="4" t="s">
        <v>8</v>
      </c>
      <c r="C1281" s="4">
        <v>22.4</v>
      </c>
      <c r="D1281" s="4">
        <v>2</v>
      </c>
      <c r="E1281" s="4" t="s">
        <v>12</v>
      </c>
      <c r="F1281" s="4" t="s">
        <v>20</v>
      </c>
      <c r="G1281" s="14">
        <v>1495.9110486863713</v>
      </c>
      <c r="H1281" s="15">
        <v>1759.8953513957317</v>
      </c>
    </row>
    <row r="1282" spans="1:8" x14ac:dyDescent="0.25">
      <c r="A1282" s="16">
        <v>48</v>
      </c>
      <c r="B1282" s="4" t="s">
        <v>8</v>
      </c>
      <c r="C1282" s="4">
        <v>33.299999999999997</v>
      </c>
      <c r="D1282" s="4">
        <v>0</v>
      </c>
      <c r="E1282" s="4" t="s">
        <v>12</v>
      </c>
      <c r="F1282" s="4" t="s">
        <v>13</v>
      </c>
      <c r="G1282" s="14">
        <v>5526.7870087418278</v>
      </c>
      <c r="H1282" s="15">
        <v>5263.6066749922184</v>
      </c>
    </row>
    <row r="1283" spans="1:8" x14ac:dyDescent="0.25">
      <c r="A1283" s="16">
        <v>47</v>
      </c>
      <c r="B1283" s="4" t="s">
        <v>8</v>
      </c>
      <c r="C1283" s="4">
        <v>27.6</v>
      </c>
      <c r="D1283" s="4">
        <v>2</v>
      </c>
      <c r="E1283" s="4" t="s">
        <v>9</v>
      </c>
      <c r="F1283" s="4" t="s">
        <v>20</v>
      </c>
      <c r="G1283" s="14">
        <v>1176.8648891736045</v>
      </c>
      <c r="H1283" s="15">
        <v>1569.1531855648061</v>
      </c>
    </row>
    <row r="1284" spans="1:8" x14ac:dyDescent="0.25">
      <c r="A1284" s="16">
        <v>18</v>
      </c>
      <c r="B1284" s="4" t="s">
        <v>8</v>
      </c>
      <c r="C1284" s="4">
        <v>24.3</v>
      </c>
      <c r="D1284" s="4">
        <v>0</v>
      </c>
      <c r="E1284" s="4" t="s">
        <v>9</v>
      </c>
      <c r="F1284" s="4" t="s">
        <v>15</v>
      </c>
      <c r="G1284" s="14">
        <v>1264.7779868591736</v>
      </c>
      <c r="H1284" s="15">
        <v>1487.974102187264</v>
      </c>
    </row>
    <row r="1285" spans="1:8" x14ac:dyDescent="0.25">
      <c r="A1285" s="16">
        <v>18</v>
      </c>
      <c r="B1285" s="4" t="s">
        <v>11</v>
      </c>
      <c r="C1285" s="4">
        <v>25.9</v>
      </c>
      <c r="D1285" s="4">
        <v>1</v>
      </c>
      <c r="E1285" s="4" t="s">
        <v>12</v>
      </c>
      <c r="F1285" s="4" t="s">
        <v>13</v>
      </c>
      <c r="G1285" s="14">
        <v>1955.1746236695865</v>
      </c>
      <c r="H1285" s="15">
        <v>2300.2054396112794</v>
      </c>
    </row>
    <row r="1286" spans="1:8" x14ac:dyDescent="0.25">
      <c r="A1286" s="16">
        <v>61</v>
      </c>
      <c r="B1286" s="4" t="s">
        <v>11</v>
      </c>
      <c r="C1286" s="4">
        <v>36.299999999999997</v>
      </c>
      <c r="D1286" s="4">
        <v>1</v>
      </c>
      <c r="E1286" s="4" t="s">
        <v>9</v>
      </c>
      <c r="F1286" s="4" t="s">
        <v>21</v>
      </c>
      <c r="G1286" s="14">
        <v>5764.1091146938452</v>
      </c>
      <c r="H1286" s="15">
        <v>5489.6277282798537</v>
      </c>
    </row>
    <row r="1287" spans="1:8" x14ac:dyDescent="0.25">
      <c r="A1287" s="16">
        <v>47</v>
      </c>
      <c r="B1287" s="4" t="s">
        <v>8</v>
      </c>
      <c r="C1287" s="4">
        <v>24.3</v>
      </c>
      <c r="D1287" s="4">
        <v>0</v>
      </c>
      <c r="E1287" s="4" t="s">
        <v>12</v>
      </c>
      <c r="F1287" s="4" t="s">
        <v>15</v>
      </c>
      <c r="G1287" s="14">
        <v>3576.8055352723632</v>
      </c>
      <c r="H1287" s="15">
        <v>3406.4814621641572</v>
      </c>
    </row>
    <row r="1288" spans="1:8" x14ac:dyDescent="0.25">
      <c r="A1288" s="16">
        <v>28</v>
      </c>
      <c r="B1288" s="4" t="s">
        <v>8</v>
      </c>
      <c r="C1288" s="4">
        <v>22.6</v>
      </c>
      <c r="D1288" s="4">
        <v>0</v>
      </c>
      <c r="E1288" s="4" t="s">
        <v>12</v>
      </c>
      <c r="F1288" s="4" t="s">
        <v>15</v>
      </c>
      <c r="G1288" s="14">
        <v>1728.3750891205996</v>
      </c>
      <c r="H1288" s="15">
        <v>2033.3824577889413</v>
      </c>
    </row>
    <row r="1289" spans="1:8" x14ac:dyDescent="0.25">
      <c r="A1289" s="16">
        <v>36</v>
      </c>
      <c r="B1289" s="4" t="s">
        <v>8</v>
      </c>
      <c r="C1289" s="4">
        <v>22.8</v>
      </c>
      <c r="D1289" s="4">
        <v>1</v>
      </c>
      <c r="E1289" s="4" t="s">
        <v>12</v>
      </c>
      <c r="F1289" s="4" t="s">
        <v>21</v>
      </c>
      <c r="G1289" s="14">
        <v>2560.220607490367</v>
      </c>
      <c r="H1289" s="15">
        <v>3012.0242441063156</v>
      </c>
    </row>
    <row r="1290" spans="1:8" x14ac:dyDescent="0.25">
      <c r="A1290" s="16">
        <v>20</v>
      </c>
      <c r="B1290" s="4" t="s">
        <v>11</v>
      </c>
      <c r="C1290" s="4">
        <v>39.4</v>
      </c>
      <c r="D1290" s="4">
        <v>2</v>
      </c>
      <c r="E1290" s="4" t="s">
        <v>9</v>
      </c>
      <c r="F1290" s="4" t="s">
        <v>21</v>
      </c>
      <c r="G1290" s="14">
        <v>1861.4778477023851</v>
      </c>
      <c r="H1290" s="15">
        <v>2481.9704636031802</v>
      </c>
    </row>
    <row r="1291" spans="1:8" x14ac:dyDescent="0.25">
      <c r="A1291" s="16">
        <v>44</v>
      </c>
      <c r="B1291" s="4" t="s">
        <v>11</v>
      </c>
      <c r="C1291" s="4">
        <v>34.299999999999997</v>
      </c>
      <c r="D1291" s="4">
        <v>1</v>
      </c>
      <c r="E1291" s="4" t="s">
        <v>12</v>
      </c>
      <c r="F1291" s="4" t="s">
        <v>13</v>
      </c>
      <c r="G1291" s="14">
        <v>4799.8251709928172</v>
      </c>
      <c r="H1291" s="15">
        <v>4571.2620676122087</v>
      </c>
    </row>
    <row r="1292" spans="1:8" x14ac:dyDescent="0.25">
      <c r="A1292" s="16">
        <v>38</v>
      </c>
      <c r="B1292" s="4" t="s">
        <v>8</v>
      </c>
      <c r="C1292" s="4">
        <v>20</v>
      </c>
      <c r="D1292" s="4">
        <v>2</v>
      </c>
      <c r="E1292" s="4" t="s">
        <v>12</v>
      </c>
      <c r="F1292" s="4" t="s">
        <v>15</v>
      </c>
      <c r="G1292" s="14">
        <v>1994.6651291673854</v>
      </c>
      <c r="H1292" s="15">
        <v>2346.6648578439836</v>
      </c>
    </row>
    <row r="1293" spans="1:8" x14ac:dyDescent="0.25">
      <c r="A1293" s="16">
        <v>19</v>
      </c>
      <c r="B1293" s="4" t="s">
        <v>11</v>
      </c>
      <c r="C1293" s="4">
        <v>24.3</v>
      </c>
      <c r="D1293" s="4">
        <v>0</v>
      </c>
      <c r="E1293" s="4" t="s">
        <v>9</v>
      </c>
      <c r="F1293" s="4" t="s">
        <v>21</v>
      </c>
      <c r="G1293" s="14">
        <v>1387.0384667967342</v>
      </c>
      <c r="H1293" s="15">
        <v>1631.8099609373353</v>
      </c>
    </row>
    <row r="1294" spans="1:8" x14ac:dyDescent="0.25">
      <c r="A1294" s="16">
        <v>21</v>
      </c>
      <c r="B1294" s="4" t="s">
        <v>11</v>
      </c>
      <c r="C1294" s="4">
        <v>21.5</v>
      </c>
      <c r="D1294" s="4">
        <v>0</v>
      </c>
      <c r="E1294" s="4" t="s">
        <v>12</v>
      </c>
      <c r="F1294" s="4" t="s">
        <v>13</v>
      </c>
      <c r="G1294" s="14">
        <v>2015.1857724924239</v>
      </c>
      <c r="H1294" s="15">
        <v>2370.8067911675585</v>
      </c>
    </row>
    <row r="1295" spans="1:8" x14ac:dyDescent="0.25">
      <c r="A1295" s="16">
        <v>46</v>
      </c>
      <c r="B1295" s="4" t="s">
        <v>11</v>
      </c>
      <c r="C1295" s="4">
        <v>25.7</v>
      </c>
      <c r="D1295" s="4">
        <v>3</v>
      </c>
      <c r="E1295" s="4" t="s">
        <v>12</v>
      </c>
      <c r="F1295" s="4" t="s">
        <v>20</v>
      </c>
      <c r="G1295" s="14">
        <v>1211.8944033461078</v>
      </c>
      <c r="H1295" s="15">
        <v>1615.859204461477</v>
      </c>
    </row>
    <row r="1296" spans="1:8" x14ac:dyDescent="0.25">
      <c r="A1296" s="16">
        <v>58</v>
      </c>
      <c r="B1296" s="4" t="s">
        <v>11</v>
      </c>
      <c r="C1296" s="4">
        <v>25.2</v>
      </c>
      <c r="D1296" s="4">
        <v>0</v>
      </c>
      <c r="E1296" s="4" t="s">
        <v>12</v>
      </c>
      <c r="F1296" s="4" t="s">
        <v>15</v>
      </c>
      <c r="G1296" s="14">
        <v>3773.360826959421</v>
      </c>
      <c r="H1296" s="15">
        <v>3593.6769780565928</v>
      </c>
    </row>
    <row r="1297" spans="1:8" x14ac:dyDescent="0.25">
      <c r="A1297" s="16">
        <v>20</v>
      </c>
      <c r="B1297" s="4" t="s">
        <v>11</v>
      </c>
      <c r="C1297" s="4">
        <v>25.3</v>
      </c>
      <c r="D1297" s="4">
        <v>1</v>
      </c>
      <c r="E1297" s="4" t="s">
        <v>12</v>
      </c>
      <c r="F1297" s="4" t="s">
        <v>21</v>
      </c>
      <c r="G1297" s="14">
        <v>1710.5549306252608</v>
      </c>
      <c r="H1297" s="15">
        <v>2012.4175654414842</v>
      </c>
    </row>
    <row r="1298" spans="1:8" x14ac:dyDescent="0.25">
      <c r="A1298" s="16">
        <v>18</v>
      </c>
      <c r="B1298" s="4" t="s">
        <v>11</v>
      </c>
      <c r="C1298" s="4">
        <v>20.3</v>
      </c>
      <c r="D1298" s="4">
        <v>0</v>
      </c>
      <c r="E1298" s="4" t="s">
        <v>12</v>
      </c>
      <c r="F1298" s="4" t="s">
        <v>15</v>
      </c>
      <c r="G1298" s="14">
        <v>2230.2911972196266</v>
      </c>
      <c r="H1298" s="15">
        <v>2623.8719967289735</v>
      </c>
    </row>
    <row r="1299" spans="1:8" x14ac:dyDescent="0.25">
      <c r="A1299" s="16">
        <v>28</v>
      </c>
      <c r="B1299" s="4" t="s">
        <v>8</v>
      </c>
      <c r="C1299" s="4">
        <v>26.5</v>
      </c>
      <c r="D1299" s="4">
        <v>2</v>
      </c>
      <c r="E1299" s="4" t="s">
        <v>12</v>
      </c>
      <c r="F1299" s="4" t="s">
        <v>13</v>
      </c>
      <c r="G1299" s="14">
        <v>2051.0031612942639</v>
      </c>
      <c r="H1299" s="15">
        <v>2412.9448956403112</v>
      </c>
    </row>
    <row r="1300" spans="1:8" x14ac:dyDescent="0.25">
      <c r="A1300" s="16">
        <v>33</v>
      </c>
      <c r="B1300" s="4" t="s">
        <v>11</v>
      </c>
      <c r="C1300" s="4">
        <v>27.5</v>
      </c>
      <c r="D1300" s="4">
        <v>2</v>
      </c>
      <c r="E1300" s="4" t="s">
        <v>12</v>
      </c>
      <c r="F1300" s="4" t="s">
        <v>20</v>
      </c>
      <c r="G1300" s="14">
        <v>1351.4976267823856</v>
      </c>
      <c r="H1300" s="15">
        <v>1801.9968357098476</v>
      </c>
    </row>
    <row r="1301" spans="1:8" x14ac:dyDescent="0.25">
      <c r="A1301" s="16">
        <v>19</v>
      </c>
      <c r="B1301" s="4" t="s">
        <v>8</v>
      </c>
      <c r="C1301" s="4">
        <v>21.2</v>
      </c>
      <c r="D1301" s="4">
        <v>1</v>
      </c>
      <c r="E1301" s="4" t="s">
        <v>12</v>
      </c>
      <c r="F1301" s="4" t="s">
        <v>20</v>
      </c>
      <c r="G1301" s="14">
        <v>2148.5207729465064</v>
      </c>
      <c r="H1301" s="15">
        <v>2527.6714975841255</v>
      </c>
    </row>
    <row r="1302" spans="1:8" x14ac:dyDescent="0.25">
      <c r="A1302" s="16">
        <v>45</v>
      </c>
      <c r="B1302" s="4" t="s">
        <v>11</v>
      </c>
      <c r="C1302" s="4">
        <v>30.4</v>
      </c>
      <c r="D1302" s="4">
        <v>0</v>
      </c>
      <c r="E1302" s="4" t="s">
        <v>9</v>
      </c>
      <c r="F1302" s="4" t="s">
        <v>13</v>
      </c>
      <c r="G1302" s="14">
        <v>3810.5434905561442</v>
      </c>
      <c r="H1302" s="15">
        <v>3629.0890386249007</v>
      </c>
    </row>
    <row r="1303" spans="1:8" x14ac:dyDescent="0.25">
      <c r="A1303" s="16">
        <v>62</v>
      </c>
      <c r="B1303" s="4" t="s">
        <v>11</v>
      </c>
      <c r="C1303" s="4">
        <v>30.9</v>
      </c>
      <c r="D1303" s="4">
        <v>3</v>
      </c>
      <c r="E1303" s="4" t="s">
        <v>9</v>
      </c>
      <c r="F1303" s="4" t="s">
        <v>20</v>
      </c>
      <c r="G1303" s="14">
        <v>1265.6618874283959</v>
      </c>
      <c r="H1303" s="15">
        <v>1687.5491832378611</v>
      </c>
    </row>
    <row r="1304" spans="1:8" x14ac:dyDescent="0.25">
      <c r="A1304" s="16">
        <v>25</v>
      </c>
      <c r="B1304" s="4" t="s">
        <v>8</v>
      </c>
      <c r="C1304" s="4">
        <v>20</v>
      </c>
      <c r="D1304" s="4">
        <v>1</v>
      </c>
      <c r="E1304" s="4" t="s">
        <v>12</v>
      </c>
      <c r="F1304" s="4" t="s">
        <v>21</v>
      </c>
      <c r="G1304" s="14">
        <v>2119.5946155861702</v>
      </c>
      <c r="H1304" s="15">
        <v>2493.6407242190248</v>
      </c>
    </row>
    <row r="1305" spans="1:8" x14ac:dyDescent="0.25">
      <c r="A1305" s="16">
        <v>43</v>
      </c>
      <c r="B1305" s="4" t="s">
        <v>11</v>
      </c>
      <c r="C1305" s="4">
        <v>27.8</v>
      </c>
      <c r="D1305" s="4">
        <v>0</v>
      </c>
      <c r="E1305" s="4" t="s">
        <v>9</v>
      </c>
      <c r="F1305" s="4" t="s">
        <v>21</v>
      </c>
      <c r="G1305" s="14">
        <v>3445.4641765153729</v>
      </c>
      <c r="H1305" s="15">
        <v>3281.3944538241667</v>
      </c>
    </row>
    <row r="1306" spans="1:8" x14ac:dyDescent="0.25">
      <c r="A1306" s="16">
        <v>42</v>
      </c>
      <c r="B1306" s="4" t="s">
        <v>11</v>
      </c>
      <c r="C1306" s="4">
        <v>24.6</v>
      </c>
      <c r="D1306" s="4">
        <v>2</v>
      </c>
      <c r="E1306" s="4" t="s">
        <v>9</v>
      </c>
      <c r="F1306" s="4" t="s">
        <v>15</v>
      </c>
      <c r="G1306" s="14">
        <v>1398.7017584237785</v>
      </c>
      <c r="H1306" s="15">
        <v>1864.9356778983713</v>
      </c>
    </row>
    <row r="1307" spans="1:8" x14ac:dyDescent="0.25">
      <c r="A1307" s="16">
        <v>24</v>
      </c>
      <c r="B1307" s="4" t="s">
        <v>8</v>
      </c>
      <c r="C1307" s="4">
        <v>24.6</v>
      </c>
      <c r="D1307" s="4">
        <v>0</v>
      </c>
      <c r="E1307" s="4" t="s">
        <v>12</v>
      </c>
      <c r="F1307" s="4" t="s">
        <v>13</v>
      </c>
      <c r="G1307" s="14">
        <v>2019.2006297609721</v>
      </c>
      <c r="H1307" s="15">
        <v>2375.5301526599678</v>
      </c>
    </row>
    <row r="1308" spans="1:8" x14ac:dyDescent="0.25">
      <c r="A1308" s="16">
        <v>29</v>
      </c>
      <c r="B1308" s="4" t="s">
        <v>8</v>
      </c>
      <c r="C1308" s="4">
        <v>23.7</v>
      </c>
      <c r="D1308" s="4">
        <v>0</v>
      </c>
      <c r="E1308" s="4" t="s">
        <v>9</v>
      </c>
      <c r="F1308" s="4" t="s">
        <v>15</v>
      </c>
      <c r="G1308" s="14">
        <v>1768.7636215074431</v>
      </c>
      <c r="H1308" s="15">
        <v>2080.8983782440514</v>
      </c>
    </row>
    <row r="1309" spans="1:8" x14ac:dyDescent="0.25">
      <c r="A1309" s="16">
        <v>32</v>
      </c>
      <c r="B1309" s="4" t="s">
        <v>11</v>
      </c>
      <c r="C1309" s="4">
        <v>28.1</v>
      </c>
      <c r="D1309" s="4">
        <v>4</v>
      </c>
      <c r="E1309" s="4" t="s">
        <v>9</v>
      </c>
      <c r="F1309" s="4" t="s">
        <v>20</v>
      </c>
      <c r="G1309" s="14">
        <v>1348.2052892373827</v>
      </c>
      <c r="H1309" s="15">
        <v>1797.6070523165104</v>
      </c>
    </row>
    <row r="1310" spans="1:8" x14ac:dyDescent="0.25">
      <c r="A1310" s="16">
        <v>25</v>
      </c>
      <c r="B1310" s="4" t="s">
        <v>8</v>
      </c>
      <c r="C1310" s="4">
        <v>24.1</v>
      </c>
      <c r="D1310" s="4">
        <v>0</v>
      </c>
      <c r="E1310" s="4" t="s">
        <v>9</v>
      </c>
      <c r="F1310" s="4" t="s">
        <v>21</v>
      </c>
      <c r="G1310" s="14">
        <v>2124.577205773418</v>
      </c>
      <c r="H1310" s="15">
        <v>2499.5025950275513</v>
      </c>
    </row>
    <row r="1311" spans="1:8" x14ac:dyDescent="0.25">
      <c r="A1311" s="16">
        <v>41</v>
      </c>
      <c r="B1311" s="4" t="s">
        <v>11</v>
      </c>
      <c r="C1311" s="4">
        <v>32.200000000000003</v>
      </c>
      <c r="D1311" s="4">
        <v>2</v>
      </c>
      <c r="E1311" s="4" t="s">
        <v>12</v>
      </c>
      <c r="F1311" s="4" t="s">
        <v>21</v>
      </c>
      <c r="G1311" s="14">
        <v>1999.2956346151207</v>
      </c>
      <c r="H1311" s="15">
        <v>2665.7275128201609</v>
      </c>
    </row>
    <row r="1312" spans="1:8" x14ac:dyDescent="0.25">
      <c r="A1312" s="16">
        <v>42</v>
      </c>
      <c r="B1312" s="4" t="s">
        <v>11</v>
      </c>
      <c r="C1312" s="4">
        <v>26.3</v>
      </c>
      <c r="D1312" s="4">
        <v>1</v>
      </c>
      <c r="E1312" s="4" t="s">
        <v>12</v>
      </c>
      <c r="F1312" s="4" t="s">
        <v>20</v>
      </c>
      <c r="G1312" s="14">
        <v>3950.1705252053998</v>
      </c>
      <c r="H1312" s="15">
        <v>3762.0671668622872</v>
      </c>
    </row>
    <row r="1313" spans="1:8" x14ac:dyDescent="0.25">
      <c r="A1313" s="16">
        <v>33</v>
      </c>
      <c r="B1313" s="4" t="s">
        <v>8</v>
      </c>
      <c r="C1313" s="4">
        <v>25.6</v>
      </c>
      <c r="D1313" s="4">
        <v>0</v>
      </c>
      <c r="E1313" s="4" t="s">
        <v>12</v>
      </c>
      <c r="F1313" s="4" t="s">
        <v>20</v>
      </c>
      <c r="G1313" s="14">
        <v>1640.5426762738005</v>
      </c>
      <c r="H1313" s="15">
        <v>1930.0502073809425</v>
      </c>
    </row>
    <row r="1314" spans="1:8" x14ac:dyDescent="0.25">
      <c r="A1314" s="16">
        <v>34</v>
      </c>
      <c r="B1314" s="4" t="s">
        <v>11</v>
      </c>
      <c r="C1314" s="4">
        <v>21</v>
      </c>
      <c r="D1314" s="4">
        <v>1</v>
      </c>
      <c r="E1314" s="4" t="s">
        <v>12</v>
      </c>
      <c r="F1314" s="4" t="s">
        <v>21</v>
      </c>
      <c r="G1314" s="14">
        <v>1776.1771410090109</v>
      </c>
      <c r="H1314" s="15">
        <v>2089.6201658929549</v>
      </c>
    </row>
    <row r="1315" spans="1:8" x14ac:dyDescent="0.25">
      <c r="A1315" s="16">
        <v>19</v>
      </c>
      <c r="B1315" s="4" t="s">
        <v>8</v>
      </c>
      <c r="C1315" s="4">
        <v>23.4</v>
      </c>
      <c r="D1315" s="4">
        <v>2</v>
      </c>
      <c r="E1315" s="4" t="s">
        <v>9</v>
      </c>
      <c r="F1315" s="4" t="s">
        <v>21</v>
      </c>
      <c r="G1315" s="14">
        <v>1478.2106000407912</v>
      </c>
      <c r="H1315" s="15">
        <v>1739.0712941656375</v>
      </c>
    </row>
    <row r="1316" spans="1:8" x14ac:dyDescent="0.25">
      <c r="A1316" s="16">
        <v>30</v>
      </c>
      <c r="B1316" s="4" t="s">
        <v>8</v>
      </c>
      <c r="C1316" s="4">
        <v>23.7</v>
      </c>
      <c r="D1316" s="4">
        <v>3</v>
      </c>
      <c r="E1316" s="4" t="s">
        <v>9</v>
      </c>
      <c r="F1316" s="4" t="s">
        <v>20</v>
      </c>
      <c r="G1316" s="14">
        <v>1888.0170130635568</v>
      </c>
      <c r="H1316" s="15">
        <v>2517.3560174180757</v>
      </c>
    </row>
    <row r="1317" spans="1:8" x14ac:dyDescent="0.25">
      <c r="A1317" s="16">
        <v>18</v>
      </c>
      <c r="B1317" s="4" t="s">
        <v>11</v>
      </c>
      <c r="C1317" s="4">
        <v>20.6</v>
      </c>
      <c r="D1317" s="4">
        <v>1</v>
      </c>
      <c r="E1317" s="4" t="s">
        <v>12</v>
      </c>
      <c r="F1317" s="4" t="s">
        <v>15</v>
      </c>
      <c r="G1317" s="14">
        <v>1491.2705473244569</v>
      </c>
      <c r="H1317" s="15">
        <v>1754.4359380287735</v>
      </c>
    </row>
    <row r="1318" spans="1:8" x14ac:dyDescent="0.25">
      <c r="A1318" s="16">
        <v>19</v>
      </c>
      <c r="B1318" s="4" t="s">
        <v>8</v>
      </c>
      <c r="C1318" s="4">
        <v>22.3</v>
      </c>
      <c r="D1318" s="4">
        <v>0</v>
      </c>
      <c r="E1318" s="4" t="s">
        <v>12</v>
      </c>
      <c r="F1318" s="4" t="s">
        <v>21</v>
      </c>
      <c r="G1318" s="14">
        <v>1705.5294126252461</v>
      </c>
      <c r="H1318" s="15">
        <v>2006.5051913238196</v>
      </c>
    </row>
    <row r="1319" spans="1:8" x14ac:dyDescent="0.25">
      <c r="A1319" s="16">
        <v>18</v>
      </c>
      <c r="B1319" s="4" t="s">
        <v>11</v>
      </c>
      <c r="C1319" s="4">
        <v>20.5</v>
      </c>
      <c r="D1319" s="4">
        <v>0</v>
      </c>
      <c r="E1319" s="4" t="s">
        <v>12</v>
      </c>
      <c r="F1319" s="4" t="s">
        <v>13</v>
      </c>
      <c r="G1319" s="14">
        <v>1824.1986252198471</v>
      </c>
      <c r="H1319" s="15">
        <v>2146.1160296704093</v>
      </c>
    </row>
    <row r="1320" spans="1:8" x14ac:dyDescent="0.25">
      <c r="A1320" s="16">
        <v>35</v>
      </c>
      <c r="B1320" s="4" t="s">
        <v>11</v>
      </c>
      <c r="C1320" s="4">
        <v>39.700000000000003</v>
      </c>
      <c r="D1320" s="4">
        <v>4</v>
      </c>
      <c r="E1320" s="4" t="s">
        <v>12</v>
      </c>
      <c r="F1320" s="4" t="s">
        <v>15</v>
      </c>
      <c r="G1320" s="14">
        <v>2375.8641251629683</v>
      </c>
      <c r="H1320" s="15">
        <v>3167.8188335506243</v>
      </c>
    </row>
    <row r="1321" spans="1:8" x14ac:dyDescent="0.25">
      <c r="A1321" s="16">
        <v>39</v>
      </c>
      <c r="B1321" s="4" t="s">
        <v>8</v>
      </c>
      <c r="C1321" s="4">
        <v>26.3</v>
      </c>
      <c r="D1321" s="4">
        <v>2</v>
      </c>
      <c r="E1321" s="4" t="s">
        <v>12</v>
      </c>
      <c r="F1321" s="4" t="s">
        <v>20</v>
      </c>
      <c r="G1321" s="14">
        <v>2383.1839075957046</v>
      </c>
      <c r="H1321" s="15">
        <v>3177.5785434609393</v>
      </c>
    </row>
    <row r="1322" spans="1:8" x14ac:dyDescent="0.25">
      <c r="A1322" s="16">
        <v>31</v>
      </c>
      <c r="B1322" s="4" t="s">
        <v>11</v>
      </c>
      <c r="C1322" s="4">
        <v>31.1</v>
      </c>
      <c r="D1322" s="4">
        <v>3</v>
      </c>
      <c r="E1322" s="4" t="s">
        <v>12</v>
      </c>
      <c r="F1322" s="4" t="s">
        <v>20</v>
      </c>
      <c r="G1322" s="14">
        <v>2665.2060090063142</v>
      </c>
      <c r="H1322" s="15">
        <v>3553.6080120084189</v>
      </c>
    </row>
    <row r="1323" spans="1:8" x14ac:dyDescent="0.25">
      <c r="A1323" s="16">
        <v>62</v>
      </c>
      <c r="B1323" s="4" t="s">
        <v>11</v>
      </c>
      <c r="C1323" s="4">
        <v>26.7</v>
      </c>
      <c r="D1323" s="4">
        <v>0</v>
      </c>
      <c r="E1323" s="4" t="s">
        <v>9</v>
      </c>
      <c r="F1323" s="4" t="s">
        <v>15</v>
      </c>
      <c r="G1323" s="14">
        <v>5061.8113075114507</v>
      </c>
      <c r="H1323" s="15">
        <v>4820.7726738204301</v>
      </c>
    </row>
    <row r="1324" spans="1:8" x14ac:dyDescent="0.25">
      <c r="A1324" s="16">
        <v>62</v>
      </c>
      <c r="B1324" s="4" t="s">
        <v>11</v>
      </c>
      <c r="C1324" s="4">
        <v>38.799999999999997</v>
      </c>
      <c r="D1324" s="4">
        <v>0</v>
      </c>
      <c r="E1324" s="4" t="s">
        <v>12</v>
      </c>
      <c r="F1324" s="4" t="s">
        <v>13</v>
      </c>
      <c r="G1324" s="14">
        <v>4353.6958100269012</v>
      </c>
      <c r="H1324" s="15">
        <v>4146.3769619303839</v>
      </c>
    </row>
    <row r="1325" spans="1:8" x14ac:dyDescent="0.25">
      <c r="A1325" s="16">
        <v>42</v>
      </c>
      <c r="B1325" s="4" t="s">
        <v>8</v>
      </c>
      <c r="C1325" s="4">
        <v>40.4</v>
      </c>
      <c r="D1325" s="4">
        <v>2</v>
      </c>
      <c r="E1325" s="4" t="s">
        <v>9</v>
      </c>
      <c r="F1325" s="4" t="s">
        <v>13</v>
      </c>
      <c r="G1325" s="14">
        <v>1461.434909439623</v>
      </c>
      <c r="H1325" s="15">
        <v>1948.5798792528308</v>
      </c>
    </row>
    <row r="1326" spans="1:8" x14ac:dyDescent="0.25">
      <c r="A1326" s="16">
        <v>31</v>
      </c>
      <c r="B1326" s="4" t="s">
        <v>11</v>
      </c>
      <c r="C1326" s="4">
        <v>23.3</v>
      </c>
      <c r="D1326" s="4">
        <v>1</v>
      </c>
      <c r="E1326" s="4" t="s">
        <v>12</v>
      </c>
      <c r="F1326" s="4" t="s">
        <v>20</v>
      </c>
      <c r="G1326" s="14">
        <v>2513.4199804365844</v>
      </c>
      <c r="H1326" s="15">
        <v>2956.9646828665709</v>
      </c>
    </row>
    <row r="1327" spans="1:8" x14ac:dyDescent="0.25">
      <c r="A1327" s="16">
        <v>61</v>
      </c>
      <c r="B1327" s="4" t="s">
        <v>11</v>
      </c>
      <c r="C1327" s="4">
        <v>33.5</v>
      </c>
      <c r="D1327" s="4">
        <v>0</v>
      </c>
      <c r="E1327" s="4" t="s">
        <v>12</v>
      </c>
      <c r="F1327" s="4" t="s">
        <v>15</v>
      </c>
      <c r="G1327" s="14">
        <v>5175.645588834107</v>
      </c>
      <c r="H1327" s="15">
        <v>4929.1862750801038</v>
      </c>
    </row>
    <row r="1328" spans="1:8" x14ac:dyDescent="0.25">
      <c r="A1328" s="16">
        <v>42</v>
      </c>
      <c r="B1328" s="4" t="s">
        <v>8</v>
      </c>
      <c r="C1328" s="4">
        <v>32.9</v>
      </c>
      <c r="D1328" s="4">
        <v>0</v>
      </c>
      <c r="E1328" s="4" t="s">
        <v>12</v>
      </c>
      <c r="F1328" s="4" t="s">
        <v>15</v>
      </c>
      <c r="G1328" s="14">
        <v>4307.8624723584762</v>
      </c>
      <c r="H1328" s="15">
        <v>4102.7261641509303</v>
      </c>
    </row>
    <row r="1329" spans="1:8" x14ac:dyDescent="0.25">
      <c r="A1329" s="16">
        <v>51</v>
      </c>
      <c r="B1329" s="4" t="s">
        <v>11</v>
      </c>
      <c r="C1329" s="4">
        <v>30</v>
      </c>
      <c r="D1329" s="4">
        <v>1</v>
      </c>
      <c r="E1329" s="4" t="s">
        <v>12</v>
      </c>
      <c r="F1329" s="4" t="s">
        <v>13</v>
      </c>
      <c r="G1329" s="14">
        <v>5999.7566188509063</v>
      </c>
      <c r="H1329" s="15">
        <v>5714.0539227151503</v>
      </c>
    </row>
    <row r="1330" spans="1:8" x14ac:dyDescent="0.25">
      <c r="A1330" s="16">
        <v>23</v>
      </c>
      <c r="B1330" s="4" t="s">
        <v>8</v>
      </c>
      <c r="C1330" s="4">
        <v>23.1</v>
      </c>
      <c r="D1330" s="4">
        <v>2</v>
      </c>
      <c r="E1330" s="4" t="s">
        <v>12</v>
      </c>
      <c r="F1330" s="4" t="s">
        <v>15</v>
      </c>
      <c r="G1330" s="14">
        <v>1664.7558257186681</v>
      </c>
      <c r="H1330" s="15">
        <v>1958.536265551375</v>
      </c>
    </row>
    <row r="1331" spans="1:8" x14ac:dyDescent="0.25">
      <c r="A1331" s="16">
        <v>52</v>
      </c>
      <c r="B1331" s="4" t="s">
        <v>11</v>
      </c>
      <c r="C1331" s="4">
        <v>38.6</v>
      </c>
      <c r="D1331" s="4">
        <v>2</v>
      </c>
      <c r="E1331" s="4" t="s">
        <v>12</v>
      </c>
      <c r="F1331" s="4" t="s">
        <v>21</v>
      </c>
      <c r="G1331" s="14">
        <v>2796.6926429269611</v>
      </c>
      <c r="H1331" s="15">
        <v>3728.9235239026148</v>
      </c>
    </row>
    <row r="1332" spans="1:8" x14ac:dyDescent="0.25">
      <c r="A1332" s="16">
        <v>57</v>
      </c>
      <c r="B1332" s="4" t="s">
        <v>8</v>
      </c>
      <c r="C1332" s="4">
        <v>25.7</v>
      </c>
      <c r="D1332" s="4">
        <v>2</v>
      </c>
      <c r="E1332" s="4" t="s">
        <v>12</v>
      </c>
      <c r="F1332" s="4" t="s">
        <v>13</v>
      </c>
      <c r="G1332" s="14">
        <v>2244.4172875669965</v>
      </c>
      <c r="H1332" s="15">
        <v>2992.5563834226618</v>
      </c>
    </row>
    <row r="1333" spans="1:8" x14ac:dyDescent="0.25">
      <c r="A1333" s="16">
        <v>23</v>
      </c>
      <c r="B1333" s="4" t="s">
        <v>8</v>
      </c>
      <c r="C1333" s="4">
        <v>23.1</v>
      </c>
      <c r="D1333" s="4">
        <v>0</v>
      </c>
      <c r="E1333" s="4" t="s">
        <v>12</v>
      </c>
      <c r="F1333" s="4" t="s">
        <v>21</v>
      </c>
      <c r="G1333" s="14">
        <v>1393.5244478864311</v>
      </c>
      <c r="H1333" s="15">
        <v>1639.4405269252136</v>
      </c>
    </row>
    <row r="1334" spans="1:8" x14ac:dyDescent="0.25">
      <c r="A1334" s="16">
        <v>52</v>
      </c>
      <c r="B1334" s="4" t="s">
        <v>8</v>
      </c>
      <c r="C1334" s="4">
        <v>44.7</v>
      </c>
      <c r="D1334" s="4">
        <v>3</v>
      </c>
      <c r="E1334" s="4" t="s">
        <v>12</v>
      </c>
      <c r="F1334" s="4" t="s">
        <v>21</v>
      </c>
      <c r="G1334" s="14">
        <v>2841.6300226514049</v>
      </c>
      <c r="H1334" s="15">
        <v>3788.8400302018736</v>
      </c>
    </row>
    <row r="1335" spans="1:8" x14ac:dyDescent="0.25">
      <c r="A1335" s="16">
        <v>50</v>
      </c>
      <c r="B1335" s="4" t="s">
        <v>11</v>
      </c>
      <c r="C1335" s="4">
        <v>31</v>
      </c>
      <c r="D1335" s="4">
        <v>3</v>
      </c>
      <c r="E1335" s="4" t="s">
        <v>12</v>
      </c>
      <c r="F1335" s="4" t="s">
        <v>20</v>
      </c>
      <c r="G1335" s="14">
        <v>1343.8600558607304</v>
      </c>
      <c r="H1335" s="15">
        <v>1791.8134078143073</v>
      </c>
    </row>
    <row r="1336" spans="1:8" x14ac:dyDescent="0.25">
      <c r="A1336" s="16">
        <v>18</v>
      </c>
      <c r="B1336" s="4" t="s">
        <v>8</v>
      </c>
      <c r="C1336" s="4">
        <v>23.5</v>
      </c>
      <c r="D1336" s="4">
        <v>0</v>
      </c>
      <c r="E1336" s="4" t="s">
        <v>12</v>
      </c>
      <c r="F1336" s="4" t="s">
        <v>15</v>
      </c>
      <c r="G1336" s="14">
        <v>1392.0681606856315</v>
      </c>
      <c r="H1336" s="15">
        <v>1637.7272478654495</v>
      </c>
    </row>
    <row r="1337" spans="1:8" x14ac:dyDescent="0.25">
      <c r="A1337" s="16">
        <v>18</v>
      </c>
      <c r="B1337" s="4" t="s">
        <v>8</v>
      </c>
      <c r="C1337" s="4">
        <v>25.3</v>
      </c>
      <c r="D1337" s="4">
        <v>0</v>
      </c>
      <c r="E1337" s="4" t="s">
        <v>12</v>
      </c>
      <c r="F1337" s="4" t="s">
        <v>13</v>
      </c>
      <c r="G1337" s="14">
        <v>2118.9857673413871</v>
      </c>
      <c r="H1337" s="15">
        <v>2492.9244321663386</v>
      </c>
    </row>
    <row r="1338" spans="1:8" x14ac:dyDescent="0.25">
      <c r="A1338" s="16">
        <v>21</v>
      </c>
      <c r="B1338" s="4" t="s">
        <v>8</v>
      </c>
      <c r="C1338" s="4">
        <v>23.9</v>
      </c>
      <c r="D1338" s="4">
        <v>0</v>
      </c>
      <c r="E1338" s="4" t="s">
        <v>12</v>
      </c>
      <c r="F1338" s="4" t="s">
        <v>21</v>
      </c>
      <c r="G1338" s="14">
        <v>1431.3380596560185</v>
      </c>
      <c r="H1338" s="15">
        <v>1683.9271290070815</v>
      </c>
    </row>
    <row r="1339" spans="1:8" x14ac:dyDescent="0.25">
      <c r="A1339" s="16">
        <v>61</v>
      </c>
      <c r="B1339" s="4" t="s">
        <v>8</v>
      </c>
      <c r="C1339" s="4">
        <v>29.1</v>
      </c>
      <c r="D1339" s="4">
        <v>0</v>
      </c>
      <c r="E1339" s="4" t="s">
        <v>9</v>
      </c>
      <c r="F1339" s="4" t="s">
        <v>20</v>
      </c>
      <c r="G1339" s="14">
        <v>4541.9019946798235</v>
      </c>
      <c r="H1339" s="19">
        <v>4325.6209473141189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EDD6-130C-4AAF-BD73-0AC1B7CB6467}">
  <dimension ref="A1:J27"/>
  <sheetViews>
    <sheetView zoomScaleNormal="100" workbookViewId="0">
      <selection activeCell="E3" sqref="E3"/>
    </sheetView>
  </sheetViews>
  <sheetFormatPr defaultRowHeight="15" x14ac:dyDescent="0.25"/>
  <cols>
    <col min="5" max="5" width="67" customWidth="1"/>
    <col min="6" max="6" width="13.28515625" bestFit="1" customWidth="1"/>
    <col min="8" max="8" width="15.85546875" bestFit="1" customWidth="1"/>
    <col min="23" max="23" width="13.28515625" bestFit="1" customWidth="1"/>
  </cols>
  <sheetData>
    <row r="1" spans="1:10" x14ac:dyDescent="0.25">
      <c r="A1" s="31" t="s">
        <v>23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5">
      <c r="A3" t="s">
        <v>16</v>
      </c>
    </row>
    <row r="4" spans="1:10" x14ac:dyDescent="0.25">
      <c r="A4" t="s">
        <v>24</v>
      </c>
      <c r="E4" s="1"/>
    </row>
    <row r="5" spans="1:10" x14ac:dyDescent="0.25">
      <c r="E5" s="1"/>
    </row>
    <row r="6" spans="1:10" x14ac:dyDescent="0.25">
      <c r="A6" t="s">
        <v>25</v>
      </c>
    </row>
    <row r="7" spans="1:10" x14ac:dyDescent="0.25">
      <c r="E7" s="1"/>
    </row>
    <row r="8" spans="1:10" x14ac:dyDescent="0.25">
      <c r="E8" s="1"/>
    </row>
    <row r="9" spans="1:10" x14ac:dyDescent="0.25">
      <c r="E9" s="1"/>
    </row>
    <row r="10" spans="1:10" x14ac:dyDescent="0.25">
      <c r="E10" s="1"/>
    </row>
    <row r="11" spans="1:10" x14ac:dyDescent="0.25">
      <c r="E11" s="1"/>
    </row>
    <row r="12" spans="1:10" x14ac:dyDescent="0.25">
      <c r="E12" s="1"/>
    </row>
    <row r="13" spans="1:10" x14ac:dyDescent="0.25">
      <c r="E13" s="1"/>
    </row>
    <row r="14" spans="1:10" x14ac:dyDescent="0.25">
      <c r="E14" s="1"/>
    </row>
    <row r="15" spans="1:10" x14ac:dyDescent="0.25">
      <c r="E15" s="1"/>
    </row>
    <row r="16" spans="1:10" x14ac:dyDescent="0.25">
      <c r="E16" s="1"/>
    </row>
    <row r="17" spans="1:5" x14ac:dyDescent="0.25">
      <c r="E17" s="1"/>
    </row>
    <row r="18" spans="1:5" x14ac:dyDescent="0.25">
      <c r="E18" s="1"/>
    </row>
    <row r="19" spans="1:5" x14ac:dyDescent="0.25">
      <c r="E19" s="1"/>
    </row>
    <row r="20" spans="1:5" x14ac:dyDescent="0.25">
      <c r="E20" s="1"/>
    </row>
    <row r="21" spans="1:5" x14ac:dyDescent="0.25">
      <c r="E21" s="1"/>
    </row>
    <row r="22" spans="1:5" x14ac:dyDescent="0.25">
      <c r="E22" s="1"/>
    </row>
    <row r="23" spans="1:5" x14ac:dyDescent="0.25">
      <c r="E23" s="1"/>
    </row>
    <row r="24" spans="1:5" x14ac:dyDescent="0.25">
      <c r="E24" s="1"/>
    </row>
    <row r="25" spans="1:5" x14ac:dyDescent="0.25">
      <c r="A25" t="s">
        <v>27</v>
      </c>
    </row>
    <row r="26" spans="1:5" x14ac:dyDescent="0.25">
      <c r="A26" t="s">
        <v>28</v>
      </c>
    </row>
    <row r="27" spans="1:5" x14ac:dyDescent="0.25">
      <c r="A27" t="s">
        <v>29</v>
      </c>
    </row>
  </sheetData>
  <mergeCells count="1">
    <mergeCell ref="A1:J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2597-191D-4688-8534-6C9876B28D35}">
  <dimension ref="A1:J1339"/>
  <sheetViews>
    <sheetView showGridLines="0" workbookViewId="0">
      <selection sqref="A1:J1339"/>
    </sheetView>
  </sheetViews>
  <sheetFormatPr defaultRowHeight="15" x14ac:dyDescent="0.25"/>
  <cols>
    <col min="1" max="1" width="4.140625" bestFit="1" customWidth="1"/>
    <col min="2" max="2" width="7.28515625" bestFit="1" customWidth="1"/>
    <col min="3" max="3" width="5" bestFit="1" customWidth="1"/>
    <col min="4" max="4" width="8.42578125" bestFit="1" customWidth="1"/>
    <col min="5" max="5" width="18.42578125" bestFit="1" customWidth="1"/>
    <col min="6" max="6" width="9.7109375" bestFit="1" customWidth="1"/>
    <col min="7" max="8" width="12" bestFit="1" customWidth="1"/>
    <col min="9" max="9" width="26" bestFit="1" customWidth="1"/>
    <col min="10" max="10" width="7.7109375" bestFit="1" customWidth="1"/>
  </cols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26</v>
      </c>
      <c r="J1" s="9" t="s">
        <v>17</v>
      </c>
    </row>
    <row r="2" spans="1:10" x14ac:dyDescent="0.25">
      <c r="A2" s="2">
        <v>19</v>
      </c>
      <c r="B2" s="2" t="s">
        <v>8</v>
      </c>
      <c r="C2" s="2">
        <v>24.1</v>
      </c>
      <c r="D2" s="2">
        <v>0</v>
      </c>
      <c r="E2" s="2" t="s">
        <v>9</v>
      </c>
      <c r="F2" s="2" t="s">
        <v>21</v>
      </c>
      <c r="G2" s="2">
        <v>1483.2083438014599</v>
      </c>
      <c r="H2" s="2">
        <v>1744.9509927076006</v>
      </c>
      <c r="I2" s="2">
        <v>1</v>
      </c>
      <c r="J2" s="2">
        <v>2</v>
      </c>
    </row>
    <row r="3" spans="1:10" x14ac:dyDescent="0.25">
      <c r="A3" s="2">
        <v>18</v>
      </c>
      <c r="B3" s="2" t="s">
        <v>11</v>
      </c>
      <c r="C3" s="2">
        <v>23.5</v>
      </c>
      <c r="D3" s="2">
        <v>1</v>
      </c>
      <c r="E3" s="2" t="s">
        <v>12</v>
      </c>
      <c r="F3" s="2" t="s">
        <v>13</v>
      </c>
      <c r="G3" s="2">
        <v>2237.6079336587268</v>
      </c>
      <c r="H3" s="2">
        <v>2632.4799219514439</v>
      </c>
      <c r="I3" s="2">
        <v>0</v>
      </c>
      <c r="J3" s="2">
        <v>0</v>
      </c>
    </row>
    <row r="4" spans="1:10" x14ac:dyDescent="0.25">
      <c r="A4" s="2">
        <v>28</v>
      </c>
      <c r="B4" s="2" t="s">
        <v>11</v>
      </c>
      <c r="C4" s="2">
        <v>33</v>
      </c>
      <c r="D4" s="2">
        <v>3</v>
      </c>
      <c r="E4" s="2" t="s">
        <v>12</v>
      </c>
      <c r="F4" s="2" t="s">
        <v>13</v>
      </c>
      <c r="G4" s="2">
        <v>2046.087155520574</v>
      </c>
      <c r="H4" s="2">
        <v>2728.1162073607652</v>
      </c>
      <c r="I4" s="2">
        <v>0</v>
      </c>
      <c r="J4" s="2">
        <v>3</v>
      </c>
    </row>
    <row r="5" spans="1:10" x14ac:dyDescent="0.25">
      <c r="A5" s="2">
        <v>33</v>
      </c>
      <c r="B5" s="2" t="s">
        <v>11</v>
      </c>
      <c r="C5" s="2">
        <v>23.3</v>
      </c>
      <c r="D5" s="2">
        <v>0</v>
      </c>
      <c r="E5" s="2" t="s">
        <v>12</v>
      </c>
      <c r="F5" s="2" t="s">
        <v>20</v>
      </c>
      <c r="G5" s="2">
        <v>2331.6920440425133</v>
      </c>
      <c r="H5" s="2">
        <v>2743.1671106382519</v>
      </c>
      <c r="I5" s="2">
        <v>0</v>
      </c>
      <c r="J5" s="2">
        <v>0</v>
      </c>
    </row>
    <row r="6" spans="1:10" x14ac:dyDescent="0.25">
      <c r="A6" s="2">
        <v>32</v>
      </c>
      <c r="B6" s="2" t="s">
        <v>11</v>
      </c>
      <c r="C6" s="2">
        <v>23.4</v>
      </c>
      <c r="D6" s="2">
        <v>0</v>
      </c>
      <c r="E6" s="2" t="s">
        <v>12</v>
      </c>
      <c r="F6" s="2" t="s">
        <v>20</v>
      </c>
      <c r="G6" s="2">
        <v>1942.5012513580566</v>
      </c>
      <c r="H6" s="2">
        <v>2285.2955898330083</v>
      </c>
      <c r="I6" s="2">
        <v>0</v>
      </c>
      <c r="J6" s="2">
        <v>0</v>
      </c>
    </row>
    <row r="7" spans="1:10" x14ac:dyDescent="0.25">
      <c r="A7" s="2">
        <v>31</v>
      </c>
      <c r="B7" s="2" t="s">
        <v>8</v>
      </c>
      <c r="C7" s="2">
        <v>22.9</v>
      </c>
      <c r="D7" s="2">
        <v>0</v>
      </c>
      <c r="E7" s="2" t="s">
        <v>12</v>
      </c>
      <c r="F7" s="2" t="s">
        <v>13</v>
      </c>
      <c r="G7" s="2">
        <v>2375.7405441112601</v>
      </c>
      <c r="H7" s="2">
        <v>2794.9888754250128</v>
      </c>
      <c r="I7" s="2">
        <v>0</v>
      </c>
      <c r="J7" s="2">
        <v>0</v>
      </c>
    </row>
    <row r="8" spans="1:10" x14ac:dyDescent="0.25">
      <c r="A8" s="2">
        <v>46</v>
      </c>
      <c r="B8" s="2" t="s">
        <v>8</v>
      </c>
      <c r="C8" s="2">
        <v>33.4</v>
      </c>
      <c r="D8" s="2">
        <v>1</v>
      </c>
      <c r="E8" s="2" t="s">
        <v>12</v>
      </c>
      <c r="F8" s="2" t="s">
        <v>13</v>
      </c>
      <c r="G8" s="2">
        <v>4453.2339258824668</v>
      </c>
      <c r="H8" s="2">
        <v>4241.1751675071127</v>
      </c>
      <c r="I8" s="2">
        <v>0</v>
      </c>
      <c r="J8" s="2">
        <v>1</v>
      </c>
    </row>
    <row r="9" spans="1:10" x14ac:dyDescent="0.25">
      <c r="A9" s="2">
        <v>37</v>
      </c>
      <c r="B9" s="2" t="s">
        <v>8</v>
      </c>
      <c r="C9" s="2">
        <v>27.7</v>
      </c>
      <c r="D9" s="2">
        <v>3</v>
      </c>
      <c r="E9" s="2" t="s">
        <v>12</v>
      </c>
      <c r="F9" s="2" t="s">
        <v>20</v>
      </c>
      <c r="G9" s="2">
        <v>2326.6881657621798</v>
      </c>
      <c r="H9" s="2">
        <v>3102.2508876829061</v>
      </c>
      <c r="I9" s="2">
        <v>0</v>
      </c>
      <c r="J9" s="2">
        <v>3</v>
      </c>
    </row>
    <row r="10" spans="1:10" x14ac:dyDescent="0.25">
      <c r="A10" s="2">
        <v>37</v>
      </c>
      <c r="B10" s="2" t="s">
        <v>11</v>
      </c>
      <c r="C10" s="2">
        <v>29.8</v>
      </c>
      <c r="D10" s="2">
        <v>2</v>
      </c>
      <c r="E10" s="2" t="s">
        <v>12</v>
      </c>
      <c r="F10" s="2" t="s">
        <v>15</v>
      </c>
      <c r="G10" s="2">
        <v>1712.4259783787038</v>
      </c>
      <c r="H10" s="2">
        <v>2283.2346378382717</v>
      </c>
      <c r="I10" s="2">
        <v>0</v>
      </c>
      <c r="J10" s="2">
        <v>3</v>
      </c>
    </row>
    <row r="11" spans="1:10" x14ac:dyDescent="0.25">
      <c r="A11" s="2">
        <v>60</v>
      </c>
      <c r="B11" s="2" t="s">
        <v>8</v>
      </c>
      <c r="C11" s="2">
        <v>25.8</v>
      </c>
      <c r="D11" s="2">
        <v>0</v>
      </c>
      <c r="E11" s="2" t="s">
        <v>12</v>
      </c>
      <c r="F11" s="2" t="s">
        <v>20</v>
      </c>
      <c r="G11" s="2">
        <v>4684.8205889541305</v>
      </c>
      <c r="H11" s="2">
        <v>4461.7338942420301</v>
      </c>
      <c r="I11" s="2">
        <v>0</v>
      </c>
      <c r="J11" s="2">
        <v>1</v>
      </c>
    </row>
    <row r="12" spans="1:10" x14ac:dyDescent="0.25">
      <c r="A12" s="2">
        <v>25</v>
      </c>
      <c r="B12" s="2" t="s">
        <v>11</v>
      </c>
      <c r="C12" s="2">
        <v>20.3</v>
      </c>
      <c r="D12" s="2">
        <v>0</v>
      </c>
      <c r="E12" s="2" t="s">
        <v>12</v>
      </c>
      <c r="F12" s="2" t="s">
        <v>15</v>
      </c>
      <c r="G12" s="2">
        <v>2168.5564914224506</v>
      </c>
      <c r="H12" s="2">
        <v>2551.2429310852363</v>
      </c>
      <c r="I12" s="2">
        <v>0</v>
      </c>
      <c r="J12" s="2">
        <v>0</v>
      </c>
    </row>
    <row r="13" spans="1:10" x14ac:dyDescent="0.25">
      <c r="A13" s="2">
        <v>62</v>
      </c>
      <c r="B13" s="2" t="s">
        <v>8</v>
      </c>
      <c r="C13" s="2">
        <v>26.3</v>
      </c>
      <c r="D13" s="2">
        <v>0</v>
      </c>
      <c r="E13" s="2" t="s">
        <v>9</v>
      </c>
      <c r="F13" s="2" t="s">
        <v>13</v>
      </c>
      <c r="G13" s="2">
        <v>5417.6353024167529</v>
      </c>
      <c r="H13" s="2">
        <v>5159.6526689683369</v>
      </c>
      <c r="I13" s="2">
        <v>1</v>
      </c>
      <c r="J13" s="2">
        <v>2</v>
      </c>
    </row>
    <row r="14" spans="1:10" x14ac:dyDescent="0.25">
      <c r="A14" s="2">
        <v>23</v>
      </c>
      <c r="B14" s="2" t="s">
        <v>11</v>
      </c>
      <c r="C14" s="2">
        <v>21.2</v>
      </c>
      <c r="D14" s="2">
        <v>0</v>
      </c>
      <c r="E14" s="2" t="s">
        <v>12</v>
      </c>
      <c r="F14" s="2" t="s">
        <v>21</v>
      </c>
      <c r="G14" s="2">
        <v>1802.1615009832854</v>
      </c>
      <c r="H14" s="2">
        <v>2120.1900011568073</v>
      </c>
      <c r="I14" s="2">
        <v>0</v>
      </c>
      <c r="J14" s="2">
        <v>0</v>
      </c>
    </row>
    <row r="15" spans="1:10" x14ac:dyDescent="0.25">
      <c r="A15" s="2">
        <v>56</v>
      </c>
      <c r="B15" s="2" t="s">
        <v>8</v>
      </c>
      <c r="C15" s="2">
        <v>39.799999999999997</v>
      </c>
      <c r="D15" s="2">
        <v>0</v>
      </c>
      <c r="E15" s="2" t="s">
        <v>12</v>
      </c>
      <c r="F15" s="2" t="s">
        <v>13</v>
      </c>
      <c r="G15" s="2">
        <v>3641.0645374069709</v>
      </c>
      <c r="H15" s="2">
        <v>3467.6805118161642</v>
      </c>
      <c r="I15" s="2">
        <v>0</v>
      </c>
      <c r="J15" s="2">
        <v>1</v>
      </c>
    </row>
    <row r="16" spans="1:10" x14ac:dyDescent="0.25">
      <c r="A16" s="2">
        <v>27</v>
      </c>
      <c r="B16" s="2" t="s">
        <v>11</v>
      </c>
      <c r="C16" s="2">
        <v>24.2</v>
      </c>
      <c r="D16" s="2">
        <v>0</v>
      </c>
      <c r="E16" s="2" t="s">
        <v>9</v>
      </c>
      <c r="F16" s="2" t="s">
        <v>13</v>
      </c>
      <c r="G16" s="2">
        <v>1460.3167286240553</v>
      </c>
      <c r="H16" s="2">
        <v>1718.0196807341836</v>
      </c>
      <c r="I16" s="2">
        <v>1</v>
      </c>
      <c r="J16" s="2">
        <v>2</v>
      </c>
    </row>
    <row r="17" spans="1:10" x14ac:dyDescent="0.25">
      <c r="A17" s="2">
        <v>19</v>
      </c>
      <c r="B17" s="2" t="s">
        <v>11</v>
      </c>
      <c r="C17" s="2">
        <v>25.8</v>
      </c>
      <c r="D17" s="2">
        <v>1</v>
      </c>
      <c r="E17" s="2" t="s">
        <v>12</v>
      </c>
      <c r="F17" s="2" t="s">
        <v>21</v>
      </c>
      <c r="G17" s="2">
        <v>1680.3079158609976</v>
      </c>
      <c r="H17" s="2">
        <v>1976.8328421894096</v>
      </c>
      <c r="I17" s="2">
        <v>0</v>
      </c>
      <c r="J17" s="2">
        <v>0</v>
      </c>
    </row>
    <row r="18" spans="1:10" x14ac:dyDescent="0.25">
      <c r="A18" s="2">
        <v>52</v>
      </c>
      <c r="B18" s="2" t="s">
        <v>8</v>
      </c>
      <c r="C18" s="2">
        <v>30.8</v>
      </c>
      <c r="D18" s="2">
        <v>1</v>
      </c>
      <c r="E18" s="2" t="s">
        <v>12</v>
      </c>
      <c r="F18" s="2" t="s">
        <v>15</v>
      </c>
      <c r="G18" s="2">
        <v>3924.9201682119551</v>
      </c>
      <c r="H18" s="2">
        <v>3738.0192078209111</v>
      </c>
      <c r="I18" s="2">
        <v>0</v>
      </c>
      <c r="J18" s="2">
        <v>1</v>
      </c>
    </row>
    <row r="19" spans="1:10" x14ac:dyDescent="0.25">
      <c r="A19" s="2">
        <v>23</v>
      </c>
      <c r="B19" s="2" t="s">
        <v>11</v>
      </c>
      <c r="C19" s="2">
        <v>25.8</v>
      </c>
      <c r="D19" s="2">
        <v>0</v>
      </c>
      <c r="E19" s="2" t="s">
        <v>12</v>
      </c>
      <c r="F19" s="2" t="s">
        <v>15</v>
      </c>
      <c r="G19" s="2">
        <v>1787.5454795082733</v>
      </c>
      <c r="H19" s="2">
        <v>2102.9946817744399</v>
      </c>
      <c r="I19" s="2">
        <v>0</v>
      </c>
      <c r="J19" s="2">
        <v>0</v>
      </c>
    </row>
    <row r="20" spans="1:10" x14ac:dyDescent="0.25">
      <c r="A20" s="2">
        <v>56</v>
      </c>
      <c r="B20" s="2" t="s">
        <v>11</v>
      </c>
      <c r="C20" s="2">
        <v>40.299999999999997</v>
      </c>
      <c r="D20" s="2">
        <v>0</v>
      </c>
      <c r="E20" s="2" t="s">
        <v>12</v>
      </c>
      <c r="F20" s="2" t="s">
        <v>21</v>
      </c>
      <c r="G20" s="2">
        <v>4404.9073514532083</v>
      </c>
      <c r="H20" s="2">
        <v>4195.1498585268664</v>
      </c>
      <c r="I20" s="2">
        <v>0</v>
      </c>
      <c r="J20" s="2">
        <v>1</v>
      </c>
    </row>
    <row r="21" spans="1:10" x14ac:dyDescent="0.25">
      <c r="A21" s="2">
        <v>30</v>
      </c>
      <c r="B21" s="2" t="s">
        <v>11</v>
      </c>
      <c r="C21" s="2">
        <v>25.7</v>
      </c>
      <c r="D21" s="2">
        <v>0</v>
      </c>
      <c r="E21" s="2" t="s">
        <v>9</v>
      </c>
      <c r="F21" s="2" t="s">
        <v>21</v>
      </c>
      <c r="G21" s="2">
        <v>1910.2586995687416</v>
      </c>
      <c r="H21" s="2">
        <v>2247.3631759632262</v>
      </c>
      <c r="I21" s="2">
        <v>1</v>
      </c>
      <c r="J21" s="2">
        <v>2</v>
      </c>
    </row>
    <row r="22" spans="1:10" x14ac:dyDescent="0.25">
      <c r="A22" s="2">
        <v>60</v>
      </c>
      <c r="B22" s="2" t="s">
        <v>8</v>
      </c>
      <c r="C22" s="2">
        <v>36</v>
      </c>
      <c r="D22" s="2">
        <v>0</v>
      </c>
      <c r="E22" s="2" t="s">
        <v>12</v>
      </c>
      <c r="F22" s="2" t="s">
        <v>15</v>
      </c>
      <c r="G22" s="2">
        <v>3798.1509253779682</v>
      </c>
      <c r="H22" s="2">
        <v>3617.286595598066</v>
      </c>
      <c r="I22" s="2">
        <v>0</v>
      </c>
      <c r="J22" s="2">
        <v>1</v>
      </c>
    </row>
    <row r="23" spans="1:10" x14ac:dyDescent="0.25">
      <c r="A23" s="2">
        <v>30</v>
      </c>
      <c r="B23" s="2" t="s">
        <v>8</v>
      </c>
      <c r="C23" s="2">
        <v>24.1</v>
      </c>
      <c r="D23" s="2">
        <v>1</v>
      </c>
      <c r="E23" s="2" t="s">
        <v>12</v>
      </c>
      <c r="F23" s="2" t="s">
        <v>21</v>
      </c>
      <c r="G23" s="2">
        <v>1740.5823660346139</v>
      </c>
      <c r="H23" s="2">
        <v>2047.7439600407231</v>
      </c>
      <c r="I23" s="2">
        <v>0</v>
      </c>
      <c r="J23" s="2">
        <v>0</v>
      </c>
    </row>
    <row r="24" spans="1:10" x14ac:dyDescent="0.25">
      <c r="A24" s="2">
        <v>18</v>
      </c>
      <c r="B24" s="2" t="s">
        <v>11</v>
      </c>
      <c r="C24" s="2">
        <v>23</v>
      </c>
      <c r="D24" s="2">
        <v>0</v>
      </c>
      <c r="E24" s="2" t="s">
        <v>12</v>
      </c>
      <c r="F24" s="2" t="s">
        <v>13</v>
      </c>
      <c r="G24" s="2">
        <v>1536.0759965914722</v>
      </c>
      <c r="H24" s="2">
        <v>1807.1482312840858</v>
      </c>
      <c r="I24" s="2">
        <v>0</v>
      </c>
      <c r="J24" s="2">
        <v>0</v>
      </c>
    </row>
    <row r="25" spans="1:10" x14ac:dyDescent="0.25">
      <c r="A25" s="2">
        <v>34</v>
      </c>
      <c r="B25" s="2" t="s">
        <v>8</v>
      </c>
      <c r="C25" s="2">
        <v>23.4</v>
      </c>
      <c r="D25" s="2">
        <v>1</v>
      </c>
      <c r="E25" s="2" t="s">
        <v>9</v>
      </c>
      <c r="F25" s="2" t="s">
        <v>15</v>
      </c>
      <c r="G25" s="2">
        <v>1555.8077274141297</v>
      </c>
      <c r="H25" s="2">
        <v>1830.3620322519178</v>
      </c>
      <c r="I25" s="2">
        <v>1</v>
      </c>
      <c r="J25" s="2">
        <v>2</v>
      </c>
    </row>
    <row r="26" spans="1:10" x14ac:dyDescent="0.25">
      <c r="A26" s="2">
        <v>37</v>
      </c>
      <c r="B26" s="2" t="s">
        <v>11</v>
      </c>
      <c r="C26" s="2">
        <v>28</v>
      </c>
      <c r="D26" s="2">
        <v>2</v>
      </c>
      <c r="E26" s="2" t="s">
        <v>12</v>
      </c>
      <c r="F26" s="2" t="s">
        <v>20</v>
      </c>
      <c r="G26" s="2">
        <v>1093.0780399373862</v>
      </c>
      <c r="H26" s="2">
        <v>1457.4373865831815</v>
      </c>
      <c r="I26" s="2">
        <v>0</v>
      </c>
      <c r="J26" s="2">
        <v>3</v>
      </c>
    </row>
    <row r="27" spans="1:10" x14ac:dyDescent="0.25">
      <c r="A27" s="2">
        <v>59</v>
      </c>
      <c r="B27" s="2" t="s">
        <v>8</v>
      </c>
      <c r="C27" s="2">
        <v>27.7</v>
      </c>
      <c r="D27" s="2">
        <v>3</v>
      </c>
      <c r="E27" s="2" t="s">
        <v>12</v>
      </c>
      <c r="F27" s="2" t="s">
        <v>13</v>
      </c>
      <c r="G27" s="2">
        <v>3087.1134897948969</v>
      </c>
      <c r="H27" s="2">
        <v>4116.1513197265294</v>
      </c>
      <c r="I27" s="2">
        <v>0</v>
      </c>
      <c r="J27" s="2">
        <v>3</v>
      </c>
    </row>
    <row r="28" spans="1:10" x14ac:dyDescent="0.25">
      <c r="A28" s="2">
        <v>63</v>
      </c>
      <c r="B28" s="2" t="s">
        <v>8</v>
      </c>
      <c r="C28" s="2">
        <v>23.1</v>
      </c>
      <c r="D28" s="2">
        <v>0</v>
      </c>
      <c r="E28" s="2" t="s">
        <v>12</v>
      </c>
      <c r="F28" s="2" t="s">
        <v>15</v>
      </c>
      <c r="G28" s="2">
        <v>4919.5069773495661</v>
      </c>
      <c r="H28" s="2">
        <v>4685.2447403329215</v>
      </c>
      <c r="I28" s="2">
        <v>0</v>
      </c>
      <c r="J28" s="2">
        <v>1</v>
      </c>
    </row>
    <row r="29" spans="1:10" x14ac:dyDescent="0.25">
      <c r="A29" s="2">
        <v>55</v>
      </c>
      <c r="B29" s="2" t="s">
        <v>8</v>
      </c>
      <c r="C29" s="2">
        <v>32.799999999999997</v>
      </c>
      <c r="D29" s="2">
        <v>2</v>
      </c>
      <c r="E29" s="2" t="s">
        <v>12</v>
      </c>
      <c r="F29" s="2" t="s">
        <v>20</v>
      </c>
      <c r="G29" s="2">
        <v>2582.8582873001646</v>
      </c>
      <c r="H29" s="2">
        <v>3443.8110497335529</v>
      </c>
      <c r="I29" s="2">
        <v>0</v>
      </c>
      <c r="J29" s="2">
        <v>3</v>
      </c>
    </row>
    <row r="30" spans="1:10" x14ac:dyDescent="0.25">
      <c r="A30" s="2">
        <v>23</v>
      </c>
      <c r="B30" s="2" t="s">
        <v>11</v>
      </c>
      <c r="C30" s="2">
        <v>25.1</v>
      </c>
      <c r="D30" s="2">
        <v>1</v>
      </c>
      <c r="E30" s="2" t="s">
        <v>12</v>
      </c>
      <c r="F30" s="2" t="s">
        <v>20</v>
      </c>
      <c r="G30" s="2">
        <v>1649.6327842520591</v>
      </c>
      <c r="H30" s="2">
        <v>1940.7444520612464</v>
      </c>
      <c r="I30" s="2">
        <v>0</v>
      </c>
      <c r="J30" s="2">
        <v>0</v>
      </c>
    </row>
    <row r="31" spans="1:10" x14ac:dyDescent="0.25">
      <c r="A31" s="2">
        <v>31</v>
      </c>
      <c r="B31" s="2" t="s">
        <v>11</v>
      </c>
      <c r="C31" s="2">
        <v>36.299999999999997</v>
      </c>
      <c r="D31" s="2">
        <v>2</v>
      </c>
      <c r="E31" s="2" t="s">
        <v>9</v>
      </c>
      <c r="F31" s="2" t="s">
        <v>21</v>
      </c>
      <c r="G31" s="2">
        <v>1296.1726470837023</v>
      </c>
      <c r="H31" s="2">
        <v>1728.2301961116029</v>
      </c>
      <c r="I31" s="2">
        <v>1</v>
      </c>
      <c r="J31" s="2">
        <v>2</v>
      </c>
    </row>
    <row r="32" spans="1:10" x14ac:dyDescent="0.25">
      <c r="A32" s="2">
        <v>22</v>
      </c>
      <c r="B32" s="2" t="s">
        <v>11</v>
      </c>
      <c r="C32" s="2">
        <v>25.1</v>
      </c>
      <c r="D32" s="2">
        <v>0</v>
      </c>
      <c r="E32" s="2" t="s">
        <v>9</v>
      </c>
      <c r="F32" s="2" t="s">
        <v>21</v>
      </c>
      <c r="G32" s="2">
        <v>1877.2039853968902</v>
      </c>
      <c r="H32" s="2">
        <v>2208.4752769375186</v>
      </c>
      <c r="I32" s="2">
        <v>1</v>
      </c>
      <c r="J32" s="2">
        <v>2</v>
      </c>
    </row>
    <row r="33" spans="1:10" x14ac:dyDescent="0.25">
      <c r="A33" s="2">
        <v>18</v>
      </c>
      <c r="B33" s="2" t="s">
        <v>8</v>
      </c>
      <c r="C33" s="2">
        <v>22.5</v>
      </c>
      <c r="D33" s="2">
        <v>0</v>
      </c>
      <c r="E33" s="2" t="s">
        <v>12</v>
      </c>
      <c r="F33" s="2" t="s">
        <v>15</v>
      </c>
      <c r="G33" s="2">
        <v>1604.652954234886</v>
      </c>
      <c r="H33" s="2">
        <v>1887.8270049822195</v>
      </c>
      <c r="I33" s="2">
        <v>0</v>
      </c>
      <c r="J33" s="2">
        <v>0</v>
      </c>
    </row>
    <row r="34" spans="1:10" x14ac:dyDescent="0.25">
      <c r="A34" s="2">
        <v>19</v>
      </c>
      <c r="B34" s="2" t="s">
        <v>8</v>
      </c>
      <c r="C34" s="2">
        <v>28.6</v>
      </c>
      <c r="D34" s="2">
        <v>5</v>
      </c>
      <c r="E34" s="2" t="s">
        <v>12</v>
      </c>
      <c r="F34" s="2" t="s">
        <v>21</v>
      </c>
      <c r="G34" s="2">
        <v>1755.0163522779319</v>
      </c>
      <c r="H34" s="2">
        <v>2340.0218030372425</v>
      </c>
      <c r="I34" s="2">
        <v>0</v>
      </c>
      <c r="J34" s="2">
        <v>3</v>
      </c>
    </row>
    <row r="35" spans="1:10" x14ac:dyDescent="0.25">
      <c r="A35" s="2">
        <v>63</v>
      </c>
      <c r="B35" s="2" t="s">
        <v>11</v>
      </c>
      <c r="C35" s="2">
        <v>28.3</v>
      </c>
      <c r="D35" s="2">
        <v>0</v>
      </c>
      <c r="E35" s="2" t="s">
        <v>12</v>
      </c>
      <c r="F35" s="2" t="s">
        <v>20</v>
      </c>
      <c r="G35" s="2">
        <v>4335.0767517388849</v>
      </c>
      <c r="H35" s="2">
        <v>4128.6445254656064</v>
      </c>
      <c r="I35" s="2">
        <v>0</v>
      </c>
      <c r="J35" s="2">
        <v>1</v>
      </c>
    </row>
    <row r="36" spans="1:10" x14ac:dyDescent="0.25">
      <c r="A36" s="2">
        <v>28</v>
      </c>
      <c r="B36" s="2" t="s">
        <v>11</v>
      </c>
      <c r="C36" s="2">
        <v>25.6</v>
      </c>
      <c r="D36" s="2">
        <v>1</v>
      </c>
      <c r="E36" s="2" t="s">
        <v>9</v>
      </c>
      <c r="F36" s="2" t="s">
        <v>21</v>
      </c>
      <c r="G36" s="2">
        <v>1697.8195808138189</v>
      </c>
      <c r="H36" s="2">
        <v>1997.4348009574348</v>
      </c>
      <c r="I36" s="2">
        <v>1</v>
      </c>
      <c r="J36" s="2">
        <v>2</v>
      </c>
    </row>
    <row r="37" spans="1:10" x14ac:dyDescent="0.25">
      <c r="A37" s="2">
        <v>19</v>
      </c>
      <c r="B37" s="2" t="s">
        <v>11</v>
      </c>
      <c r="C37" s="2">
        <v>23.1</v>
      </c>
      <c r="D37" s="2">
        <v>0</v>
      </c>
      <c r="E37" s="2" t="s">
        <v>12</v>
      </c>
      <c r="F37" s="2" t="s">
        <v>20</v>
      </c>
      <c r="G37" s="2">
        <v>1611.3302033011</v>
      </c>
      <c r="H37" s="2">
        <v>1895.6825921189422</v>
      </c>
      <c r="I37" s="2">
        <v>0</v>
      </c>
      <c r="J37" s="2">
        <v>0</v>
      </c>
    </row>
    <row r="38" spans="1:10" x14ac:dyDescent="0.25">
      <c r="A38" s="2">
        <v>62</v>
      </c>
      <c r="B38" s="2" t="s">
        <v>8</v>
      </c>
      <c r="C38" s="2">
        <v>33</v>
      </c>
      <c r="D38" s="2">
        <v>3</v>
      </c>
      <c r="E38" s="2" t="s">
        <v>12</v>
      </c>
      <c r="F38" s="2" t="s">
        <v>20</v>
      </c>
      <c r="G38" s="2">
        <v>2721.6316463543644</v>
      </c>
      <c r="H38" s="2">
        <v>3628.8421951391524</v>
      </c>
      <c r="I38" s="2">
        <v>0</v>
      </c>
      <c r="J38" s="2">
        <v>3</v>
      </c>
    </row>
    <row r="39" spans="1:10" x14ac:dyDescent="0.25">
      <c r="A39" s="2">
        <v>26</v>
      </c>
      <c r="B39" s="2" t="s">
        <v>11</v>
      </c>
      <c r="C39" s="2">
        <v>21.7</v>
      </c>
      <c r="D39" s="2">
        <v>0</v>
      </c>
      <c r="E39" s="2" t="s">
        <v>12</v>
      </c>
      <c r="F39" s="2" t="s">
        <v>21</v>
      </c>
      <c r="G39" s="2">
        <v>2008.3371640795592</v>
      </c>
      <c r="H39" s="2">
        <v>2362.7496047994823</v>
      </c>
      <c r="I39" s="2">
        <v>0</v>
      </c>
      <c r="J39" s="2">
        <v>0</v>
      </c>
    </row>
    <row r="40" spans="1:10" x14ac:dyDescent="0.25">
      <c r="A40" s="2">
        <v>35</v>
      </c>
      <c r="B40" s="2" t="s">
        <v>11</v>
      </c>
      <c r="C40" s="2">
        <v>23.2</v>
      </c>
      <c r="D40" s="2">
        <v>1</v>
      </c>
      <c r="E40" s="2" t="s">
        <v>9</v>
      </c>
      <c r="F40" s="2" t="s">
        <v>15</v>
      </c>
      <c r="G40" s="2">
        <v>2193.7219135449909</v>
      </c>
      <c r="H40" s="2">
        <v>2580.8493100529313</v>
      </c>
      <c r="I40" s="2">
        <v>1</v>
      </c>
      <c r="J40" s="2">
        <v>2</v>
      </c>
    </row>
    <row r="41" spans="1:10" x14ac:dyDescent="0.25">
      <c r="A41" s="2">
        <v>60</v>
      </c>
      <c r="B41" s="2" t="s">
        <v>11</v>
      </c>
      <c r="C41" s="2">
        <v>39.9</v>
      </c>
      <c r="D41" s="2">
        <v>0</v>
      </c>
      <c r="E41" s="2" t="s">
        <v>9</v>
      </c>
      <c r="F41" s="2" t="s">
        <v>21</v>
      </c>
      <c r="G41" s="2">
        <v>5115.4472379346953</v>
      </c>
      <c r="H41" s="2">
        <v>4871.8545123187587</v>
      </c>
      <c r="I41" s="2">
        <v>1</v>
      </c>
      <c r="J41" s="2">
        <v>2</v>
      </c>
    </row>
    <row r="42" spans="1:10" x14ac:dyDescent="0.25">
      <c r="A42" s="2">
        <v>24</v>
      </c>
      <c r="B42" s="2" t="s">
        <v>8</v>
      </c>
      <c r="C42" s="2">
        <v>24.6</v>
      </c>
      <c r="D42" s="2">
        <v>0</v>
      </c>
      <c r="E42" s="2" t="s">
        <v>12</v>
      </c>
      <c r="F42" s="2" t="s">
        <v>15</v>
      </c>
      <c r="G42" s="2">
        <v>2072.8431013415097</v>
      </c>
      <c r="H42" s="2">
        <v>2438.6389427547183</v>
      </c>
      <c r="I42" s="2">
        <v>0</v>
      </c>
      <c r="J42" s="2">
        <v>0</v>
      </c>
    </row>
    <row r="43" spans="1:10" x14ac:dyDescent="0.25">
      <c r="A43" s="2">
        <v>31</v>
      </c>
      <c r="B43" s="2" t="s">
        <v>8</v>
      </c>
      <c r="C43" s="2">
        <v>36.6</v>
      </c>
      <c r="D43" s="2">
        <v>2</v>
      </c>
      <c r="E43" s="2" t="s">
        <v>12</v>
      </c>
      <c r="F43" s="2" t="s">
        <v>13</v>
      </c>
      <c r="G43" s="2">
        <v>1751.7273667869426</v>
      </c>
      <c r="H43" s="2">
        <v>2335.6364890492569</v>
      </c>
      <c r="I43" s="2">
        <v>0</v>
      </c>
      <c r="J43" s="2">
        <v>3</v>
      </c>
    </row>
    <row r="44" spans="1:10" x14ac:dyDescent="0.25">
      <c r="A44" s="2">
        <v>41</v>
      </c>
      <c r="B44" s="2" t="s">
        <v>11</v>
      </c>
      <c r="C44" s="2">
        <v>26</v>
      </c>
      <c r="D44" s="2">
        <v>1</v>
      </c>
      <c r="E44" s="2" t="s">
        <v>12</v>
      </c>
      <c r="F44" s="2" t="s">
        <v>13</v>
      </c>
      <c r="G44" s="2">
        <v>2499.9994280995807</v>
      </c>
      <c r="H44" s="2">
        <v>2941.1757977642133</v>
      </c>
      <c r="I44" s="2">
        <v>0</v>
      </c>
      <c r="J44" s="2">
        <v>0</v>
      </c>
    </row>
    <row r="45" spans="1:10" x14ac:dyDescent="0.25">
      <c r="A45" s="2">
        <v>37</v>
      </c>
      <c r="B45" s="2" t="s">
        <v>8</v>
      </c>
      <c r="C45" s="2">
        <v>30.8</v>
      </c>
      <c r="D45" s="2">
        <v>2</v>
      </c>
      <c r="E45" s="2" t="s">
        <v>12</v>
      </c>
      <c r="F45" s="2" t="s">
        <v>13</v>
      </c>
      <c r="G45" s="2">
        <v>2547.9037535150105</v>
      </c>
      <c r="H45" s="2">
        <v>3397.2050046866807</v>
      </c>
      <c r="I45" s="2">
        <v>0</v>
      </c>
      <c r="J45" s="2">
        <v>3</v>
      </c>
    </row>
    <row r="46" spans="1:10" x14ac:dyDescent="0.25">
      <c r="A46" s="2">
        <v>38</v>
      </c>
      <c r="B46" s="2" t="s">
        <v>11</v>
      </c>
      <c r="C46" s="2">
        <v>37.1</v>
      </c>
      <c r="D46" s="2">
        <v>1</v>
      </c>
      <c r="E46" s="2" t="s">
        <v>12</v>
      </c>
      <c r="F46" s="2" t="s">
        <v>15</v>
      </c>
      <c r="G46" s="2">
        <v>4982.2283606755091</v>
      </c>
      <c r="H46" s="2">
        <v>4744.9793911195338</v>
      </c>
      <c r="I46" s="2">
        <v>0</v>
      </c>
      <c r="J46" s="2">
        <v>1</v>
      </c>
    </row>
    <row r="47" spans="1:10" x14ac:dyDescent="0.25">
      <c r="A47" s="2">
        <v>55</v>
      </c>
      <c r="B47" s="2" t="s">
        <v>11</v>
      </c>
      <c r="C47" s="2">
        <v>37.299999999999997</v>
      </c>
      <c r="D47" s="2">
        <v>0</v>
      </c>
      <c r="E47" s="2" t="s">
        <v>12</v>
      </c>
      <c r="F47" s="2" t="s">
        <v>21</v>
      </c>
      <c r="G47" s="2">
        <v>4668.2767734299141</v>
      </c>
      <c r="H47" s="2">
        <v>4445.977879457063</v>
      </c>
      <c r="I47" s="2">
        <v>0</v>
      </c>
      <c r="J47" s="2">
        <v>1</v>
      </c>
    </row>
    <row r="48" spans="1:10" x14ac:dyDescent="0.25">
      <c r="A48" s="2">
        <v>18</v>
      </c>
      <c r="B48" s="2" t="s">
        <v>8</v>
      </c>
      <c r="C48" s="2">
        <v>20.8</v>
      </c>
      <c r="D48" s="2">
        <v>2</v>
      </c>
      <c r="E48" s="2" t="s">
        <v>12</v>
      </c>
      <c r="F48" s="2" t="s">
        <v>15</v>
      </c>
      <c r="G48" s="2">
        <v>1299.2137487315999</v>
      </c>
      <c r="H48" s="2">
        <v>1528.4867632136479</v>
      </c>
      <c r="I48" s="2">
        <v>0</v>
      </c>
      <c r="J48" s="2">
        <v>0</v>
      </c>
    </row>
    <row r="49" spans="1:10" x14ac:dyDescent="0.25">
      <c r="A49" s="2">
        <v>28</v>
      </c>
      <c r="B49" s="2" t="s">
        <v>8</v>
      </c>
      <c r="C49" s="2">
        <v>21.2</v>
      </c>
      <c r="D49" s="2">
        <v>0</v>
      </c>
      <c r="E49" s="2" t="s">
        <v>12</v>
      </c>
      <c r="F49" s="2" t="s">
        <v>20</v>
      </c>
      <c r="G49" s="2">
        <v>2186.4894001621292</v>
      </c>
      <c r="H49" s="2">
        <v>2572.3404707789764</v>
      </c>
      <c r="I49" s="2">
        <v>0</v>
      </c>
      <c r="J49" s="2">
        <v>0</v>
      </c>
    </row>
    <row r="50" spans="1:10" x14ac:dyDescent="0.25">
      <c r="A50" s="2">
        <v>60</v>
      </c>
      <c r="B50" s="2" t="s">
        <v>8</v>
      </c>
      <c r="C50" s="2">
        <v>24.5</v>
      </c>
      <c r="D50" s="2">
        <v>0</v>
      </c>
      <c r="E50" s="2" t="s">
        <v>12</v>
      </c>
      <c r="F50" s="2" t="s">
        <v>13</v>
      </c>
      <c r="G50" s="2">
        <v>4762.9663886199869</v>
      </c>
      <c r="H50" s="2">
        <v>4536.1584653523696</v>
      </c>
      <c r="I50" s="2">
        <v>0</v>
      </c>
      <c r="J50" s="2">
        <v>1</v>
      </c>
    </row>
    <row r="51" spans="1:10" x14ac:dyDescent="0.25">
      <c r="A51" s="2">
        <v>36</v>
      </c>
      <c r="B51" s="2" t="s">
        <v>11</v>
      </c>
      <c r="C51" s="2">
        <v>24.8</v>
      </c>
      <c r="D51" s="2">
        <v>1</v>
      </c>
      <c r="E51" s="2" t="s">
        <v>9</v>
      </c>
      <c r="F51" s="2" t="s">
        <v>13</v>
      </c>
      <c r="G51" s="2">
        <v>1776.7645457412086</v>
      </c>
      <c r="H51" s="2">
        <v>2090.3112302837753</v>
      </c>
      <c r="I51" s="2">
        <v>1</v>
      </c>
      <c r="J51" s="2">
        <v>2</v>
      </c>
    </row>
    <row r="52" spans="1:10" x14ac:dyDescent="0.25">
      <c r="A52" s="2">
        <v>18</v>
      </c>
      <c r="B52" s="2" t="s">
        <v>8</v>
      </c>
      <c r="C52" s="2">
        <v>20.3</v>
      </c>
      <c r="D52" s="2">
        <v>0</v>
      </c>
      <c r="E52" s="2" t="s">
        <v>12</v>
      </c>
      <c r="F52" s="2" t="s">
        <v>15</v>
      </c>
      <c r="G52" s="2">
        <v>1867.9946703078481</v>
      </c>
      <c r="H52" s="2">
        <v>2197.6407885974691</v>
      </c>
      <c r="I52" s="2">
        <v>0</v>
      </c>
      <c r="J52" s="2">
        <v>0</v>
      </c>
    </row>
    <row r="53" spans="1:10" x14ac:dyDescent="0.25">
      <c r="A53" s="2">
        <v>21</v>
      </c>
      <c r="B53" s="2" t="s">
        <v>8</v>
      </c>
      <c r="C53" s="2">
        <v>21.4</v>
      </c>
      <c r="D53" s="2">
        <v>2</v>
      </c>
      <c r="E53" s="2" t="s">
        <v>12</v>
      </c>
      <c r="F53" s="2" t="s">
        <v>20</v>
      </c>
      <c r="G53" s="2">
        <v>1616.530685607062</v>
      </c>
      <c r="H53" s="2">
        <v>1901.8008065965441</v>
      </c>
      <c r="I53" s="2">
        <v>0</v>
      </c>
      <c r="J53" s="2">
        <v>0</v>
      </c>
    </row>
    <row r="54" spans="1:10" x14ac:dyDescent="0.25">
      <c r="A54" s="2">
        <v>48</v>
      </c>
      <c r="B54" s="2" t="s">
        <v>11</v>
      </c>
      <c r="C54" s="2">
        <v>28</v>
      </c>
      <c r="D54" s="2">
        <v>1</v>
      </c>
      <c r="E54" s="2" t="s">
        <v>9</v>
      </c>
      <c r="F54" s="2" t="s">
        <v>21</v>
      </c>
      <c r="G54" s="2">
        <v>5250.1824531209822</v>
      </c>
      <c r="H54" s="2">
        <v>5000.1737648771277</v>
      </c>
      <c r="I54" s="2">
        <v>1</v>
      </c>
      <c r="J54" s="2">
        <v>2</v>
      </c>
    </row>
    <row r="55" spans="1:10" x14ac:dyDescent="0.25">
      <c r="A55" s="2">
        <v>36</v>
      </c>
      <c r="B55" s="2" t="s">
        <v>11</v>
      </c>
      <c r="C55" s="2">
        <v>21.9</v>
      </c>
      <c r="D55" s="2">
        <v>0</v>
      </c>
      <c r="E55" s="2" t="s">
        <v>9</v>
      </c>
      <c r="F55" s="2" t="s">
        <v>13</v>
      </c>
      <c r="G55" s="2">
        <v>1829.4347356478459</v>
      </c>
      <c r="H55" s="2">
        <v>2152.2761595857014</v>
      </c>
      <c r="I55" s="2">
        <v>1</v>
      </c>
      <c r="J55" s="2">
        <v>2</v>
      </c>
    </row>
    <row r="56" spans="1:10" x14ac:dyDescent="0.25">
      <c r="A56" s="2">
        <v>40</v>
      </c>
      <c r="B56" s="2" t="s">
        <v>8</v>
      </c>
      <c r="C56" s="2">
        <v>28.7</v>
      </c>
      <c r="D56" s="2">
        <v>3</v>
      </c>
      <c r="E56" s="2" t="s">
        <v>12</v>
      </c>
      <c r="F56" s="2" t="s">
        <v>20</v>
      </c>
      <c r="G56" s="2">
        <v>1504.5517626502708</v>
      </c>
      <c r="H56" s="2">
        <v>2006.0690168670278</v>
      </c>
      <c r="I56" s="2">
        <v>0</v>
      </c>
      <c r="J56" s="2">
        <v>3</v>
      </c>
    </row>
    <row r="57" spans="1:10" x14ac:dyDescent="0.25">
      <c r="A57" s="2">
        <v>58</v>
      </c>
      <c r="B57" s="2" t="s">
        <v>11</v>
      </c>
      <c r="C57" s="2">
        <v>37</v>
      </c>
      <c r="D57" s="2">
        <v>2</v>
      </c>
      <c r="E57" s="2" t="s">
        <v>9</v>
      </c>
      <c r="F57" s="2" t="s">
        <v>20</v>
      </c>
      <c r="G57" s="2">
        <v>1819.0250386424214</v>
      </c>
      <c r="H57" s="2">
        <v>2425.366718189895</v>
      </c>
      <c r="I57" s="2">
        <v>1</v>
      </c>
      <c r="J57" s="2">
        <v>2</v>
      </c>
    </row>
    <row r="58" spans="1:10" x14ac:dyDescent="0.25">
      <c r="A58" s="2">
        <v>58</v>
      </c>
      <c r="B58" s="2" t="s">
        <v>8</v>
      </c>
      <c r="C58" s="2">
        <v>31.8</v>
      </c>
      <c r="D58" s="2">
        <v>2</v>
      </c>
      <c r="E58" s="2" t="s">
        <v>12</v>
      </c>
      <c r="F58" s="2" t="s">
        <v>15</v>
      </c>
      <c r="G58" s="2">
        <v>3198.1282518967</v>
      </c>
      <c r="H58" s="2">
        <v>4264.1710025289331</v>
      </c>
      <c r="I58" s="2">
        <v>0</v>
      </c>
      <c r="J58" s="2">
        <v>3</v>
      </c>
    </row>
    <row r="59" spans="1:10" x14ac:dyDescent="0.25">
      <c r="A59" s="2">
        <v>18</v>
      </c>
      <c r="B59" s="2" t="s">
        <v>11</v>
      </c>
      <c r="C59" s="2">
        <v>24.1</v>
      </c>
      <c r="D59" s="2">
        <v>2</v>
      </c>
      <c r="E59" s="2" t="s">
        <v>9</v>
      </c>
      <c r="F59" s="2" t="s">
        <v>13</v>
      </c>
      <c r="G59" s="2">
        <v>1795.2045225438158</v>
      </c>
      <c r="H59" s="2">
        <v>2112.0053206397843</v>
      </c>
      <c r="I59" s="2">
        <v>1</v>
      </c>
      <c r="J59" s="2">
        <v>2</v>
      </c>
    </row>
    <row r="60" spans="1:10" x14ac:dyDescent="0.25">
      <c r="A60" s="2">
        <v>53</v>
      </c>
      <c r="B60" s="2" t="s">
        <v>8</v>
      </c>
      <c r="C60" s="2">
        <v>22.9</v>
      </c>
      <c r="D60" s="2">
        <v>1</v>
      </c>
      <c r="E60" s="2" t="s">
        <v>9</v>
      </c>
      <c r="F60" s="2" t="s">
        <v>13</v>
      </c>
      <c r="G60" s="2">
        <v>4961.2091866083965</v>
      </c>
      <c r="H60" s="2">
        <v>4724.9611301032364</v>
      </c>
      <c r="I60" s="2">
        <v>1</v>
      </c>
      <c r="J60" s="2">
        <v>2</v>
      </c>
    </row>
    <row r="61" spans="1:10" x14ac:dyDescent="0.25">
      <c r="A61" s="2">
        <v>34</v>
      </c>
      <c r="B61" s="2" t="s">
        <v>8</v>
      </c>
      <c r="C61" s="2">
        <v>37.299999999999997</v>
      </c>
      <c r="D61" s="2">
        <v>2</v>
      </c>
      <c r="E61" s="2" t="s">
        <v>12</v>
      </c>
      <c r="F61" s="2" t="s">
        <v>20</v>
      </c>
      <c r="G61" s="2">
        <v>2514.0463149952825</v>
      </c>
      <c r="H61" s="2">
        <v>3352.0617533270433</v>
      </c>
      <c r="I61" s="2">
        <v>0</v>
      </c>
      <c r="J61" s="2">
        <v>3</v>
      </c>
    </row>
    <row r="62" spans="1:10" x14ac:dyDescent="0.25">
      <c r="A62" s="2">
        <v>43</v>
      </c>
      <c r="B62" s="2" t="s">
        <v>11</v>
      </c>
      <c r="C62" s="2">
        <v>27.4</v>
      </c>
      <c r="D62" s="2">
        <v>3</v>
      </c>
      <c r="E62" s="2" t="s">
        <v>12</v>
      </c>
      <c r="F62" s="2" t="s">
        <v>15</v>
      </c>
      <c r="G62" s="2">
        <v>2832.381622210497</v>
      </c>
      <c r="H62" s="2">
        <v>3776.5088296139961</v>
      </c>
      <c r="I62" s="2">
        <v>0</v>
      </c>
      <c r="J62" s="2">
        <v>3</v>
      </c>
    </row>
    <row r="63" spans="1:10" x14ac:dyDescent="0.25">
      <c r="A63" s="2">
        <v>25</v>
      </c>
      <c r="B63" s="2" t="s">
        <v>11</v>
      </c>
      <c r="C63" s="2">
        <v>33.700000000000003</v>
      </c>
      <c r="D63" s="2">
        <v>4</v>
      </c>
      <c r="E63" s="2" t="s">
        <v>12</v>
      </c>
      <c r="F63" s="2" t="s">
        <v>13</v>
      </c>
      <c r="G63" s="2">
        <v>3307.6697586685068</v>
      </c>
      <c r="H63" s="2">
        <v>4410.2263448913427</v>
      </c>
      <c r="I63" s="2">
        <v>0</v>
      </c>
      <c r="J63" s="2">
        <v>3</v>
      </c>
    </row>
    <row r="64" spans="1:10" x14ac:dyDescent="0.25">
      <c r="A64" s="2">
        <v>64</v>
      </c>
      <c r="B64" s="2" t="s">
        <v>11</v>
      </c>
      <c r="C64" s="2">
        <v>24.7</v>
      </c>
      <c r="D64" s="2">
        <v>1</v>
      </c>
      <c r="E64" s="2" t="s">
        <v>12</v>
      </c>
      <c r="F64" s="2" t="s">
        <v>20</v>
      </c>
      <c r="G64" s="2">
        <v>3562.6555957121759</v>
      </c>
      <c r="H64" s="2">
        <v>3393.0053292496932</v>
      </c>
      <c r="I64" s="2">
        <v>0</v>
      </c>
      <c r="J64" s="2">
        <v>1</v>
      </c>
    </row>
    <row r="65" spans="1:10" x14ac:dyDescent="0.25">
      <c r="A65" s="2">
        <v>28</v>
      </c>
      <c r="B65" s="2" t="s">
        <v>8</v>
      </c>
      <c r="C65" s="2">
        <v>22.4</v>
      </c>
      <c r="D65" s="2">
        <v>1</v>
      </c>
      <c r="E65" s="2" t="s">
        <v>12</v>
      </c>
      <c r="F65" s="2" t="s">
        <v>20</v>
      </c>
      <c r="G65" s="2">
        <v>1895.4256918236044</v>
      </c>
      <c r="H65" s="2">
        <v>2229.9125786160062</v>
      </c>
      <c r="I65" s="2">
        <v>0</v>
      </c>
      <c r="J65" s="2">
        <v>0</v>
      </c>
    </row>
    <row r="66" spans="1:10" x14ac:dyDescent="0.25">
      <c r="A66" s="2">
        <v>20</v>
      </c>
      <c r="B66" s="2" t="s">
        <v>8</v>
      </c>
      <c r="C66" s="2">
        <v>21.6</v>
      </c>
      <c r="D66" s="2">
        <v>0</v>
      </c>
      <c r="E66" s="2" t="s">
        <v>9</v>
      </c>
      <c r="F66" s="2" t="s">
        <v>20</v>
      </c>
      <c r="G66" s="2">
        <v>2065.9089867552989</v>
      </c>
      <c r="H66" s="2">
        <v>2430.4811608885875</v>
      </c>
      <c r="I66" s="2">
        <v>1</v>
      </c>
      <c r="J66" s="2">
        <v>2</v>
      </c>
    </row>
    <row r="67" spans="1:10" x14ac:dyDescent="0.25">
      <c r="A67" s="2">
        <v>19</v>
      </c>
      <c r="B67" s="2" t="s">
        <v>8</v>
      </c>
      <c r="C67" s="2">
        <v>20.399999999999999</v>
      </c>
      <c r="D67" s="2">
        <v>0</v>
      </c>
      <c r="E67" s="2" t="s">
        <v>12</v>
      </c>
      <c r="F67" s="2" t="s">
        <v>21</v>
      </c>
      <c r="G67" s="2">
        <v>1629.2647893933795</v>
      </c>
      <c r="H67" s="2">
        <v>1916.7821051686824</v>
      </c>
      <c r="I67" s="2">
        <v>0</v>
      </c>
      <c r="J67" s="2">
        <v>0</v>
      </c>
    </row>
    <row r="68" spans="1:10" x14ac:dyDescent="0.25">
      <c r="A68" s="2">
        <v>61</v>
      </c>
      <c r="B68" s="2" t="s">
        <v>8</v>
      </c>
      <c r="C68" s="2">
        <v>39.1</v>
      </c>
      <c r="D68" s="2">
        <v>2</v>
      </c>
      <c r="E68" s="2" t="s">
        <v>12</v>
      </c>
      <c r="F68" s="2" t="s">
        <v>21</v>
      </c>
      <c r="G68" s="2">
        <v>5013.1239081717858</v>
      </c>
      <c r="H68" s="2">
        <v>4774.4037220683686</v>
      </c>
      <c r="I68" s="2">
        <v>0</v>
      </c>
      <c r="J68" s="2">
        <v>1</v>
      </c>
    </row>
    <row r="69" spans="1:10" x14ac:dyDescent="0.25">
      <c r="A69" s="2">
        <v>40</v>
      </c>
      <c r="B69" s="2" t="s">
        <v>11</v>
      </c>
      <c r="C69" s="2">
        <v>20.9</v>
      </c>
      <c r="D69" s="2">
        <v>1</v>
      </c>
      <c r="E69" s="2" t="s">
        <v>12</v>
      </c>
      <c r="F69" s="2" t="s">
        <v>20</v>
      </c>
      <c r="G69" s="2">
        <v>1669.3929529135407</v>
      </c>
      <c r="H69" s="2">
        <v>1963.9917093100489</v>
      </c>
      <c r="I69" s="2">
        <v>0</v>
      </c>
      <c r="J69" s="2">
        <v>0</v>
      </c>
    </row>
    <row r="70" spans="1:10" x14ac:dyDescent="0.25">
      <c r="A70" s="2">
        <v>40</v>
      </c>
      <c r="B70" s="2" t="s">
        <v>8</v>
      </c>
      <c r="C70" s="2">
        <v>36.200000000000003</v>
      </c>
      <c r="D70" s="2">
        <v>0</v>
      </c>
      <c r="E70" s="2" t="s">
        <v>12</v>
      </c>
      <c r="F70" s="2" t="s">
        <v>13</v>
      </c>
      <c r="G70" s="2">
        <v>3925.3280224449527</v>
      </c>
      <c r="H70" s="2">
        <v>3738.4076404237658</v>
      </c>
      <c r="I70" s="2">
        <v>0</v>
      </c>
      <c r="J70" s="2">
        <v>1</v>
      </c>
    </row>
    <row r="71" spans="1:10" x14ac:dyDescent="0.25">
      <c r="A71" s="2">
        <v>28</v>
      </c>
      <c r="B71" s="2" t="s">
        <v>11</v>
      </c>
      <c r="C71" s="2">
        <v>24</v>
      </c>
      <c r="D71" s="2">
        <v>3</v>
      </c>
      <c r="E71" s="2" t="s">
        <v>9</v>
      </c>
      <c r="F71" s="2" t="s">
        <v>13</v>
      </c>
      <c r="G71" s="2">
        <v>1735.1687744677088</v>
      </c>
      <c r="H71" s="2">
        <v>2313.5583659569452</v>
      </c>
      <c r="I71" s="2">
        <v>1</v>
      </c>
      <c r="J71" s="2">
        <v>2</v>
      </c>
    </row>
    <row r="72" spans="1:10" x14ac:dyDescent="0.25">
      <c r="A72" s="2">
        <v>27</v>
      </c>
      <c r="B72" s="2" t="s">
        <v>8</v>
      </c>
      <c r="C72" s="2">
        <v>24.4</v>
      </c>
      <c r="D72" s="2">
        <v>0</v>
      </c>
      <c r="E72" s="2" t="s">
        <v>9</v>
      </c>
      <c r="F72" s="2" t="s">
        <v>13</v>
      </c>
      <c r="G72" s="2">
        <v>2298.9199001383977</v>
      </c>
      <c r="H72" s="2">
        <v>2704.6116472216449</v>
      </c>
      <c r="I72" s="2">
        <v>1</v>
      </c>
      <c r="J72" s="2">
        <v>2</v>
      </c>
    </row>
    <row r="73" spans="1:10" x14ac:dyDescent="0.25">
      <c r="A73" s="2">
        <v>31</v>
      </c>
      <c r="B73" s="2" t="s">
        <v>11</v>
      </c>
      <c r="C73" s="2">
        <v>28.5</v>
      </c>
      <c r="D73" s="2">
        <v>5</v>
      </c>
      <c r="E73" s="2" t="s">
        <v>12</v>
      </c>
      <c r="F73" s="2" t="s">
        <v>15</v>
      </c>
      <c r="G73" s="2">
        <v>2639.4314364261386</v>
      </c>
      <c r="H73" s="2">
        <v>3519.2419152348516</v>
      </c>
      <c r="I73" s="2">
        <v>0</v>
      </c>
      <c r="J73" s="2">
        <v>3</v>
      </c>
    </row>
    <row r="74" spans="1:10" x14ac:dyDescent="0.25">
      <c r="A74" s="2">
        <v>53</v>
      </c>
      <c r="B74" s="2" t="s">
        <v>8</v>
      </c>
      <c r="C74" s="2">
        <v>28.1</v>
      </c>
      <c r="D74" s="2">
        <v>3</v>
      </c>
      <c r="E74" s="2" t="s">
        <v>12</v>
      </c>
      <c r="F74" s="2" t="s">
        <v>21</v>
      </c>
      <c r="G74" s="2">
        <v>2384.620782474095</v>
      </c>
      <c r="H74" s="2">
        <v>3179.4943766321267</v>
      </c>
      <c r="I74" s="2">
        <v>0</v>
      </c>
      <c r="J74" s="2">
        <v>3</v>
      </c>
    </row>
    <row r="75" spans="1:10" x14ac:dyDescent="0.25">
      <c r="A75" s="2">
        <v>58</v>
      </c>
      <c r="B75" s="2" t="s">
        <v>11</v>
      </c>
      <c r="C75" s="2">
        <v>32</v>
      </c>
      <c r="D75" s="2">
        <v>1</v>
      </c>
      <c r="E75" s="2" t="s">
        <v>12</v>
      </c>
      <c r="F75" s="2" t="s">
        <v>13</v>
      </c>
      <c r="G75" s="2">
        <v>4093.5770448389408</v>
      </c>
      <c r="H75" s="2">
        <v>3898.6448046085166</v>
      </c>
      <c r="I75" s="2">
        <v>0</v>
      </c>
      <c r="J75" s="2">
        <v>1</v>
      </c>
    </row>
    <row r="76" spans="1:10" x14ac:dyDescent="0.25">
      <c r="A76" s="2">
        <v>44</v>
      </c>
      <c r="B76" s="2" t="s">
        <v>11</v>
      </c>
      <c r="C76" s="2">
        <v>27.4</v>
      </c>
      <c r="D76" s="2">
        <v>2</v>
      </c>
      <c r="E76" s="2" t="s">
        <v>12</v>
      </c>
      <c r="F76" s="2" t="s">
        <v>21</v>
      </c>
      <c r="G76" s="2">
        <v>3054.7916269971856</v>
      </c>
      <c r="H76" s="2">
        <v>4073.0555026629145</v>
      </c>
      <c r="I76" s="2">
        <v>0</v>
      </c>
      <c r="J76" s="2">
        <v>3</v>
      </c>
    </row>
    <row r="77" spans="1:10" x14ac:dyDescent="0.25">
      <c r="A77" s="2">
        <v>57</v>
      </c>
      <c r="B77" s="2" t="s">
        <v>11</v>
      </c>
      <c r="C77" s="2">
        <v>34</v>
      </c>
      <c r="D77" s="2">
        <v>0</v>
      </c>
      <c r="E77" s="2" t="s">
        <v>12</v>
      </c>
      <c r="F77" s="2" t="s">
        <v>20</v>
      </c>
      <c r="G77" s="2">
        <v>4520.1796923530137</v>
      </c>
      <c r="H77" s="2">
        <v>4304.9330403362046</v>
      </c>
      <c r="I77" s="2">
        <v>0</v>
      </c>
      <c r="J77" s="2">
        <v>1</v>
      </c>
    </row>
    <row r="78" spans="1:10" x14ac:dyDescent="0.25">
      <c r="A78" s="2">
        <v>29</v>
      </c>
      <c r="B78" s="2" t="s">
        <v>8</v>
      </c>
      <c r="C78" s="2">
        <v>22.4</v>
      </c>
      <c r="D78" s="2">
        <v>1</v>
      </c>
      <c r="E78" s="2" t="s">
        <v>12</v>
      </c>
      <c r="F78" s="2" t="s">
        <v>13</v>
      </c>
      <c r="G78" s="2">
        <v>2198.0489927980111</v>
      </c>
      <c r="H78" s="2">
        <v>2585.9399915270728</v>
      </c>
      <c r="I78" s="2">
        <v>0</v>
      </c>
      <c r="J78" s="2">
        <v>0</v>
      </c>
    </row>
    <row r="79" spans="1:10" x14ac:dyDescent="0.25">
      <c r="A79" s="2">
        <v>21</v>
      </c>
      <c r="B79" s="2" t="s">
        <v>11</v>
      </c>
      <c r="C79" s="2">
        <v>23.1</v>
      </c>
      <c r="D79" s="2">
        <v>0</v>
      </c>
      <c r="E79" s="2" t="s">
        <v>12</v>
      </c>
      <c r="F79" s="2" t="s">
        <v>13</v>
      </c>
      <c r="G79" s="2">
        <v>1654.3787686317801</v>
      </c>
      <c r="H79" s="2">
        <v>1946.3279630962127</v>
      </c>
      <c r="I79" s="2">
        <v>0</v>
      </c>
      <c r="J79" s="2">
        <v>0</v>
      </c>
    </row>
    <row r="80" spans="1:10" x14ac:dyDescent="0.25">
      <c r="A80" s="2">
        <v>22</v>
      </c>
      <c r="B80" s="2" t="s">
        <v>8</v>
      </c>
      <c r="C80" s="2">
        <v>24.8</v>
      </c>
      <c r="D80" s="2">
        <v>0</v>
      </c>
      <c r="E80" s="2" t="s">
        <v>12</v>
      </c>
      <c r="F80" s="2" t="s">
        <v>15</v>
      </c>
      <c r="G80" s="2">
        <v>2131.4700186081218</v>
      </c>
      <c r="H80" s="2">
        <v>2507.6117865977913</v>
      </c>
      <c r="I80" s="2">
        <v>0</v>
      </c>
      <c r="J80" s="2">
        <v>0</v>
      </c>
    </row>
    <row r="81" spans="1:10" x14ac:dyDescent="0.25">
      <c r="A81" s="2">
        <v>41</v>
      </c>
      <c r="B81" s="2" t="s">
        <v>8</v>
      </c>
      <c r="C81" s="2">
        <v>33</v>
      </c>
      <c r="D81" s="2">
        <v>0</v>
      </c>
      <c r="E81" s="2" t="s">
        <v>12</v>
      </c>
      <c r="F81" s="2" t="s">
        <v>20</v>
      </c>
      <c r="G81" s="2">
        <v>4218.2329620094015</v>
      </c>
      <c r="H81" s="2">
        <v>4017.364725723241</v>
      </c>
      <c r="I81" s="2">
        <v>0</v>
      </c>
      <c r="J81" s="2">
        <v>1</v>
      </c>
    </row>
    <row r="82" spans="1:10" x14ac:dyDescent="0.25">
      <c r="A82" s="2">
        <v>31</v>
      </c>
      <c r="B82" s="2" t="s">
        <v>11</v>
      </c>
      <c r="C82" s="2">
        <v>21.9</v>
      </c>
      <c r="D82" s="2">
        <v>1</v>
      </c>
      <c r="E82" s="2" t="s">
        <v>12</v>
      </c>
      <c r="F82" s="2" t="s">
        <v>15</v>
      </c>
      <c r="G82" s="2">
        <v>1852.3027237544995</v>
      </c>
      <c r="H82" s="2">
        <v>2179.1796750052945</v>
      </c>
      <c r="I82" s="2">
        <v>0</v>
      </c>
      <c r="J82" s="2">
        <v>0</v>
      </c>
    </row>
    <row r="83" spans="1:10" x14ac:dyDescent="0.25">
      <c r="A83" s="2">
        <v>45</v>
      </c>
      <c r="B83" s="2" t="s">
        <v>8</v>
      </c>
      <c r="C83" s="2">
        <v>38.299999999999997</v>
      </c>
      <c r="D83" s="2">
        <v>0</v>
      </c>
      <c r="E83" s="2" t="s">
        <v>12</v>
      </c>
      <c r="F83" s="2" t="s">
        <v>15</v>
      </c>
      <c r="G83" s="2">
        <v>5461.0297786820292</v>
      </c>
      <c r="H83" s="2">
        <v>5200.9807416019339</v>
      </c>
      <c r="I83" s="2">
        <v>0</v>
      </c>
      <c r="J83" s="2">
        <v>1</v>
      </c>
    </row>
    <row r="84" spans="1:10" x14ac:dyDescent="0.25">
      <c r="A84" s="2">
        <v>22</v>
      </c>
      <c r="B84" s="2" t="s">
        <v>11</v>
      </c>
      <c r="C84" s="2">
        <v>20.3</v>
      </c>
      <c r="D84" s="2">
        <v>1</v>
      </c>
      <c r="E84" s="2" t="s">
        <v>9</v>
      </c>
      <c r="F84" s="2" t="s">
        <v>13</v>
      </c>
      <c r="G84" s="2">
        <v>2325.2038013019805</v>
      </c>
      <c r="H84" s="2">
        <v>2735.5338838846837</v>
      </c>
      <c r="I84" s="2">
        <v>1</v>
      </c>
      <c r="J84" s="2">
        <v>2</v>
      </c>
    </row>
    <row r="85" spans="1:10" x14ac:dyDescent="0.25">
      <c r="A85" s="2">
        <v>48</v>
      </c>
      <c r="B85" s="2" t="s">
        <v>8</v>
      </c>
      <c r="C85" s="2">
        <v>41.2</v>
      </c>
      <c r="D85" s="2">
        <v>4</v>
      </c>
      <c r="E85" s="2" t="s">
        <v>12</v>
      </c>
      <c r="F85" s="2" t="s">
        <v>20</v>
      </c>
      <c r="G85" s="2">
        <v>1785.2296005369521</v>
      </c>
      <c r="H85" s="2">
        <v>2380.3061340492695</v>
      </c>
      <c r="I85" s="2">
        <v>0</v>
      </c>
      <c r="J85" s="2">
        <v>3</v>
      </c>
    </row>
    <row r="86" spans="1:10" x14ac:dyDescent="0.25">
      <c r="A86" s="2">
        <v>37</v>
      </c>
      <c r="B86" s="2" t="s">
        <v>8</v>
      </c>
      <c r="C86" s="2">
        <v>34.799999999999997</v>
      </c>
      <c r="D86" s="2">
        <v>2</v>
      </c>
      <c r="E86" s="2" t="s">
        <v>9</v>
      </c>
      <c r="F86" s="2" t="s">
        <v>21</v>
      </c>
      <c r="G86" s="2">
        <v>1918.7870407750931</v>
      </c>
      <c r="H86" s="2">
        <v>2558.3827210334575</v>
      </c>
      <c r="I86" s="2">
        <v>1</v>
      </c>
      <c r="J86" s="2">
        <v>2</v>
      </c>
    </row>
    <row r="87" spans="1:10" x14ac:dyDescent="0.25">
      <c r="A87" s="2">
        <v>45</v>
      </c>
      <c r="B87" s="2" t="s">
        <v>11</v>
      </c>
      <c r="C87" s="2">
        <v>22.9</v>
      </c>
      <c r="D87" s="2">
        <v>2</v>
      </c>
      <c r="E87" s="2" t="s">
        <v>9</v>
      </c>
      <c r="F87" s="2" t="s">
        <v>20</v>
      </c>
      <c r="G87" s="2">
        <v>1349.0817945203366</v>
      </c>
      <c r="H87" s="2">
        <v>1798.7757260271155</v>
      </c>
      <c r="I87" s="2">
        <v>1</v>
      </c>
      <c r="J87" s="2">
        <v>2</v>
      </c>
    </row>
    <row r="88" spans="1:10" x14ac:dyDescent="0.25">
      <c r="A88" s="2">
        <v>57</v>
      </c>
      <c r="B88" s="2" t="s">
        <v>8</v>
      </c>
      <c r="C88" s="2">
        <v>31.2</v>
      </c>
      <c r="D88" s="2">
        <v>0</v>
      </c>
      <c r="E88" s="2" t="s">
        <v>9</v>
      </c>
      <c r="F88" s="2" t="s">
        <v>20</v>
      </c>
      <c r="G88" s="2">
        <v>4682.6202892593656</v>
      </c>
      <c r="H88" s="2">
        <v>4459.6383707232062</v>
      </c>
      <c r="I88" s="2">
        <v>1</v>
      </c>
      <c r="J88" s="2">
        <v>2</v>
      </c>
    </row>
    <row r="89" spans="1:10" x14ac:dyDescent="0.25">
      <c r="A89" s="2">
        <v>56</v>
      </c>
      <c r="B89" s="2" t="s">
        <v>8</v>
      </c>
      <c r="C89" s="2">
        <v>27.2</v>
      </c>
      <c r="D89" s="2">
        <v>0</v>
      </c>
      <c r="E89" s="2" t="s">
        <v>12</v>
      </c>
      <c r="F89" s="2" t="s">
        <v>21</v>
      </c>
      <c r="G89" s="2">
        <v>5688.3468893807276</v>
      </c>
      <c r="H89" s="2">
        <v>5417.4732279816471</v>
      </c>
      <c r="I89" s="2">
        <v>0</v>
      </c>
      <c r="J89" s="2">
        <v>1</v>
      </c>
    </row>
    <row r="90" spans="1:10" x14ac:dyDescent="0.25">
      <c r="A90" s="2">
        <v>46</v>
      </c>
      <c r="B90" s="2" t="s">
        <v>8</v>
      </c>
      <c r="C90" s="2">
        <v>27.7</v>
      </c>
      <c r="D90" s="2">
        <v>0</v>
      </c>
      <c r="E90" s="2" t="s">
        <v>12</v>
      </c>
      <c r="F90" s="2" t="s">
        <v>20</v>
      </c>
      <c r="G90" s="2">
        <v>4398.7505345334012</v>
      </c>
      <c r="H90" s="2">
        <v>4189.2862233651458</v>
      </c>
      <c r="I90" s="2">
        <v>0</v>
      </c>
      <c r="J90" s="2">
        <v>1</v>
      </c>
    </row>
    <row r="91" spans="1:10" x14ac:dyDescent="0.25">
      <c r="A91" s="2">
        <v>55</v>
      </c>
      <c r="B91" s="2" t="s">
        <v>8</v>
      </c>
      <c r="C91" s="2">
        <v>27</v>
      </c>
      <c r="D91" s="2">
        <v>0</v>
      </c>
      <c r="E91" s="2" t="s">
        <v>12</v>
      </c>
      <c r="F91" s="2" t="s">
        <v>20</v>
      </c>
      <c r="G91" s="2">
        <v>5388.6136888826732</v>
      </c>
      <c r="H91" s="2">
        <v>5132.013037031119</v>
      </c>
      <c r="I91" s="2">
        <v>0</v>
      </c>
      <c r="J91" s="2">
        <v>1</v>
      </c>
    </row>
    <row r="92" spans="1:10" x14ac:dyDescent="0.25">
      <c r="A92" s="2">
        <v>21</v>
      </c>
      <c r="B92" s="2" t="s">
        <v>8</v>
      </c>
      <c r="C92" s="2">
        <v>20.399999999999999</v>
      </c>
      <c r="D92" s="2">
        <v>0</v>
      </c>
      <c r="E92" s="2" t="s">
        <v>12</v>
      </c>
      <c r="F92" s="2" t="s">
        <v>13</v>
      </c>
      <c r="G92" s="2">
        <v>1985.2144381811302</v>
      </c>
      <c r="H92" s="2">
        <v>2335.5463978601538</v>
      </c>
      <c r="I92" s="2">
        <v>0</v>
      </c>
      <c r="J92" s="2">
        <v>0</v>
      </c>
    </row>
    <row r="93" spans="1:10" x14ac:dyDescent="0.25">
      <c r="A93" s="2">
        <v>53</v>
      </c>
      <c r="B93" s="2" t="s">
        <v>8</v>
      </c>
      <c r="C93" s="2">
        <v>24.8</v>
      </c>
      <c r="D93" s="2">
        <v>1</v>
      </c>
      <c r="E93" s="2" t="s">
        <v>12</v>
      </c>
      <c r="F93" s="2" t="s">
        <v>20</v>
      </c>
      <c r="G93" s="2">
        <v>4468.7099785149176</v>
      </c>
      <c r="H93" s="2">
        <v>4255.9142652523042</v>
      </c>
      <c r="I93" s="2">
        <v>0</v>
      </c>
      <c r="J93" s="2">
        <v>1</v>
      </c>
    </row>
    <row r="94" spans="1:10" x14ac:dyDescent="0.25">
      <c r="A94" s="2">
        <v>59</v>
      </c>
      <c r="B94" s="2" t="s">
        <v>11</v>
      </c>
      <c r="C94" s="2">
        <v>29.8</v>
      </c>
      <c r="D94" s="2">
        <v>3</v>
      </c>
      <c r="E94" s="2" t="s">
        <v>9</v>
      </c>
      <c r="F94" s="2" t="s">
        <v>15</v>
      </c>
      <c r="G94" s="2">
        <v>1979.1236414412906</v>
      </c>
      <c r="H94" s="2">
        <v>2638.8315219217207</v>
      </c>
      <c r="I94" s="2">
        <v>1</v>
      </c>
      <c r="J94" s="2">
        <v>2</v>
      </c>
    </row>
    <row r="95" spans="1:10" x14ac:dyDescent="0.25">
      <c r="A95" s="2">
        <v>35</v>
      </c>
      <c r="B95" s="2" t="s">
        <v>11</v>
      </c>
      <c r="C95" s="2">
        <v>34.799999999999997</v>
      </c>
      <c r="D95" s="2">
        <v>2</v>
      </c>
      <c r="E95" s="2" t="s">
        <v>12</v>
      </c>
      <c r="F95" s="2" t="s">
        <v>20</v>
      </c>
      <c r="G95" s="2">
        <v>1420.8993791965383</v>
      </c>
      <c r="H95" s="2">
        <v>1894.5325055953845</v>
      </c>
      <c r="I95" s="2">
        <v>0</v>
      </c>
      <c r="J95" s="2">
        <v>3</v>
      </c>
    </row>
    <row r="96" spans="1:10" x14ac:dyDescent="0.25">
      <c r="A96" s="2">
        <v>64</v>
      </c>
      <c r="B96" s="2" t="s">
        <v>8</v>
      </c>
      <c r="C96" s="2">
        <v>31.3</v>
      </c>
      <c r="D96" s="2">
        <v>2</v>
      </c>
      <c r="E96" s="2" t="s">
        <v>9</v>
      </c>
      <c r="F96" s="2" t="s">
        <v>21</v>
      </c>
      <c r="G96" s="2">
        <v>4226.0672002939264</v>
      </c>
      <c r="H96" s="2">
        <v>4024.825905041836</v>
      </c>
      <c r="I96" s="2">
        <v>1</v>
      </c>
      <c r="J96" s="2">
        <v>2</v>
      </c>
    </row>
    <row r="97" spans="1:10" x14ac:dyDescent="0.25">
      <c r="A97" s="2">
        <v>28</v>
      </c>
      <c r="B97" s="2" t="s">
        <v>8</v>
      </c>
      <c r="C97" s="2">
        <v>22.3</v>
      </c>
      <c r="D97" s="2">
        <v>1</v>
      </c>
      <c r="E97" s="2" t="s">
        <v>12</v>
      </c>
      <c r="F97" s="2" t="s">
        <v>13</v>
      </c>
      <c r="G97" s="2">
        <v>2491.2687980162623</v>
      </c>
      <c r="H97" s="2">
        <v>2930.9044682544268</v>
      </c>
      <c r="I97" s="2">
        <v>0</v>
      </c>
      <c r="J97" s="2">
        <v>0</v>
      </c>
    </row>
    <row r="98" spans="1:10" x14ac:dyDescent="0.25">
      <c r="A98" s="2">
        <v>54</v>
      </c>
      <c r="B98" s="2" t="s">
        <v>8</v>
      </c>
      <c r="C98" s="2">
        <v>30.8</v>
      </c>
      <c r="D98" s="2">
        <v>3</v>
      </c>
      <c r="E98" s="2" t="s">
        <v>12</v>
      </c>
      <c r="F98" s="2" t="s">
        <v>21</v>
      </c>
      <c r="G98" s="2">
        <v>2714.9978669848169</v>
      </c>
      <c r="H98" s="2">
        <v>3619.9971559797559</v>
      </c>
      <c r="I98" s="2">
        <v>0</v>
      </c>
      <c r="J98" s="2">
        <v>3</v>
      </c>
    </row>
    <row r="99" spans="1:10" x14ac:dyDescent="0.25">
      <c r="A99" s="2">
        <v>55</v>
      </c>
      <c r="B99" s="2" t="s">
        <v>11</v>
      </c>
      <c r="C99" s="2">
        <v>38.299999999999997</v>
      </c>
      <c r="D99" s="2">
        <v>0</v>
      </c>
      <c r="E99" s="2" t="s">
        <v>12</v>
      </c>
      <c r="F99" s="2" t="s">
        <v>13</v>
      </c>
      <c r="G99" s="2">
        <v>4573.8199875381815</v>
      </c>
      <c r="H99" s="2">
        <v>4356.0190357506508</v>
      </c>
      <c r="I99" s="2">
        <v>0</v>
      </c>
      <c r="J99" s="2">
        <v>1</v>
      </c>
    </row>
    <row r="100" spans="1:10" x14ac:dyDescent="0.25">
      <c r="A100" s="2">
        <v>56</v>
      </c>
      <c r="B100" s="2" t="s">
        <v>11</v>
      </c>
      <c r="C100" s="2">
        <v>20</v>
      </c>
      <c r="D100" s="2">
        <v>0</v>
      </c>
      <c r="E100" s="2" t="s">
        <v>9</v>
      </c>
      <c r="F100" s="2" t="s">
        <v>15</v>
      </c>
      <c r="G100" s="2">
        <v>3762.4287431027205</v>
      </c>
      <c r="H100" s="2">
        <v>3583.2654696216405</v>
      </c>
      <c r="I100" s="2">
        <v>1</v>
      </c>
      <c r="J100" s="2">
        <v>2</v>
      </c>
    </row>
    <row r="101" spans="1:10" x14ac:dyDescent="0.25">
      <c r="A101" s="2">
        <v>38</v>
      </c>
      <c r="B101" s="2" t="s">
        <v>11</v>
      </c>
      <c r="C101" s="2">
        <v>24.4</v>
      </c>
      <c r="D101" s="2">
        <v>0</v>
      </c>
      <c r="E101" s="2" t="s">
        <v>9</v>
      </c>
      <c r="F101" s="2" t="s">
        <v>21</v>
      </c>
      <c r="G101" s="2">
        <v>1862.1234597222269</v>
      </c>
      <c r="H101" s="2">
        <v>2190.7334820261499</v>
      </c>
      <c r="I101" s="2">
        <v>1</v>
      </c>
      <c r="J101" s="2">
        <v>2</v>
      </c>
    </row>
    <row r="102" spans="1:10" x14ac:dyDescent="0.25">
      <c r="A102" s="2">
        <v>41</v>
      </c>
      <c r="B102" s="2" t="s">
        <v>8</v>
      </c>
      <c r="C102" s="2">
        <v>31.6</v>
      </c>
      <c r="D102" s="2">
        <v>0</v>
      </c>
      <c r="E102" s="2" t="s">
        <v>12</v>
      </c>
      <c r="F102" s="2" t="s">
        <v>21</v>
      </c>
      <c r="G102" s="2">
        <v>5540.1331975344701</v>
      </c>
      <c r="H102" s="2">
        <v>5276.3173309852109</v>
      </c>
      <c r="I102" s="2">
        <v>0</v>
      </c>
      <c r="J102" s="2">
        <v>1</v>
      </c>
    </row>
    <row r="103" spans="1:10" x14ac:dyDescent="0.25">
      <c r="A103" s="2">
        <v>30</v>
      </c>
      <c r="B103" s="2" t="s">
        <v>11</v>
      </c>
      <c r="C103" s="2">
        <v>24</v>
      </c>
      <c r="D103" s="2">
        <v>0</v>
      </c>
      <c r="E103" s="2" t="s">
        <v>12</v>
      </c>
      <c r="F103" s="2" t="s">
        <v>15</v>
      </c>
      <c r="G103" s="2">
        <v>1725.6873835924328</v>
      </c>
      <c r="H103" s="2">
        <v>2030.2204512852159</v>
      </c>
      <c r="I103" s="2">
        <v>0</v>
      </c>
      <c r="J103" s="2">
        <v>0</v>
      </c>
    </row>
    <row r="104" spans="1:10" x14ac:dyDescent="0.25">
      <c r="A104" s="2">
        <v>18</v>
      </c>
      <c r="B104" s="2" t="s">
        <v>8</v>
      </c>
      <c r="C104" s="2">
        <v>25.8</v>
      </c>
      <c r="D104" s="2">
        <v>0</v>
      </c>
      <c r="E104" s="2" t="s">
        <v>12</v>
      </c>
      <c r="F104" s="2" t="s">
        <v>15</v>
      </c>
      <c r="G104" s="2">
        <v>1676.5324466235249</v>
      </c>
      <c r="H104" s="2">
        <v>1972.3911136747361</v>
      </c>
      <c r="I104" s="2">
        <v>0</v>
      </c>
      <c r="J104" s="2">
        <v>0</v>
      </c>
    </row>
    <row r="105" spans="1:10" x14ac:dyDescent="0.25">
      <c r="A105" s="2">
        <v>61</v>
      </c>
      <c r="B105" s="2" t="s">
        <v>8</v>
      </c>
      <c r="C105" s="2">
        <v>29.9</v>
      </c>
      <c r="D105" s="2">
        <v>3</v>
      </c>
      <c r="E105" s="2" t="s">
        <v>9</v>
      </c>
      <c r="F105" s="2" t="s">
        <v>13</v>
      </c>
      <c r="G105" s="2">
        <v>2065.7567231661196</v>
      </c>
      <c r="H105" s="2">
        <v>2754.3422975548265</v>
      </c>
      <c r="I105" s="2">
        <v>1</v>
      </c>
      <c r="J105" s="2">
        <v>2</v>
      </c>
    </row>
    <row r="106" spans="1:10" x14ac:dyDescent="0.25">
      <c r="A106" s="2">
        <v>34</v>
      </c>
      <c r="B106" s="2" t="s">
        <v>8</v>
      </c>
      <c r="C106" s="2">
        <v>24</v>
      </c>
      <c r="D106" s="2">
        <v>1</v>
      </c>
      <c r="E106" s="2" t="s">
        <v>12</v>
      </c>
      <c r="F106" s="2" t="s">
        <v>21</v>
      </c>
      <c r="G106" s="2">
        <v>1629.5980714431037</v>
      </c>
      <c r="H106" s="2">
        <v>1917.1742016977698</v>
      </c>
      <c r="I106" s="2">
        <v>0</v>
      </c>
      <c r="J106" s="2">
        <v>0</v>
      </c>
    </row>
    <row r="107" spans="1:10" x14ac:dyDescent="0.25">
      <c r="A107" s="2">
        <v>20</v>
      </c>
      <c r="B107" s="2" t="s">
        <v>11</v>
      </c>
      <c r="C107" s="2">
        <v>20.3</v>
      </c>
      <c r="D107" s="2">
        <v>1</v>
      </c>
      <c r="E107" s="2" t="s">
        <v>9</v>
      </c>
      <c r="F107" s="2" t="s">
        <v>20</v>
      </c>
      <c r="G107" s="2">
        <v>1412.5701369134324</v>
      </c>
      <c r="H107" s="2">
        <v>1661.8472198981565</v>
      </c>
      <c r="I107" s="2">
        <v>1</v>
      </c>
      <c r="J107" s="2">
        <v>2</v>
      </c>
    </row>
    <row r="108" spans="1:10" x14ac:dyDescent="0.25">
      <c r="A108" s="2">
        <v>19</v>
      </c>
      <c r="B108" s="2" t="s">
        <v>8</v>
      </c>
      <c r="C108" s="2">
        <v>21.4</v>
      </c>
      <c r="D108" s="2">
        <v>1</v>
      </c>
      <c r="E108" s="2" t="s">
        <v>12</v>
      </c>
      <c r="F108" s="2" t="s">
        <v>21</v>
      </c>
      <c r="G108" s="2">
        <v>1732.0546304830134</v>
      </c>
      <c r="H108" s="2">
        <v>2037.7113299800167</v>
      </c>
      <c r="I108" s="2">
        <v>0</v>
      </c>
      <c r="J108" s="2">
        <v>0</v>
      </c>
    </row>
    <row r="109" spans="1:10" x14ac:dyDescent="0.25">
      <c r="A109" s="2">
        <v>26</v>
      </c>
      <c r="B109" s="2" t="s">
        <v>11</v>
      </c>
      <c r="C109" s="2">
        <v>30.9</v>
      </c>
      <c r="D109" s="2">
        <v>2</v>
      </c>
      <c r="E109" s="2" t="s">
        <v>12</v>
      </c>
      <c r="F109" s="2" t="s">
        <v>20</v>
      </c>
      <c r="G109" s="2">
        <v>2517.0728798476548</v>
      </c>
      <c r="H109" s="2">
        <v>3356.0971731302066</v>
      </c>
      <c r="I109" s="2">
        <v>0</v>
      </c>
      <c r="J109" s="2">
        <v>3</v>
      </c>
    </row>
    <row r="110" spans="1:10" x14ac:dyDescent="0.25">
      <c r="A110" s="2">
        <v>29</v>
      </c>
      <c r="B110" s="2" t="s">
        <v>11</v>
      </c>
      <c r="C110" s="2">
        <v>21</v>
      </c>
      <c r="D110" s="2">
        <v>0</v>
      </c>
      <c r="E110" s="2" t="s">
        <v>12</v>
      </c>
      <c r="F110" s="2" t="s">
        <v>13</v>
      </c>
      <c r="G110" s="2">
        <v>1946.3102372709895</v>
      </c>
      <c r="H110" s="2">
        <v>2289.7767497305767</v>
      </c>
      <c r="I110" s="2">
        <v>0</v>
      </c>
      <c r="J110" s="2">
        <v>0</v>
      </c>
    </row>
    <row r="111" spans="1:10" x14ac:dyDescent="0.25">
      <c r="A111" s="2">
        <v>63</v>
      </c>
      <c r="B111" s="2" t="s">
        <v>11</v>
      </c>
      <c r="C111" s="2">
        <v>35.1</v>
      </c>
      <c r="D111" s="2">
        <v>0</v>
      </c>
      <c r="E111" s="2" t="s">
        <v>9</v>
      </c>
      <c r="F111" s="2" t="s">
        <v>13</v>
      </c>
      <c r="G111" s="2">
        <v>5365.5387078461554</v>
      </c>
      <c r="H111" s="2">
        <v>5110.0368646153875</v>
      </c>
      <c r="I111" s="2">
        <v>1</v>
      </c>
      <c r="J111" s="2">
        <v>2</v>
      </c>
    </row>
    <row r="112" spans="1:10" x14ac:dyDescent="0.25">
      <c r="A112" s="2">
        <v>54</v>
      </c>
      <c r="B112" s="2" t="s">
        <v>11</v>
      </c>
      <c r="C112" s="2">
        <v>33.6</v>
      </c>
      <c r="D112" s="2">
        <v>1</v>
      </c>
      <c r="E112" s="2" t="s">
        <v>12</v>
      </c>
      <c r="F112" s="2" t="s">
        <v>20</v>
      </c>
      <c r="G112" s="2">
        <v>5580.8013011362837</v>
      </c>
      <c r="H112" s="2">
        <v>5315.0488582250346</v>
      </c>
      <c r="I112" s="2">
        <v>0</v>
      </c>
      <c r="J112" s="2">
        <v>1</v>
      </c>
    </row>
    <row r="113" spans="1:10" x14ac:dyDescent="0.25">
      <c r="A113" s="2">
        <v>55</v>
      </c>
      <c r="B113" s="2" t="s">
        <v>8</v>
      </c>
      <c r="C113" s="2">
        <v>29.7</v>
      </c>
      <c r="D113" s="2">
        <v>2</v>
      </c>
      <c r="E113" s="2" t="s">
        <v>12</v>
      </c>
      <c r="F113" s="2" t="s">
        <v>21</v>
      </c>
      <c r="G113" s="2">
        <v>1595.0953825058127</v>
      </c>
      <c r="H113" s="2">
        <v>2126.7938433410836</v>
      </c>
      <c r="I113" s="2">
        <v>0</v>
      </c>
      <c r="J113" s="2">
        <v>3</v>
      </c>
    </row>
    <row r="114" spans="1:10" x14ac:dyDescent="0.25">
      <c r="A114" s="2">
        <v>37</v>
      </c>
      <c r="B114" s="2" t="s">
        <v>11</v>
      </c>
      <c r="C114" s="2">
        <v>20</v>
      </c>
      <c r="D114" s="2">
        <v>0</v>
      </c>
      <c r="E114" s="2" t="s">
        <v>12</v>
      </c>
      <c r="F114" s="2" t="s">
        <v>21</v>
      </c>
      <c r="G114" s="2">
        <v>2231.2468538328712</v>
      </c>
      <c r="H114" s="2">
        <v>2624.9962986269084</v>
      </c>
      <c r="I114" s="2">
        <v>0</v>
      </c>
      <c r="J114" s="2">
        <v>0</v>
      </c>
    </row>
    <row r="115" spans="1:10" x14ac:dyDescent="0.25">
      <c r="A115" s="2">
        <v>21</v>
      </c>
      <c r="B115" s="2" t="s">
        <v>8</v>
      </c>
      <c r="C115" s="2">
        <v>21.4</v>
      </c>
      <c r="D115" s="2">
        <v>0</v>
      </c>
      <c r="E115" s="2" t="s">
        <v>12</v>
      </c>
      <c r="F115" s="2" t="s">
        <v>20</v>
      </c>
      <c r="G115" s="2">
        <v>1634.5056560994026</v>
      </c>
      <c r="H115" s="2">
        <v>1922.9478307051802</v>
      </c>
      <c r="I115" s="2">
        <v>0</v>
      </c>
      <c r="J115" s="2">
        <v>0</v>
      </c>
    </row>
    <row r="116" spans="1:10" x14ac:dyDescent="0.25">
      <c r="A116" s="2">
        <v>52</v>
      </c>
      <c r="B116" s="2" t="s">
        <v>11</v>
      </c>
      <c r="C116" s="2">
        <v>32.200000000000003</v>
      </c>
      <c r="D116" s="2">
        <v>3</v>
      </c>
      <c r="E116" s="2" t="s">
        <v>12</v>
      </c>
      <c r="F116" s="2" t="s">
        <v>15</v>
      </c>
      <c r="G116" s="2">
        <v>1847.5148385060888</v>
      </c>
      <c r="H116" s="2">
        <v>2463.3531180081186</v>
      </c>
      <c r="I116" s="2">
        <v>0</v>
      </c>
      <c r="J116" s="2">
        <v>3</v>
      </c>
    </row>
    <row r="117" spans="1:10" x14ac:dyDescent="0.25">
      <c r="A117" s="2">
        <v>60</v>
      </c>
      <c r="B117" s="2" t="s">
        <v>11</v>
      </c>
      <c r="C117" s="2">
        <v>28.6</v>
      </c>
      <c r="D117" s="2">
        <v>0</v>
      </c>
      <c r="E117" s="2" t="s">
        <v>12</v>
      </c>
      <c r="F117" s="2" t="s">
        <v>15</v>
      </c>
      <c r="G117" s="2">
        <v>3863.1244188612586</v>
      </c>
      <c r="H117" s="2">
        <v>3679.1661132012005</v>
      </c>
      <c r="I117" s="2">
        <v>0</v>
      </c>
      <c r="J117" s="2">
        <v>1</v>
      </c>
    </row>
    <row r="118" spans="1:10" x14ac:dyDescent="0.25">
      <c r="A118" s="2">
        <v>58</v>
      </c>
      <c r="B118" s="2" t="s">
        <v>11</v>
      </c>
      <c r="C118" s="2">
        <v>49.1</v>
      </c>
      <c r="D118" s="2">
        <v>0</v>
      </c>
      <c r="E118" s="2" t="s">
        <v>12</v>
      </c>
      <c r="F118" s="2" t="s">
        <v>13</v>
      </c>
      <c r="G118" s="2">
        <v>4631.2842510199162</v>
      </c>
      <c r="H118" s="2">
        <v>4410.7469057332546</v>
      </c>
      <c r="I118" s="2">
        <v>0</v>
      </c>
      <c r="J118" s="2">
        <v>1</v>
      </c>
    </row>
    <row r="119" spans="1:10" x14ac:dyDescent="0.25">
      <c r="A119" s="2">
        <v>29</v>
      </c>
      <c r="B119" s="2" t="s">
        <v>8</v>
      </c>
      <c r="C119" s="2">
        <v>22.1</v>
      </c>
      <c r="D119" s="2">
        <v>1</v>
      </c>
      <c r="E119" s="2" t="s">
        <v>9</v>
      </c>
      <c r="F119" s="2" t="s">
        <v>13</v>
      </c>
      <c r="G119" s="2">
        <v>1568.6876054440893</v>
      </c>
      <c r="H119" s="2">
        <v>1845.5148299342236</v>
      </c>
      <c r="I119" s="2">
        <v>1</v>
      </c>
      <c r="J119" s="2">
        <v>2</v>
      </c>
    </row>
    <row r="120" spans="1:10" x14ac:dyDescent="0.25">
      <c r="A120" s="2">
        <v>49</v>
      </c>
      <c r="B120" s="2" t="s">
        <v>8</v>
      </c>
      <c r="C120" s="2">
        <v>27.2</v>
      </c>
      <c r="D120" s="2">
        <v>0</v>
      </c>
      <c r="E120" s="2" t="s">
        <v>12</v>
      </c>
      <c r="F120" s="2" t="s">
        <v>13</v>
      </c>
      <c r="G120" s="2">
        <v>5204.7794364033334</v>
      </c>
      <c r="H120" s="2">
        <v>4956.9327965746052</v>
      </c>
      <c r="I120" s="2">
        <v>0</v>
      </c>
      <c r="J120" s="2">
        <v>1</v>
      </c>
    </row>
    <row r="121" spans="1:10" x14ac:dyDescent="0.25">
      <c r="A121" s="2">
        <v>37</v>
      </c>
      <c r="B121" s="2" t="s">
        <v>8</v>
      </c>
      <c r="C121" s="2">
        <v>23.4</v>
      </c>
      <c r="D121" s="2">
        <v>2</v>
      </c>
      <c r="E121" s="2" t="s">
        <v>12</v>
      </c>
      <c r="F121" s="2" t="s">
        <v>20</v>
      </c>
      <c r="G121" s="2">
        <v>2895.0414667981422</v>
      </c>
      <c r="H121" s="2">
        <v>3405.9311374095805</v>
      </c>
      <c r="I121" s="2">
        <v>0</v>
      </c>
      <c r="J121" s="2">
        <v>0</v>
      </c>
    </row>
    <row r="122" spans="1:10" x14ac:dyDescent="0.25">
      <c r="A122" s="2">
        <v>44</v>
      </c>
      <c r="B122" s="2" t="s">
        <v>11</v>
      </c>
      <c r="C122" s="2">
        <v>37.1</v>
      </c>
      <c r="D122" s="2">
        <v>2</v>
      </c>
      <c r="E122" s="2" t="s">
        <v>12</v>
      </c>
      <c r="F122" s="2" t="s">
        <v>21</v>
      </c>
      <c r="G122" s="2">
        <v>1561.2965288556022</v>
      </c>
      <c r="H122" s="2">
        <v>2081.728705140803</v>
      </c>
      <c r="I122" s="2">
        <v>0</v>
      </c>
      <c r="J122" s="2">
        <v>3</v>
      </c>
    </row>
    <row r="123" spans="1:10" x14ac:dyDescent="0.25">
      <c r="A123" s="2">
        <v>18</v>
      </c>
      <c r="B123" s="2" t="s">
        <v>11</v>
      </c>
      <c r="C123" s="2">
        <v>22.6</v>
      </c>
      <c r="D123" s="2">
        <v>0</v>
      </c>
      <c r="E123" s="2" t="s">
        <v>12</v>
      </c>
      <c r="F123" s="2" t="s">
        <v>15</v>
      </c>
      <c r="G123" s="2">
        <v>1580.2486739536644</v>
      </c>
      <c r="H123" s="2">
        <v>1859.1160870043118</v>
      </c>
      <c r="I123" s="2">
        <v>0</v>
      </c>
      <c r="J123" s="2">
        <v>0</v>
      </c>
    </row>
    <row r="124" spans="1:10" x14ac:dyDescent="0.25">
      <c r="A124" s="2">
        <v>20</v>
      </c>
      <c r="B124" s="2" t="s">
        <v>8</v>
      </c>
      <c r="C124" s="2">
        <v>25.7</v>
      </c>
      <c r="D124" s="2">
        <v>0</v>
      </c>
      <c r="E124" s="2" t="s">
        <v>12</v>
      </c>
      <c r="F124" s="2" t="s">
        <v>20</v>
      </c>
      <c r="G124" s="2">
        <v>2042.4378524175274</v>
      </c>
      <c r="H124" s="2">
        <v>2402.8680616676802</v>
      </c>
      <c r="I124" s="2">
        <v>0</v>
      </c>
      <c r="J124" s="2">
        <v>0</v>
      </c>
    </row>
    <row r="125" spans="1:10" x14ac:dyDescent="0.25">
      <c r="A125" s="2">
        <v>44</v>
      </c>
      <c r="B125" s="2" t="s">
        <v>11</v>
      </c>
      <c r="C125" s="2">
        <v>31.4</v>
      </c>
      <c r="D125" s="2">
        <v>1</v>
      </c>
      <c r="E125" s="2" t="s">
        <v>9</v>
      </c>
      <c r="F125" s="2" t="s">
        <v>15</v>
      </c>
      <c r="G125" s="2">
        <v>4791.3637556242538</v>
      </c>
      <c r="H125" s="2">
        <v>4563.2035767850048</v>
      </c>
      <c r="I125" s="2">
        <v>1</v>
      </c>
      <c r="J125" s="2">
        <v>2</v>
      </c>
    </row>
    <row r="126" spans="1:10" x14ac:dyDescent="0.25">
      <c r="A126" s="2">
        <v>47</v>
      </c>
      <c r="B126" s="2" t="s">
        <v>8</v>
      </c>
      <c r="C126" s="2">
        <v>33.9</v>
      </c>
      <c r="D126" s="2">
        <v>3</v>
      </c>
      <c r="E126" s="2" t="s">
        <v>12</v>
      </c>
      <c r="F126" s="2" t="s">
        <v>20</v>
      </c>
      <c r="G126" s="2">
        <v>1950.1737489336697</v>
      </c>
      <c r="H126" s="2">
        <v>2600.2316652448931</v>
      </c>
      <c r="I126" s="2">
        <v>0</v>
      </c>
      <c r="J126" s="2">
        <v>3</v>
      </c>
    </row>
    <row r="127" spans="1:10" x14ac:dyDescent="0.25">
      <c r="A127" s="2">
        <v>26</v>
      </c>
      <c r="B127" s="2" t="s">
        <v>8</v>
      </c>
      <c r="C127" s="2">
        <v>23</v>
      </c>
      <c r="D127" s="2">
        <v>0</v>
      </c>
      <c r="E127" s="2" t="s">
        <v>12</v>
      </c>
      <c r="F127" s="2" t="s">
        <v>15</v>
      </c>
      <c r="G127" s="2">
        <v>1920.7795768585809</v>
      </c>
      <c r="H127" s="2">
        <v>2259.7406786571546</v>
      </c>
      <c r="I127" s="2">
        <v>0</v>
      </c>
      <c r="J127" s="2">
        <v>0</v>
      </c>
    </row>
    <row r="128" spans="1:10" x14ac:dyDescent="0.25">
      <c r="A128" s="2">
        <v>19</v>
      </c>
      <c r="B128" s="2" t="s">
        <v>8</v>
      </c>
      <c r="C128" s="2">
        <v>26</v>
      </c>
      <c r="D128" s="2">
        <v>0</v>
      </c>
      <c r="E128" s="2" t="s">
        <v>9</v>
      </c>
      <c r="F128" s="2" t="s">
        <v>21</v>
      </c>
      <c r="G128" s="2">
        <v>1645.2179587103167</v>
      </c>
      <c r="H128" s="2">
        <v>1935.5505396591968</v>
      </c>
      <c r="I128" s="2">
        <v>1</v>
      </c>
      <c r="J128" s="2">
        <v>2</v>
      </c>
    </row>
    <row r="129" spans="1:10" x14ac:dyDescent="0.25">
      <c r="A129" s="2">
        <v>52</v>
      </c>
      <c r="B129" s="2" t="s">
        <v>8</v>
      </c>
      <c r="C129" s="2">
        <v>37.4</v>
      </c>
      <c r="D129" s="2">
        <v>0</v>
      </c>
      <c r="E129" s="2" t="s">
        <v>12</v>
      </c>
      <c r="F129" s="2" t="s">
        <v>21</v>
      </c>
      <c r="G129" s="2">
        <v>5679.1385772799295</v>
      </c>
      <c r="H129" s="2">
        <v>5408.7034069332676</v>
      </c>
      <c r="I129" s="2">
        <v>0</v>
      </c>
      <c r="J129" s="2">
        <v>1</v>
      </c>
    </row>
    <row r="130" spans="1:10" x14ac:dyDescent="0.25">
      <c r="A130" s="2">
        <v>32</v>
      </c>
      <c r="B130" s="2" t="s">
        <v>8</v>
      </c>
      <c r="C130" s="2">
        <v>17.8</v>
      </c>
      <c r="D130" s="2">
        <v>2</v>
      </c>
      <c r="E130" s="2" t="s">
        <v>9</v>
      </c>
      <c r="F130" s="2" t="s">
        <v>20</v>
      </c>
      <c r="G130" s="2">
        <v>2264.1915777157442</v>
      </c>
      <c r="H130" s="2">
        <v>2663.7547973126411</v>
      </c>
      <c r="I130" s="2">
        <v>1</v>
      </c>
      <c r="J130" s="2">
        <v>2</v>
      </c>
    </row>
    <row r="131" spans="1:10" x14ac:dyDescent="0.25">
      <c r="A131" s="2">
        <v>38</v>
      </c>
      <c r="B131" s="2" t="s">
        <v>11</v>
      </c>
      <c r="C131" s="2">
        <v>34.700000000000003</v>
      </c>
      <c r="D131" s="2">
        <v>2</v>
      </c>
      <c r="E131" s="2" t="s">
        <v>12</v>
      </c>
      <c r="F131" s="2" t="s">
        <v>21</v>
      </c>
      <c r="G131" s="2">
        <v>1977.8061891272491</v>
      </c>
      <c r="H131" s="2">
        <v>2637.074918836332</v>
      </c>
      <c r="I131" s="2">
        <v>0</v>
      </c>
      <c r="J131" s="2">
        <v>3</v>
      </c>
    </row>
    <row r="132" spans="1:10" x14ac:dyDescent="0.25">
      <c r="A132" s="2">
        <v>59</v>
      </c>
      <c r="B132" s="2" t="s">
        <v>8</v>
      </c>
      <c r="C132" s="2">
        <v>26.5</v>
      </c>
      <c r="D132" s="2">
        <v>0</v>
      </c>
      <c r="E132" s="2" t="s">
        <v>12</v>
      </c>
      <c r="F132" s="2" t="s">
        <v>15</v>
      </c>
      <c r="G132" s="2">
        <v>4719.7129221018167</v>
      </c>
      <c r="H132" s="2">
        <v>4494.9646877160176</v>
      </c>
      <c r="I132" s="2">
        <v>0</v>
      </c>
      <c r="J132" s="2">
        <v>1</v>
      </c>
    </row>
    <row r="133" spans="1:10" x14ac:dyDescent="0.25">
      <c r="A133" s="2">
        <v>61</v>
      </c>
      <c r="B133" s="2" t="s">
        <v>8</v>
      </c>
      <c r="C133" s="2">
        <v>22</v>
      </c>
      <c r="D133" s="2">
        <v>0</v>
      </c>
      <c r="E133" s="2" t="s">
        <v>12</v>
      </c>
      <c r="F133" s="2" t="s">
        <v>15</v>
      </c>
      <c r="G133" s="2">
        <v>3987.3824295814588</v>
      </c>
      <c r="H133" s="2">
        <v>3797.5070757918675</v>
      </c>
      <c r="I133" s="2">
        <v>0</v>
      </c>
      <c r="J133" s="2">
        <v>1</v>
      </c>
    </row>
    <row r="134" spans="1:10" x14ac:dyDescent="0.25">
      <c r="A134" s="2">
        <v>53</v>
      </c>
      <c r="B134" s="2" t="s">
        <v>8</v>
      </c>
      <c r="C134" s="2">
        <v>35.9</v>
      </c>
      <c r="D134" s="2">
        <v>2</v>
      </c>
      <c r="E134" s="2" t="s">
        <v>12</v>
      </c>
      <c r="F134" s="2" t="s">
        <v>21</v>
      </c>
      <c r="G134" s="2">
        <v>3558.6247785475998</v>
      </c>
      <c r="H134" s="2">
        <v>4744.8330380634661</v>
      </c>
      <c r="I134" s="2">
        <v>0</v>
      </c>
      <c r="J134" s="2">
        <v>3</v>
      </c>
    </row>
    <row r="135" spans="1:10" x14ac:dyDescent="0.25">
      <c r="A135" s="2">
        <v>19</v>
      </c>
      <c r="B135" s="2" t="s">
        <v>11</v>
      </c>
      <c r="C135" s="2">
        <v>20.100000000000001</v>
      </c>
      <c r="D135" s="2">
        <v>0</v>
      </c>
      <c r="E135" s="2" t="s">
        <v>12</v>
      </c>
      <c r="F135" s="2" t="s">
        <v>20</v>
      </c>
      <c r="G135" s="2">
        <v>1858.7342740920224</v>
      </c>
      <c r="H135" s="2">
        <v>2186.7462048141451</v>
      </c>
      <c r="I135" s="2">
        <v>0</v>
      </c>
      <c r="J135" s="2">
        <v>0</v>
      </c>
    </row>
    <row r="136" spans="1:10" x14ac:dyDescent="0.25">
      <c r="A136" s="2">
        <v>20</v>
      </c>
      <c r="B136" s="2" t="s">
        <v>8</v>
      </c>
      <c r="C136" s="2">
        <v>21.7</v>
      </c>
      <c r="D136" s="2">
        <v>0</v>
      </c>
      <c r="E136" s="2" t="s">
        <v>12</v>
      </c>
      <c r="F136" s="2" t="s">
        <v>15</v>
      </c>
      <c r="G136" s="2">
        <v>1833.3208697567895</v>
      </c>
      <c r="H136" s="2">
        <v>2156.8480820668119</v>
      </c>
      <c r="I136" s="2">
        <v>0</v>
      </c>
      <c r="J136" s="2">
        <v>0</v>
      </c>
    </row>
    <row r="137" spans="1:10" x14ac:dyDescent="0.25">
      <c r="A137" s="2">
        <v>22</v>
      </c>
      <c r="B137" s="2" t="s">
        <v>8</v>
      </c>
      <c r="C137" s="2">
        <v>23.5</v>
      </c>
      <c r="D137" s="2">
        <v>0</v>
      </c>
      <c r="E137" s="2" t="s">
        <v>12</v>
      </c>
      <c r="F137" s="2" t="s">
        <v>13</v>
      </c>
      <c r="G137" s="2">
        <v>1456.024836230511</v>
      </c>
      <c r="H137" s="2">
        <v>1712.9703955653076</v>
      </c>
      <c r="I137" s="2">
        <v>0</v>
      </c>
      <c r="J137" s="2">
        <v>0</v>
      </c>
    </row>
    <row r="138" spans="1:10" x14ac:dyDescent="0.25">
      <c r="A138" s="2">
        <v>19</v>
      </c>
      <c r="B138" s="2" t="s">
        <v>11</v>
      </c>
      <c r="C138" s="2">
        <v>22.3</v>
      </c>
      <c r="D138" s="2">
        <v>0</v>
      </c>
      <c r="E138" s="2" t="s">
        <v>12</v>
      </c>
      <c r="F138" s="2" t="s">
        <v>21</v>
      </c>
      <c r="G138" s="2">
        <v>2228.1163471564914</v>
      </c>
      <c r="H138" s="2">
        <v>2621.3133495958737</v>
      </c>
      <c r="I138" s="2">
        <v>0</v>
      </c>
      <c r="J138" s="2">
        <v>0</v>
      </c>
    </row>
    <row r="139" spans="1:10" x14ac:dyDescent="0.25">
      <c r="A139" s="2">
        <v>22</v>
      </c>
      <c r="B139" s="2" t="s">
        <v>11</v>
      </c>
      <c r="C139" s="2">
        <v>21</v>
      </c>
      <c r="D139" s="2">
        <v>0</v>
      </c>
      <c r="E139" s="2" t="s">
        <v>12</v>
      </c>
      <c r="F139" s="2" t="s">
        <v>20</v>
      </c>
      <c r="G139" s="2">
        <v>2395.8762666556704</v>
      </c>
      <c r="H139" s="2">
        <v>2818.677960771377</v>
      </c>
      <c r="I139" s="2">
        <v>0</v>
      </c>
      <c r="J139" s="2">
        <v>0</v>
      </c>
    </row>
    <row r="140" spans="1:10" x14ac:dyDescent="0.25">
      <c r="A140" s="2">
        <v>54</v>
      </c>
      <c r="B140" s="2" t="s">
        <v>8</v>
      </c>
      <c r="C140" s="2">
        <v>31.9</v>
      </c>
      <c r="D140" s="2">
        <v>3</v>
      </c>
      <c r="E140" s="2" t="s">
        <v>12</v>
      </c>
      <c r="F140" s="2" t="s">
        <v>13</v>
      </c>
      <c r="G140" s="2">
        <v>2233.9484186959216</v>
      </c>
      <c r="H140" s="2">
        <v>2978.597891594562</v>
      </c>
      <c r="I140" s="2">
        <v>0</v>
      </c>
      <c r="J140" s="2">
        <v>3</v>
      </c>
    </row>
    <row r="141" spans="1:10" x14ac:dyDescent="0.25">
      <c r="A141" s="2">
        <v>22</v>
      </c>
      <c r="B141" s="2" t="s">
        <v>8</v>
      </c>
      <c r="C141" s="2">
        <v>21</v>
      </c>
      <c r="D141" s="2">
        <v>0</v>
      </c>
      <c r="E141" s="2" t="s">
        <v>12</v>
      </c>
      <c r="F141" s="2" t="s">
        <v>21</v>
      </c>
      <c r="G141" s="2">
        <v>1586.1094581231841</v>
      </c>
      <c r="H141" s="2">
        <v>1866.011127203747</v>
      </c>
      <c r="I141" s="2">
        <v>0</v>
      </c>
      <c r="J141" s="2">
        <v>0</v>
      </c>
    </row>
    <row r="142" spans="1:10" x14ac:dyDescent="0.25">
      <c r="A142" s="2">
        <v>34</v>
      </c>
      <c r="B142" s="2" t="s">
        <v>11</v>
      </c>
      <c r="C142" s="2">
        <v>22.4</v>
      </c>
      <c r="D142" s="2">
        <v>2</v>
      </c>
      <c r="E142" s="2" t="s">
        <v>12</v>
      </c>
      <c r="F142" s="2" t="s">
        <v>15</v>
      </c>
      <c r="G142" s="2">
        <v>1837.2503410340764</v>
      </c>
      <c r="H142" s="2">
        <v>2161.4709894518555</v>
      </c>
      <c r="I142" s="2">
        <v>0</v>
      </c>
      <c r="J142" s="2">
        <v>0</v>
      </c>
    </row>
    <row r="143" spans="1:10" x14ac:dyDescent="0.25">
      <c r="A143" s="2">
        <v>26</v>
      </c>
      <c r="B143" s="2" t="s">
        <v>11</v>
      </c>
      <c r="C143" s="2">
        <v>20.399999999999999</v>
      </c>
      <c r="D143" s="2">
        <v>1</v>
      </c>
      <c r="E143" s="2" t="s">
        <v>12</v>
      </c>
      <c r="F143" s="2" t="s">
        <v>15</v>
      </c>
      <c r="G143" s="2">
        <v>1945.6550897030884</v>
      </c>
      <c r="H143" s="2">
        <v>2289.005987885987</v>
      </c>
      <c r="I143" s="2">
        <v>0</v>
      </c>
      <c r="J143" s="2">
        <v>0</v>
      </c>
    </row>
    <row r="144" spans="1:10" x14ac:dyDescent="0.25">
      <c r="A144" s="2">
        <v>34</v>
      </c>
      <c r="B144" s="2" t="s">
        <v>11</v>
      </c>
      <c r="C144" s="2">
        <v>25.3</v>
      </c>
      <c r="D144" s="2">
        <v>2</v>
      </c>
      <c r="E144" s="2" t="s">
        <v>9</v>
      </c>
      <c r="F144" s="2" t="s">
        <v>13</v>
      </c>
      <c r="G144" s="2">
        <v>1629.2412772864204</v>
      </c>
      <c r="H144" s="2">
        <v>2172.3217030485607</v>
      </c>
      <c r="I144" s="2">
        <v>1</v>
      </c>
      <c r="J144" s="2">
        <v>2</v>
      </c>
    </row>
    <row r="145" spans="1:10" x14ac:dyDescent="0.25">
      <c r="A145" s="2">
        <v>29</v>
      </c>
      <c r="B145" s="2" t="s">
        <v>11</v>
      </c>
      <c r="C145" s="2">
        <v>29.7</v>
      </c>
      <c r="D145" s="2">
        <v>2</v>
      </c>
      <c r="E145" s="2" t="s">
        <v>12</v>
      </c>
      <c r="F145" s="2" t="s">
        <v>20</v>
      </c>
      <c r="G145" s="2">
        <v>2891.3111819045457</v>
      </c>
      <c r="H145" s="2">
        <v>3855.0815758727276</v>
      </c>
      <c r="I145" s="2">
        <v>0</v>
      </c>
      <c r="J145" s="2">
        <v>3</v>
      </c>
    </row>
    <row r="146" spans="1:10" x14ac:dyDescent="0.25">
      <c r="A146" s="2">
        <v>30</v>
      </c>
      <c r="B146" s="2" t="s">
        <v>11</v>
      </c>
      <c r="C146" s="2">
        <v>28.7</v>
      </c>
      <c r="D146" s="2">
        <v>3</v>
      </c>
      <c r="E146" s="2" t="s">
        <v>9</v>
      </c>
      <c r="F146" s="2" t="s">
        <v>20</v>
      </c>
      <c r="G146" s="2">
        <v>2590.2733457826853</v>
      </c>
      <c r="H146" s="2">
        <v>3453.6977943769134</v>
      </c>
      <c r="I146" s="2">
        <v>1</v>
      </c>
      <c r="J146" s="2">
        <v>2</v>
      </c>
    </row>
    <row r="147" spans="1:10" x14ac:dyDescent="0.25">
      <c r="A147" s="2">
        <v>29</v>
      </c>
      <c r="B147" s="2" t="s">
        <v>8</v>
      </c>
      <c r="C147" s="2">
        <v>38.799999999999997</v>
      </c>
      <c r="D147" s="2">
        <v>3</v>
      </c>
      <c r="E147" s="2" t="s">
        <v>12</v>
      </c>
      <c r="F147" s="2" t="s">
        <v>13</v>
      </c>
      <c r="G147" s="2">
        <v>2261.7282365297101</v>
      </c>
      <c r="H147" s="2">
        <v>3015.6376487062803</v>
      </c>
      <c r="I147" s="2">
        <v>0</v>
      </c>
      <c r="J147" s="2">
        <v>3</v>
      </c>
    </row>
    <row r="148" spans="1:10" x14ac:dyDescent="0.25">
      <c r="A148" s="2">
        <v>46</v>
      </c>
      <c r="B148" s="2" t="s">
        <v>11</v>
      </c>
      <c r="C148" s="2">
        <v>30.5</v>
      </c>
      <c r="D148" s="2">
        <v>3</v>
      </c>
      <c r="E148" s="2" t="s">
        <v>9</v>
      </c>
      <c r="F148" s="2" t="s">
        <v>20</v>
      </c>
      <c r="G148" s="2">
        <v>1910.5681905759989</v>
      </c>
      <c r="H148" s="2">
        <v>2547.4242541013318</v>
      </c>
      <c r="I148" s="2">
        <v>1</v>
      </c>
      <c r="J148" s="2">
        <v>2</v>
      </c>
    </row>
    <row r="149" spans="1:10" x14ac:dyDescent="0.25">
      <c r="A149" s="2">
        <v>51</v>
      </c>
      <c r="B149" s="2" t="s">
        <v>8</v>
      </c>
      <c r="C149" s="2">
        <v>37.700000000000003</v>
      </c>
      <c r="D149" s="2">
        <v>1</v>
      </c>
      <c r="E149" s="2" t="s">
        <v>12</v>
      </c>
      <c r="F149" s="2" t="s">
        <v>13</v>
      </c>
      <c r="G149" s="2">
        <v>4938.578238606071</v>
      </c>
      <c r="H149" s="2">
        <v>4703.4078462914968</v>
      </c>
      <c r="I149" s="2">
        <v>0</v>
      </c>
      <c r="J149" s="2">
        <v>1</v>
      </c>
    </row>
    <row r="150" spans="1:10" x14ac:dyDescent="0.25">
      <c r="A150" s="2">
        <v>53</v>
      </c>
      <c r="B150" s="2" t="s">
        <v>8</v>
      </c>
      <c r="C150" s="2">
        <v>37.4</v>
      </c>
      <c r="D150" s="2">
        <v>1</v>
      </c>
      <c r="E150" s="2" t="s">
        <v>12</v>
      </c>
      <c r="F150" s="2" t="s">
        <v>20</v>
      </c>
      <c r="G150" s="2">
        <v>5538.5560314170389</v>
      </c>
      <c r="H150" s="2">
        <v>5274.8152680162293</v>
      </c>
      <c r="I150" s="2">
        <v>0</v>
      </c>
      <c r="J150" s="2">
        <v>1</v>
      </c>
    </row>
    <row r="151" spans="1:10" x14ac:dyDescent="0.25">
      <c r="A151" s="2">
        <v>19</v>
      </c>
      <c r="B151" s="2" t="s">
        <v>11</v>
      </c>
      <c r="C151" s="2">
        <v>22.5</v>
      </c>
      <c r="D151" s="2">
        <v>1</v>
      </c>
      <c r="E151" s="2" t="s">
        <v>12</v>
      </c>
      <c r="F151" s="2" t="s">
        <v>21</v>
      </c>
      <c r="G151" s="2">
        <v>2236.7287893571156</v>
      </c>
      <c r="H151" s="2">
        <v>2631.4456345377835</v>
      </c>
      <c r="I151" s="2">
        <v>0</v>
      </c>
      <c r="J151" s="2">
        <v>0</v>
      </c>
    </row>
    <row r="152" spans="1:10" x14ac:dyDescent="0.25">
      <c r="A152" s="2">
        <v>35</v>
      </c>
      <c r="B152" s="2" t="s">
        <v>11</v>
      </c>
      <c r="C152" s="2">
        <v>21</v>
      </c>
      <c r="D152" s="2">
        <v>1</v>
      </c>
      <c r="E152" s="2" t="s">
        <v>12</v>
      </c>
      <c r="F152" s="2" t="s">
        <v>20</v>
      </c>
      <c r="G152" s="2">
        <v>2450.5663956051567</v>
      </c>
      <c r="H152" s="2">
        <v>2883.0192889472437</v>
      </c>
      <c r="I152" s="2">
        <v>0</v>
      </c>
      <c r="J152" s="2">
        <v>0</v>
      </c>
    </row>
    <row r="153" spans="1:10" x14ac:dyDescent="0.25">
      <c r="A153" s="2">
        <v>48</v>
      </c>
      <c r="B153" s="2" t="s">
        <v>11</v>
      </c>
      <c r="C153" s="2">
        <v>29.7</v>
      </c>
      <c r="D153" s="2">
        <v>0</v>
      </c>
      <c r="E153" s="2" t="s">
        <v>12</v>
      </c>
      <c r="F153" s="2" t="s">
        <v>13</v>
      </c>
      <c r="G153" s="2">
        <v>4003.8747809567549</v>
      </c>
      <c r="H153" s="2">
        <v>3813.2140771016734</v>
      </c>
      <c r="I153" s="2">
        <v>0</v>
      </c>
      <c r="J153" s="2">
        <v>1</v>
      </c>
    </row>
    <row r="154" spans="1:10" x14ac:dyDescent="0.25">
      <c r="A154" s="2">
        <v>32</v>
      </c>
      <c r="B154" s="2" t="s">
        <v>8</v>
      </c>
      <c r="C154" s="2">
        <v>37.1</v>
      </c>
      <c r="D154" s="2">
        <v>3</v>
      </c>
      <c r="E154" s="2" t="s">
        <v>12</v>
      </c>
      <c r="F154" s="2" t="s">
        <v>15</v>
      </c>
      <c r="G154" s="2">
        <v>2364.3117742857507</v>
      </c>
      <c r="H154" s="2">
        <v>3152.4156990476677</v>
      </c>
      <c r="I154" s="2">
        <v>0</v>
      </c>
      <c r="J154" s="2">
        <v>3</v>
      </c>
    </row>
    <row r="155" spans="1:10" x14ac:dyDescent="0.25">
      <c r="A155" s="2">
        <v>42</v>
      </c>
      <c r="B155" s="2" t="s">
        <v>8</v>
      </c>
      <c r="C155" s="2">
        <v>23.4</v>
      </c>
      <c r="D155" s="2">
        <v>0</v>
      </c>
      <c r="E155" s="2" t="s">
        <v>9</v>
      </c>
      <c r="F155" s="2" t="s">
        <v>15</v>
      </c>
      <c r="G155" s="2">
        <v>1851.1209445254651</v>
      </c>
      <c r="H155" s="2">
        <v>2177.7893465005482</v>
      </c>
      <c r="I155" s="2">
        <v>1</v>
      </c>
      <c r="J155" s="2">
        <v>2</v>
      </c>
    </row>
    <row r="156" spans="1:10" x14ac:dyDescent="0.25">
      <c r="A156" s="2">
        <v>40</v>
      </c>
      <c r="B156" s="2" t="s">
        <v>8</v>
      </c>
      <c r="C156" s="2">
        <v>20.3</v>
      </c>
      <c r="D156" s="2">
        <v>1</v>
      </c>
      <c r="E156" s="2" t="s">
        <v>12</v>
      </c>
      <c r="F156" s="2" t="s">
        <v>15</v>
      </c>
      <c r="G156" s="2">
        <v>1559.9016772221548</v>
      </c>
      <c r="H156" s="2">
        <v>1835.1784437907713</v>
      </c>
      <c r="I156" s="2">
        <v>0</v>
      </c>
      <c r="J156" s="2">
        <v>0</v>
      </c>
    </row>
    <row r="157" spans="1:10" x14ac:dyDescent="0.25">
      <c r="A157" s="2">
        <v>44</v>
      </c>
      <c r="B157" s="2" t="s">
        <v>11</v>
      </c>
      <c r="C157" s="2">
        <v>39.5</v>
      </c>
      <c r="D157" s="2">
        <v>0</v>
      </c>
      <c r="E157" s="2" t="s">
        <v>12</v>
      </c>
      <c r="F157" s="2" t="s">
        <v>20</v>
      </c>
      <c r="G157" s="2">
        <v>5230.8398758897047</v>
      </c>
      <c r="H157" s="2">
        <v>4981.7522627521012</v>
      </c>
      <c r="I157" s="2">
        <v>0</v>
      </c>
      <c r="J157" s="2">
        <v>1</v>
      </c>
    </row>
    <row r="158" spans="1:10" x14ac:dyDescent="0.25">
      <c r="A158" s="2">
        <v>48</v>
      </c>
      <c r="B158" s="2" t="s">
        <v>11</v>
      </c>
      <c r="C158" s="2">
        <v>24.4</v>
      </c>
      <c r="D158" s="2">
        <v>0</v>
      </c>
      <c r="E158" s="2" t="s">
        <v>9</v>
      </c>
      <c r="F158" s="2" t="s">
        <v>13</v>
      </c>
      <c r="G158" s="2">
        <v>4124.8583309055221</v>
      </c>
      <c r="H158" s="2">
        <v>3928.4365056243082</v>
      </c>
      <c r="I158" s="2">
        <v>1</v>
      </c>
      <c r="J158" s="2">
        <v>2</v>
      </c>
    </row>
    <row r="159" spans="1:10" x14ac:dyDescent="0.25">
      <c r="A159" s="2">
        <v>18</v>
      </c>
      <c r="B159" s="2" t="s">
        <v>11</v>
      </c>
      <c r="C159" s="2">
        <v>25.3</v>
      </c>
      <c r="D159" s="2">
        <v>0</v>
      </c>
      <c r="E159" s="2" t="s">
        <v>9</v>
      </c>
      <c r="F159" s="2" t="s">
        <v>15</v>
      </c>
      <c r="G159" s="2">
        <v>1694.5891241033398</v>
      </c>
      <c r="H159" s="2">
        <v>1993.6342636509889</v>
      </c>
      <c r="I159" s="2">
        <v>1</v>
      </c>
      <c r="J159" s="2">
        <v>2</v>
      </c>
    </row>
    <row r="160" spans="1:10" x14ac:dyDescent="0.25">
      <c r="A160" s="2">
        <v>30</v>
      </c>
      <c r="B160" s="2" t="s">
        <v>11</v>
      </c>
      <c r="C160" s="2">
        <v>23.1</v>
      </c>
      <c r="D160" s="2">
        <v>0</v>
      </c>
      <c r="E160" s="2" t="s">
        <v>9</v>
      </c>
      <c r="F160" s="2" t="s">
        <v>13</v>
      </c>
      <c r="G160" s="2">
        <v>1418.3013068628275</v>
      </c>
      <c r="H160" s="2">
        <v>1668.5897727797976</v>
      </c>
      <c r="I160" s="2">
        <v>1</v>
      </c>
      <c r="J160" s="2">
        <v>2</v>
      </c>
    </row>
    <row r="161" spans="1:10" x14ac:dyDescent="0.25">
      <c r="A161" s="2">
        <v>50</v>
      </c>
      <c r="B161" s="2" t="s">
        <v>8</v>
      </c>
      <c r="C161" s="2">
        <v>27.8</v>
      </c>
      <c r="D161" s="2">
        <v>3</v>
      </c>
      <c r="E161" s="2" t="s">
        <v>12</v>
      </c>
      <c r="F161" s="2" t="s">
        <v>13</v>
      </c>
      <c r="G161" s="2">
        <v>3233.2197513930842</v>
      </c>
      <c r="H161" s="2">
        <v>4310.9596685241122</v>
      </c>
      <c r="I161" s="2">
        <v>0</v>
      </c>
      <c r="J161" s="2">
        <v>3</v>
      </c>
    </row>
    <row r="162" spans="1:10" x14ac:dyDescent="0.25">
      <c r="A162" s="2">
        <v>42</v>
      </c>
      <c r="B162" s="2" t="s">
        <v>8</v>
      </c>
      <c r="C162" s="2">
        <v>26.6</v>
      </c>
      <c r="D162" s="2">
        <v>0</v>
      </c>
      <c r="E162" s="2" t="s">
        <v>9</v>
      </c>
      <c r="F162" s="2" t="s">
        <v>20</v>
      </c>
      <c r="G162" s="2">
        <v>5511.826731371003</v>
      </c>
      <c r="H162" s="2">
        <v>5249.3587917819086</v>
      </c>
      <c r="I162" s="2">
        <v>1</v>
      </c>
      <c r="J162" s="2">
        <v>2</v>
      </c>
    </row>
    <row r="163" spans="1:10" x14ac:dyDescent="0.25">
      <c r="A163" s="2">
        <v>18</v>
      </c>
      <c r="B163" s="2" t="s">
        <v>8</v>
      </c>
      <c r="C163" s="2">
        <v>21.6</v>
      </c>
      <c r="D163" s="2">
        <v>0</v>
      </c>
      <c r="E163" s="2" t="s">
        <v>9</v>
      </c>
      <c r="F163" s="2" t="s">
        <v>13</v>
      </c>
      <c r="G163" s="2">
        <v>1317.6795185881097</v>
      </c>
      <c r="H163" s="2">
        <v>1550.2111983389532</v>
      </c>
      <c r="I163" s="2">
        <v>1</v>
      </c>
      <c r="J163" s="2">
        <v>2</v>
      </c>
    </row>
    <row r="164" spans="1:10" x14ac:dyDescent="0.25">
      <c r="A164" s="2">
        <v>54</v>
      </c>
      <c r="B164" s="2" t="s">
        <v>11</v>
      </c>
      <c r="C164" s="2">
        <v>39.6</v>
      </c>
      <c r="D164" s="2">
        <v>1</v>
      </c>
      <c r="E164" s="2" t="s">
        <v>12</v>
      </c>
      <c r="F164" s="2" t="s">
        <v>21</v>
      </c>
      <c r="G164" s="2">
        <v>4050.4650160622559</v>
      </c>
      <c r="H164" s="2">
        <v>3857.585729583102</v>
      </c>
      <c r="I164" s="2">
        <v>0</v>
      </c>
      <c r="J164" s="2">
        <v>1</v>
      </c>
    </row>
    <row r="165" spans="1:10" x14ac:dyDescent="0.25">
      <c r="A165" s="2">
        <v>32</v>
      </c>
      <c r="B165" s="2" t="s">
        <v>8</v>
      </c>
      <c r="C165" s="2">
        <v>29.8</v>
      </c>
      <c r="D165" s="2">
        <v>2</v>
      </c>
      <c r="E165" s="2" t="s">
        <v>12</v>
      </c>
      <c r="F165" s="2" t="s">
        <v>21</v>
      </c>
      <c r="G165" s="2">
        <v>1829.0543833115646</v>
      </c>
      <c r="H165" s="2">
        <v>2438.7391777487528</v>
      </c>
      <c r="I165" s="2">
        <v>0</v>
      </c>
      <c r="J165" s="2">
        <v>3</v>
      </c>
    </row>
    <row r="166" spans="1:10" x14ac:dyDescent="0.25">
      <c r="A166" s="2">
        <v>37</v>
      </c>
      <c r="B166" s="2" t="s">
        <v>11</v>
      </c>
      <c r="C166" s="2">
        <v>23.2</v>
      </c>
      <c r="D166" s="2">
        <v>0</v>
      </c>
      <c r="E166" s="2" t="s">
        <v>12</v>
      </c>
      <c r="F166" s="2" t="s">
        <v>20</v>
      </c>
      <c r="G166" s="2">
        <v>1848.8836691441438</v>
      </c>
      <c r="H166" s="2">
        <v>2175.1572578166406</v>
      </c>
      <c r="I166" s="2">
        <v>0</v>
      </c>
      <c r="J166" s="2">
        <v>0</v>
      </c>
    </row>
    <row r="167" spans="1:10" x14ac:dyDescent="0.25">
      <c r="A167" s="2">
        <v>47</v>
      </c>
      <c r="B167" s="2" t="s">
        <v>11</v>
      </c>
      <c r="C167" s="2">
        <v>28.2</v>
      </c>
      <c r="D167" s="2">
        <v>4</v>
      </c>
      <c r="E167" s="2" t="s">
        <v>12</v>
      </c>
      <c r="F167" s="2" t="s">
        <v>15</v>
      </c>
      <c r="G167" s="2">
        <v>1626.342168451547</v>
      </c>
      <c r="H167" s="2">
        <v>2168.4562246020628</v>
      </c>
      <c r="I167" s="2">
        <v>0</v>
      </c>
      <c r="J167" s="2">
        <v>3</v>
      </c>
    </row>
    <row r="168" spans="1:10" x14ac:dyDescent="0.25">
      <c r="A168" s="2">
        <v>20</v>
      </c>
      <c r="B168" s="2" t="s">
        <v>8</v>
      </c>
      <c r="C168" s="2">
        <v>37</v>
      </c>
      <c r="D168" s="2">
        <v>5</v>
      </c>
      <c r="E168" s="2" t="s">
        <v>12</v>
      </c>
      <c r="F168" s="2" t="s">
        <v>21</v>
      </c>
      <c r="G168" s="2">
        <v>2277.4968096351595</v>
      </c>
      <c r="H168" s="2">
        <v>3036.6624128468793</v>
      </c>
      <c r="I168" s="2">
        <v>0</v>
      </c>
      <c r="J168" s="2">
        <v>3</v>
      </c>
    </row>
    <row r="169" spans="1:10" x14ac:dyDescent="0.25">
      <c r="A169" s="2">
        <v>32</v>
      </c>
      <c r="B169" s="2" t="s">
        <v>8</v>
      </c>
      <c r="C169" s="2">
        <v>33.200000000000003</v>
      </c>
      <c r="D169" s="2">
        <v>3</v>
      </c>
      <c r="E169" s="2" t="s">
        <v>12</v>
      </c>
      <c r="F169" s="2" t="s">
        <v>20</v>
      </c>
      <c r="G169" s="2">
        <v>1687.8582101088291</v>
      </c>
      <c r="H169" s="2">
        <v>2250.4776134784388</v>
      </c>
      <c r="I169" s="2">
        <v>0</v>
      </c>
      <c r="J169" s="2">
        <v>3</v>
      </c>
    </row>
    <row r="170" spans="1:10" x14ac:dyDescent="0.25">
      <c r="A170" s="2">
        <v>19</v>
      </c>
      <c r="B170" s="2" t="s">
        <v>8</v>
      </c>
      <c r="C170" s="2">
        <v>24.1</v>
      </c>
      <c r="D170" s="2">
        <v>1</v>
      </c>
      <c r="E170" s="2" t="s">
        <v>12</v>
      </c>
      <c r="F170" s="2" t="s">
        <v>20</v>
      </c>
      <c r="G170" s="2">
        <v>1763.5697596097079</v>
      </c>
      <c r="H170" s="2">
        <v>2074.78795248201</v>
      </c>
      <c r="I170" s="2">
        <v>0</v>
      </c>
      <c r="J170" s="2">
        <v>0</v>
      </c>
    </row>
    <row r="171" spans="1:10" x14ac:dyDescent="0.25">
      <c r="A171" s="2">
        <v>27</v>
      </c>
      <c r="B171" s="2" t="s">
        <v>11</v>
      </c>
      <c r="C171" s="2">
        <v>18.899999999999999</v>
      </c>
      <c r="D171" s="2">
        <v>3</v>
      </c>
      <c r="E171" s="2" t="s">
        <v>12</v>
      </c>
      <c r="F171" s="2" t="s">
        <v>15</v>
      </c>
      <c r="G171" s="2">
        <v>1700.7868573643609</v>
      </c>
      <c r="H171" s="2">
        <v>2000.9257145463077</v>
      </c>
      <c r="I171" s="2">
        <v>0</v>
      </c>
      <c r="J171" s="2">
        <v>0</v>
      </c>
    </row>
    <row r="172" spans="1:10" x14ac:dyDescent="0.25">
      <c r="A172" s="2">
        <v>63</v>
      </c>
      <c r="B172" s="2" t="s">
        <v>11</v>
      </c>
      <c r="C172" s="2">
        <v>41.5</v>
      </c>
      <c r="D172" s="2">
        <v>0</v>
      </c>
      <c r="E172" s="2" t="s">
        <v>12</v>
      </c>
      <c r="F172" s="2" t="s">
        <v>13</v>
      </c>
      <c r="G172" s="2">
        <v>5597.9751823582556</v>
      </c>
      <c r="H172" s="2">
        <v>5331.4049355792922</v>
      </c>
      <c r="I172" s="2">
        <v>0</v>
      </c>
      <c r="J172" s="2">
        <v>1</v>
      </c>
    </row>
    <row r="173" spans="1:10" x14ac:dyDescent="0.25">
      <c r="A173" s="2">
        <v>49</v>
      </c>
      <c r="B173" s="2" t="s">
        <v>11</v>
      </c>
      <c r="C173" s="2">
        <v>30.3</v>
      </c>
      <c r="D173" s="2">
        <v>0</v>
      </c>
      <c r="E173" s="2" t="s">
        <v>12</v>
      </c>
      <c r="F173" s="2" t="s">
        <v>21</v>
      </c>
      <c r="G173" s="2">
        <v>4933.5168092938457</v>
      </c>
      <c r="H173" s="2">
        <v>4698.5874374227114</v>
      </c>
      <c r="I173" s="2">
        <v>0</v>
      </c>
      <c r="J173" s="2">
        <v>1</v>
      </c>
    </row>
    <row r="174" spans="1:10" x14ac:dyDescent="0.25">
      <c r="A174" s="2">
        <v>18</v>
      </c>
      <c r="B174" s="2" t="s">
        <v>11</v>
      </c>
      <c r="C174" s="2">
        <v>25</v>
      </c>
      <c r="D174" s="2">
        <v>0</v>
      </c>
      <c r="E174" s="2" t="s">
        <v>12</v>
      </c>
      <c r="F174" s="2" t="s">
        <v>15</v>
      </c>
      <c r="G174" s="2">
        <v>1957.8025427339503</v>
      </c>
      <c r="H174" s="2">
        <v>2303.2971090987658</v>
      </c>
      <c r="I174" s="2">
        <v>0</v>
      </c>
      <c r="J174" s="2">
        <v>0</v>
      </c>
    </row>
    <row r="175" spans="1:10" x14ac:dyDescent="0.25">
      <c r="A175" s="2">
        <v>35</v>
      </c>
      <c r="B175" s="2" t="s">
        <v>8</v>
      </c>
      <c r="C175" s="2">
        <v>22.4</v>
      </c>
      <c r="D175" s="2">
        <v>1</v>
      </c>
      <c r="E175" s="2" t="s">
        <v>12</v>
      </c>
      <c r="F175" s="2" t="s">
        <v>21</v>
      </c>
      <c r="G175" s="2">
        <v>2301.0034618048944</v>
      </c>
      <c r="H175" s="2">
        <v>2707.0628962410528</v>
      </c>
      <c r="I175" s="2">
        <v>0</v>
      </c>
      <c r="J175" s="2">
        <v>0</v>
      </c>
    </row>
    <row r="176" spans="1:10" x14ac:dyDescent="0.25">
      <c r="A176" s="2">
        <v>24</v>
      </c>
      <c r="B176" s="2" t="s">
        <v>8</v>
      </c>
      <c r="C176" s="2">
        <v>20.3</v>
      </c>
      <c r="D176" s="2">
        <v>0</v>
      </c>
      <c r="E176" s="2" t="s">
        <v>12</v>
      </c>
      <c r="F176" s="2" t="s">
        <v>20</v>
      </c>
      <c r="G176" s="2">
        <v>1616.802052057833</v>
      </c>
      <c r="H176" s="2">
        <v>1902.1200612445102</v>
      </c>
      <c r="I176" s="2">
        <v>0</v>
      </c>
      <c r="J176" s="2">
        <v>0</v>
      </c>
    </row>
    <row r="177" spans="1:10" x14ac:dyDescent="0.25">
      <c r="A177" s="2">
        <v>63</v>
      </c>
      <c r="B177" s="2" t="s">
        <v>8</v>
      </c>
      <c r="C177" s="2">
        <v>37.700000000000003</v>
      </c>
      <c r="D177" s="2">
        <v>0</v>
      </c>
      <c r="E177" s="2" t="s">
        <v>9</v>
      </c>
      <c r="F177" s="2" t="s">
        <v>21</v>
      </c>
      <c r="G177" s="2">
        <v>6084.078021496347</v>
      </c>
      <c r="H177" s="2">
        <v>5794.3600204727127</v>
      </c>
      <c r="I177" s="2">
        <v>1</v>
      </c>
      <c r="J177" s="2">
        <v>2</v>
      </c>
    </row>
    <row r="178" spans="1:10" x14ac:dyDescent="0.25">
      <c r="A178" s="2">
        <v>38</v>
      </c>
      <c r="B178" s="2" t="s">
        <v>11</v>
      </c>
      <c r="C178" s="2">
        <v>27.8</v>
      </c>
      <c r="D178" s="2">
        <v>2</v>
      </c>
      <c r="E178" s="2" t="s">
        <v>12</v>
      </c>
      <c r="F178" s="2" t="s">
        <v>20</v>
      </c>
      <c r="G178" s="2">
        <v>1025.5731162499164</v>
      </c>
      <c r="H178" s="2">
        <v>1367.4308216665552</v>
      </c>
      <c r="I178" s="2">
        <v>0</v>
      </c>
      <c r="J178" s="2">
        <v>3</v>
      </c>
    </row>
    <row r="179" spans="1:10" x14ac:dyDescent="0.25">
      <c r="A179" s="2">
        <v>54</v>
      </c>
      <c r="B179" s="2" t="s">
        <v>11</v>
      </c>
      <c r="C179" s="2">
        <v>29.2</v>
      </c>
      <c r="D179" s="2">
        <v>1</v>
      </c>
      <c r="E179" s="2" t="s">
        <v>12</v>
      </c>
      <c r="F179" s="2" t="s">
        <v>21</v>
      </c>
      <c r="G179" s="2">
        <v>4058.7901462347809</v>
      </c>
      <c r="H179" s="2">
        <v>3865.5144249855075</v>
      </c>
      <c r="I179" s="2">
        <v>0</v>
      </c>
      <c r="J179" s="2">
        <v>1</v>
      </c>
    </row>
    <row r="180" spans="1:10" x14ac:dyDescent="0.25">
      <c r="A180" s="2">
        <v>46</v>
      </c>
      <c r="B180" s="2" t="s">
        <v>8</v>
      </c>
      <c r="C180" s="2">
        <v>28.9</v>
      </c>
      <c r="D180" s="2">
        <v>2</v>
      </c>
      <c r="E180" s="2" t="s">
        <v>12</v>
      </c>
      <c r="F180" s="2" t="s">
        <v>21</v>
      </c>
      <c r="G180" s="2">
        <v>1882.2778795865493</v>
      </c>
      <c r="H180" s="2">
        <v>2509.7038394487322</v>
      </c>
      <c r="I180" s="2">
        <v>0</v>
      </c>
      <c r="J180" s="2">
        <v>3</v>
      </c>
    </row>
    <row r="181" spans="1:10" x14ac:dyDescent="0.25">
      <c r="A181" s="2">
        <v>41</v>
      </c>
      <c r="B181" s="2" t="s">
        <v>8</v>
      </c>
      <c r="C181" s="2">
        <v>33.200000000000003</v>
      </c>
      <c r="D181" s="2">
        <v>3</v>
      </c>
      <c r="E181" s="2" t="s">
        <v>12</v>
      </c>
      <c r="F181" s="2" t="s">
        <v>15</v>
      </c>
      <c r="G181" s="2">
        <v>1520.6435618697235</v>
      </c>
      <c r="H181" s="2">
        <v>2027.5247491596313</v>
      </c>
      <c r="I181" s="2">
        <v>0</v>
      </c>
      <c r="J181" s="2">
        <v>3</v>
      </c>
    </row>
    <row r="182" spans="1:10" x14ac:dyDescent="0.25">
      <c r="A182" s="2">
        <v>58</v>
      </c>
      <c r="B182" s="2" t="s">
        <v>11</v>
      </c>
      <c r="C182" s="2">
        <v>28.6</v>
      </c>
      <c r="D182" s="2">
        <v>0</v>
      </c>
      <c r="E182" s="2" t="s">
        <v>12</v>
      </c>
      <c r="F182" s="2" t="s">
        <v>20</v>
      </c>
      <c r="G182" s="2">
        <v>4532.5464411925796</v>
      </c>
      <c r="H182" s="2">
        <v>4316.7108963738865</v>
      </c>
      <c r="I182" s="2">
        <v>0</v>
      </c>
      <c r="J182" s="2">
        <v>1</v>
      </c>
    </row>
    <row r="183" spans="1:10" x14ac:dyDescent="0.25">
      <c r="A183" s="2">
        <v>18</v>
      </c>
      <c r="B183" s="2" t="s">
        <v>8</v>
      </c>
      <c r="C183" s="2">
        <v>22.6</v>
      </c>
      <c r="D183" s="2">
        <v>0</v>
      </c>
      <c r="E183" s="2" t="s">
        <v>12</v>
      </c>
      <c r="F183" s="2" t="s">
        <v>13</v>
      </c>
      <c r="G183" s="2">
        <v>1750.8711520464799</v>
      </c>
      <c r="H183" s="2">
        <v>2059.8484141723297</v>
      </c>
      <c r="I183" s="2">
        <v>0</v>
      </c>
      <c r="J183" s="2">
        <v>0</v>
      </c>
    </row>
    <row r="184" spans="1:10" x14ac:dyDescent="0.25">
      <c r="A184" s="2">
        <v>22</v>
      </c>
      <c r="B184" s="2" t="s">
        <v>11</v>
      </c>
      <c r="C184" s="2">
        <v>20</v>
      </c>
      <c r="D184" s="2">
        <v>3</v>
      </c>
      <c r="E184" s="2" t="s">
        <v>12</v>
      </c>
      <c r="F184" s="2" t="s">
        <v>15</v>
      </c>
      <c r="G184" s="2">
        <v>1879.8791937771161</v>
      </c>
      <c r="H184" s="2">
        <v>2211.6225809142552</v>
      </c>
      <c r="I184" s="2">
        <v>0</v>
      </c>
      <c r="J184" s="2">
        <v>0</v>
      </c>
    </row>
    <row r="185" spans="1:10" x14ac:dyDescent="0.25">
      <c r="A185" s="2">
        <v>44</v>
      </c>
      <c r="B185" s="2" t="s">
        <v>8</v>
      </c>
      <c r="C185" s="2">
        <v>26.4</v>
      </c>
      <c r="D185" s="2">
        <v>0</v>
      </c>
      <c r="E185" s="2" t="s">
        <v>12</v>
      </c>
      <c r="F185" s="2" t="s">
        <v>20</v>
      </c>
      <c r="G185" s="2">
        <v>4476.3831103566699</v>
      </c>
      <c r="H185" s="2">
        <v>4263.2220098634971</v>
      </c>
      <c r="I185" s="2">
        <v>0</v>
      </c>
      <c r="J185" s="2">
        <v>1</v>
      </c>
    </row>
    <row r="186" spans="1:10" x14ac:dyDescent="0.25">
      <c r="A186" s="2">
        <v>44</v>
      </c>
      <c r="B186" s="2" t="s">
        <v>11</v>
      </c>
      <c r="C186" s="2">
        <v>30.7</v>
      </c>
      <c r="D186" s="2">
        <v>2</v>
      </c>
      <c r="E186" s="2" t="s">
        <v>12</v>
      </c>
      <c r="F186" s="2" t="s">
        <v>13</v>
      </c>
      <c r="G186" s="2">
        <v>2280.9833671234942</v>
      </c>
      <c r="H186" s="2">
        <v>3041.3111561646588</v>
      </c>
      <c r="I186" s="2">
        <v>0</v>
      </c>
      <c r="J186" s="2">
        <v>3</v>
      </c>
    </row>
    <row r="187" spans="1:10" x14ac:dyDescent="0.25">
      <c r="A187" s="2">
        <v>36</v>
      </c>
      <c r="B187" s="2" t="s">
        <v>11</v>
      </c>
      <c r="C187" s="2">
        <v>41.9</v>
      </c>
      <c r="D187" s="2">
        <v>3</v>
      </c>
      <c r="E187" s="2" t="s">
        <v>9</v>
      </c>
      <c r="F187" s="2" t="s">
        <v>15</v>
      </c>
      <c r="G187" s="2">
        <v>2312.4757375941704</v>
      </c>
      <c r="H187" s="2">
        <v>3083.3009834588938</v>
      </c>
      <c r="I187" s="2">
        <v>1</v>
      </c>
      <c r="J187" s="2">
        <v>2</v>
      </c>
    </row>
    <row r="188" spans="1:10" x14ac:dyDescent="0.25">
      <c r="A188" s="2">
        <v>26</v>
      </c>
      <c r="B188" s="2" t="s">
        <v>8</v>
      </c>
      <c r="C188" s="2">
        <v>29.9</v>
      </c>
      <c r="D188" s="2">
        <v>2</v>
      </c>
      <c r="E188" s="2" t="s">
        <v>12</v>
      </c>
      <c r="F188" s="2" t="s">
        <v>13</v>
      </c>
      <c r="G188" s="2">
        <v>881.68074720814354</v>
      </c>
      <c r="H188" s="2">
        <v>1175.5743296108581</v>
      </c>
      <c r="I188" s="2">
        <v>0</v>
      </c>
      <c r="J188" s="2">
        <v>3</v>
      </c>
    </row>
    <row r="189" spans="1:10" x14ac:dyDescent="0.25">
      <c r="A189" s="2">
        <v>30</v>
      </c>
      <c r="B189" s="2" t="s">
        <v>8</v>
      </c>
      <c r="C189" s="2">
        <v>30.9</v>
      </c>
      <c r="D189" s="2">
        <v>3</v>
      </c>
      <c r="E189" s="2" t="s">
        <v>12</v>
      </c>
      <c r="F189" s="2" t="s">
        <v>21</v>
      </c>
      <c r="G189" s="2">
        <v>3064.5401476940028</v>
      </c>
      <c r="H189" s="2">
        <v>4086.0535302586704</v>
      </c>
      <c r="I189" s="2">
        <v>0</v>
      </c>
      <c r="J189" s="2">
        <v>3</v>
      </c>
    </row>
    <row r="190" spans="1:10" x14ac:dyDescent="0.25">
      <c r="A190" s="2">
        <v>41</v>
      </c>
      <c r="B190" s="2" t="s">
        <v>8</v>
      </c>
      <c r="C190" s="2">
        <v>32.200000000000003</v>
      </c>
      <c r="D190" s="2">
        <v>1</v>
      </c>
      <c r="E190" s="2" t="s">
        <v>12</v>
      </c>
      <c r="F190" s="2" t="s">
        <v>21</v>
      </c>
      <c r="G190" s="2">
        <v>5032.6208874507311</v>
      </c>
      <c r="H190" s="2">
        <v>4792.9722737626016</v>
      </c>
      <c r="I190" s="2">
        <v>0</v>
      </c>
      <c r="J190" s="2">
        <v>1</v>
      </c>
    </row>
    <row r="191" spans="1:10" x14ac:dyDescent="0.25">
      <c r="A191" s="2">
        <v>29</v>
      </c>
      <c r="B191" s="2" t="s">
        <v>8</v>
      </c>
      <c r="C191" s="2">
        <v>32.1</v>
      </c>
      <c r="D191" s="2">
        <v>2</v>
      </c>
      <c r="E191" s="2" t="s">
        <v>12</v>
      </c>
      <c r="F191" s="2" t="s">
        <v>20</v>
      </c>
      <c r="G191" s="2">
        <v>1266.1030498786652</v>
      </c>
      <c r="H191" s="2">
        <v>1688.1373998382203</v>
      </c>
      <c r="I191" s="2">
        <v>0</v>
      </c>
      <c r="J191" s="2">
        <v>3</v>
      </c>
    </row>
    <row r="192" spans="1:10" x14ac:dyDescent="0.25">
      <c r="A192" s="2">
        <v>61</v>
      </c>
      <c r="B192" s="2" t="s">
        <v>11</v>
      </c>
      <c r="C192" s="2">
        <v>31.6</v>
      </c>
      <c r="D192" s="2">
        <v>0</v>
      </c>
      <c r="E192" s="2" t="s">
        <v>12</v>
      </c>
      <c r="F192" s="2" t="s">
        <v>13</v>
      </c>
      <c r="G192" s="2">
        <v>5650.2782969314203</v>
      </c>
      <c r="H192" s="2">
        <v>5381.2174256489734</v>
      </c>
      <c r="I192" s="2">
        <v>0</v>
      </c>
      <c r="J192" s="2">
        <v>1</v>
      </c>
    </row>
    <row r="193" spans="1:10" x14ac:dyDescent="0.25">
      <c r="A193" s="2">
        <v>36</v>
      </c>
      <c r="B193" s="2" t="s">
        <v>8</v>
      </c>
      <c r="C193" s="2">
        <v>20.9</v>
      </c>
      <c r="D193" s="2">
        <v>0</v>
      </c>
      <c r="E193" s="2" t="s">
        <v>12</v>
      </c>
      <c r="F193" s="2" t="s">
        <v>21</v>
      </c>
      <c r="G193" s="2">
        <v>1871.593715814392</v>
      </c>
      <c r="H193" s="2">
        <v>2201.8749597816382</v>
      </c>
      <c r="I193" s="2">
        <v>0</v>
      </c>
      <c r="J193" s="2">
        <v>0</v>
      </c>
    </row>
    <row r="194" spans="1:10" x14ac:dyDescent="0.25">
      <c r="A194" s="2">
        <v>25</v>
      </c>
      <c r="B194" s="2" t="s">
        <v>11</v>
      </c>
      <c r="C194" s="2">
        <v>24.1</v>
      </c>
      <c r="D194" s="2">
        <v>0</v>
      </c>
      <c r="E194" s="2" t="s">
        <v>12</v>
      </c>
      <c r="F194" s="2" t="s">
        <v>13</v>
      </c>
      <c r="G194" s="2">
        <v>2159.5878910743363</v>
      </c>
      <c r="H194" s="2">
        <v>2540.6916365580437</v>
      </c>
      <c r="I194" s="2">
        <v>0</v>
      </c>
      <c r="J194" s="2">
        <v>0</v>
      </c>
    </row>
    <row r="195" spans="1:10" x14ac:dyDescent="0.25">
      <c r="A195" s="2">
        <v>56</v>
      </c>
      <c r="B195" s="2" t="s">
        <v>8</v>
      </c>
      <c r="C195" s="2">
        <v>26.6</v>
      </c>
      <c r="D195" s="2">
        <v>1</v>
      </c>
      <c r="E195" s="2" t="s">
        <v>12</v>
      </c>
      <c r="F195" s="2" t="s">
        <v>20</v>
      </c>
      <c r="G195" s="2">
        <v>4491.1182396027843</v>
      </c>
      <c r="H195" s="2">
        <v>4277.2554662883676</v>
      </c>
      <c r="I195" s="2">
        <v>0</v>
      </c>
      <c r="J195" s="2">
        <v>1</v>
      </c>
    </row>
    <row r="196" spans="1:10" x14ac:dyDescent="0.25">
      <c r="A196" s="2">
        <v>18</v>
      </c>
      <c r="B196" s="2" t="s">
        <v>11</v>
      </c>
      <c r="C196" s="2">
        <v>22.9</v>
      </c>
      <c r="D196" s="2">
        <v>0</v>
      </c>
      <c r="E196" s="2" t="s">
        <v>12</v>
      </c>
      <c r="F196" s="2" t="s">
        <v>13</v>
      </c>
      <c r="G196" s="2">
        <v>1701.1841159027517</v>
      </c>
      <c r="H196" s="2">
        <v>2001.3930775326498</v>
      </c>
      <c r="I196" s="2">
        <v>0</v>
      </c>
      <c r="J196" s="2">
        <v>0</v>
      </c>
    </row>
    <row r="197" spans="1:10" x14ac:dyDescent="0.25">
      <c r="A197" s="2">
        <v>19</v>
      </c>
      <c r="B197" s="2" t="s">
        <v>11</v>
      </c>
      <c r="C197" s="2">
        <v>24</v>
      </c>
      <c r="D197" s="2">
        <v>0</v>
      </c>
      <c r="E197" s="2" t="s">
        <v>12</v>
      </c>
      <c r="F197" s="2" t="s">
        <v>20</v>
      </c>
      <c r="G197" s="2">
        <v>2075.6090322175382</v>
      </c>
      <c r="H197" s="2">
        <v>2441.8929790794573</v>
      </c>
      <c r="I197" s="2">
        <v>0</v>
      </c>
      <c r="J197" s="2">
        <v>0</v>
      </c>
    </row>
    <row r="198" spans="1:10" x14ac:dyDescent="0.25">
      <c r="A198" s="2">
        <v>39</v>
      </c>
      <c r="B198" s="2" t="s">
        <v>8</v>
      </c>
      <c r="C198" s="2">
        <v>32.799999999999997</v>
      </c>
      <c r="D198" s="2">
        <v>0</v>
      </c>
      <c r="E198" s="2" t="s">
        <v>12</v>
      </c>
      <c r="F198" s="2" t="s">
        <v>21</v>
      </c>
      <c r="G198" s="2">
        <v>4359.8215796193836</v>
      </c>
      <c r="H198" s="2">
        <v>4152.2110282089388</v>
      </c>
      <c r="I198" s="2">
        <v>0</v>
      </c>
      <c r="J198" s="2">
        <v>1</v>
      </c>
    </row>
    <row r="199" spans="1:10" x14ac:dyDescent="0.25">
      <c r="A199" s="2">
        <v>45</v>
      </c>
      <c r="B199" s="2" t="s">
        <v>8</v>
      </c>
      <c r="C199" s="2">
        <v>28.6</v>
      </c>
      <c r="D199" s="2">
        <v>2</v>
      </c>
      <c r="E199" s="2" t="s">
        <v>12</v>
      </c>
      <c r="F199" s="2" t="s">
        <v>13</v>
      </c>
      <c r="G199" s="2">
        <v>1692.8985486601821</v>
      </c>
      <c r="H199" s="2">
        <v>2257.1980648802428</v>
      </c>
      <c r="I199" s="2">
        <v>0</v>
      </c>
      <c r="J199" s="2">
        <v>3</v>
      </c>
    </row>
    <row r="200" spans="1:10" x14ac:dyDescent="0.25">
      <c r="A200" s="2">
        <v>51</v>
      </c>
      <c r="B200" s="2" t="s">
        <v>8</v>
      </c>
      <c r="C200" s="2">
        <v>18.100000000000001</v>
      </c>
      <c r="D200" s="2">
        <v>0</v>
      </c>
      <c r="E200" s="2" t="s">
        <v>12</v>
      </c>
      <c r="F200" s="2" t="s">
        <v>20</v>
      </c>
      <c r="G200" s="2">
        <v>2237.2492180679405</v>
      </c>
      <c r="H200" s="2">
        <v>2632.0579036093427</v>
      </c>
      <c r="I200" s="2">
        <v>0</v>
      </c>
      <c r="J200" s="2">
        <v>0</v>
      </c>
    </row>
    <row r="201" spans="1:10" x14ac:dyDescent="0.25">
      <c r="A201" s="2">
        <v>64</v>
      </c>
      <c r="B201" s="2" t="s">
        <v>8</v>
      </c>
      <c r="C201" s="2">
        <v>39.299999999999997</v>
      </c>
      <c r="D201" s="2">
        <v>0</v>
      </c>
      <c r="E201" s="2" t="s">
        <v>12</v>
      </c>
      <c r="F201" s="2" t="s">
        <v>15</v>
      </c>
      <c r="G201" s="2">
        <v>4130.1982629749527</v>
      </c>
      <c r="H201" s="2">
        <v>3933.522155214242</v>
      </c>
      <c r="I201" s="2">
        <v>0</v>
      </c>
      <c r="J201" s="2">
        <v>1</v>
      </c>
    </row>
    <row r="202" spans="1:10" x14ac:dyDescent="0.25">
      <c r="A202" s="2">
        <v>19</v>
      </c>
      <c r="B202" s="2" t="s">
        <v>8</v>
      </c>
      <c r="C202" s="2">
        <v>23.1</v>
      </c>
      <c r="D202" s="2">
        <v>0</v>
      </c>
      <c r="E202" s="2" t="s">
        <v>12</v>
      </c>
      <c r="F202" s="2" t="s">
        <v>20</v>
      </c>
      <c r="G202" s="2">
        <v>2045.0786561708117</v>
      </c>
      <c r="H202" s="2">
        <v>2405.9748896127203</v>
      </c>
      <c r="I202" s="2">
        <v>0</v>
      </c>
      <c r="J202" s="2">
        <v>0</v>
      </c>
    </row>
    <row r="203" spans="1:10" x14ac:dyDescent="0.25">
      <c r="A203" s="2">
        <v>48</v>
      </c>
      <c r="B203" s="2" t="s">
        <v>8</v>
      </c>
      <c r="C203" s="2">
        <v>32.200000000000003</v>
      </c>
      <c r="D203" s="2">
        <v>1</v>
      </c>
      <c r="E203" s="2" t="s">
        <v>12</v>
      </c>
      <c r="F203" s="2" t="s">
        <v>13</v>
      </c>
      <c r="G203" s="2">
        <v>5402.9525447644046</v>
      </c>
      <c r="H203" s="2">
        <v>5145.6690902518158</v>
      </c>
      <c r="I203" s="2">
        <v>0</v>
      </c>
      <c r="J203" s="2">
        <v>1</v>
      </c>
    </row>
    <row r="204" spans="1:10" x14ac:dyDescent="0.25">
      <c r="A204" s="2">
        <v>60</v>
      </c>
      <c r="B204" s="2" t="s">
        <v>8</v>
      </c>
      <c r="C204" s="2">
        <v>24</v>
      </c>
      <c r="D204" s="2">
        <v>0</v>
      </c>
      <c r="E204" s="2" t="s">
        <v>12</v>
      </c>
      <c r="F204" s="2" t="s">
        <v>20</v>
      </c>
      <c r="G204" s="2">
        <v>3897.7315321782989</v>
      </c>
      <c r="H204" s="2">
        <v>3712.1252687412384</v>
      </c>
      <c r="I204" s="2">
        <v>0</v>
      </c>
      <c r="J204" s="2">
        <v>1</v>
      </c>
    </row>
    <row r="205" spans="1:10" x14ac:dyDescent="0.25">
      <c r="A205" s="2">
        <v>27</v>
      </c>
      <c r="B205" s="2" t="s">
        <v>8</v>
      </c>
      <c r="C205" s="2">
        <v>23.2</v>
      </c>
      <c r="D205" s="2">
        <v>0</v>
      </c>
      <c r="E205" s="2" t="s">
        <v>9</v>
      </c>
      <c r="F205" s="2" t="s">
        <v>13</v>
      </c>
      <c r="G205" s="2">
        <v>1746.3861754104666</v>
      </c>
      <c r="H205" s="2">
        <v>2054.5719710711378</v>
      </c>
      <c r="I205" s="2">
        <v>1</v>
      </c>
      <c r="J205" s="2">
        <v>2</v>
      </c>
    </row>
    <row r="206" spans="1:10" x14ac:dyDescent="0.25">
      <c r="A206" s="2">
        <v>46</v>
      </c>
      <c r="B206" s="2" t="s">
        <v>11</v>
      </c>
      <c r="C206" s="2">
        <v>22.3</v>
      </c>
      <c r="D206" s="2">
        <v>0</v>
      </c>
      <c r="E206" s="2" t="s">
        <v>12</v>
      </c>
      <c r="F206" s="2" t="s">
        <v>21</v>
      </c>
      <c r="G206" s="2">
        <v>1510.3061279524916</v>
      </c>
      <c r="H206" s="2">
        <v>1776.830738767638</v>
      </c>
      <c r="I206" s="2">
        <v>0</v>
      </c>
      <c r="J206" s="2">
        <v>0</v>
      </c>
    </row>
    <row r="207" spans="1:10" x14ac:dyDescent="0.25">
      <c r="A207" s="2">
        <v>28</v>
      </c>
      <c r="B207" s="2" t="s">
        <v>8</v>
      </c>
      <c r="C207" s="2">
        <v>21</v>
      </c>
      <c r="D207" s="2">
        <v>1</v>
      </c>
      <c r="E207" s="2" t="s">
        <v>12</v>
      </c>
      <c r="F207" s="2" t="s">
        <v>15</v>
      </c>
      <c r="G207" s="2">
        <v>2343.3566315236467</v>
      </c>
      <c r="H207" s="2">
        <v>2756.8901547337027</v>
      </c>
      <c r="I207" s="2">
        <v>0</v>
      </c>
      <c r="J207" s="2">
        <v>0</v>
      </c>
    </row>
    <row r="208" spans="1:10" x14ac:dyDescent="0.25">
      <c r="A208" s="2">
        <v>59</v>
      </c>
      <c r="B208" s="2" t="s">
        <v>11</v>
      </c>
      <c r="C208" s="2">
        <v>26.4</v>
      </c>
      <c r="D208" s="2">
        <v>0</v>
      </c>
      <c r="E208" s="2" t="s">
        <v>12</v>
      </c>
      <c r="F208" s="2" t="s">
        <v>13</v>
      </c>
      <c r="G208" s="2">
        <v>6051.3719088374319</v>
      </c>
      <c r="H208" s="2">
        <v>5763.2113417499359</v>
      </c>
      <c r="I208" s="2">
        <v>0</v>
      </c>
      <c r="J208" s="2">
        <v>1</v>
      </c>
    </row>
    <row r="209" spans="1:10" x14ac:dyDescent="0.25">
      <c r="A209" s="2">
        <v>35</v>
      </c>
      <c r="B209" s="2" t="s">
        <v>11</v>
      </c>
      <c r="C209" s="2">
        <v>27.7</v>
      </c>
      <c r="D209" s="2">
        <v>2</v>
      </c>
      <c r="E209" s="2" t="s">
        <v>9</v>
      </c>
      <c r="F209" s="2" t="s">
        <v>15</v>
      </c>
      <c r="G209" s="2">
        <v>848.18601641632051</v>
      </c>
      <c r="H209" s="2">
        <v>1130.914688555094</v>
      </c>
      <c r="I209" s="2">
        <v>1</v>
      </c>
      <c r="J209" s="2">
        <v>2</v>
      </c>
    </row>
    <row r="210" spans="1:10" x14ac:dyDescent="0.25">
      <c r="A210" s="2">
        <v>63</v>
      </c>
      <c r="B210" s="2" t="s">
        <v>8</v>
      </c>
      <c r="C210" s="2">
        <v>31.8</v>
      </c>
      <c r="D210" s="2">
        <v>0</v>
      </c>
      <c r="E210" s="2" t="s">
        <v>12</v>
      </c>
      <c r="F210" s="2" t="s">
        <v>21</v>
      </c>
      <c r="G210" s="2">
        <v>5624.9067544344052</v>
      </c>
      <c r="H210" s="2">
        <v>5357.0540518422913</v>
      </c>
      <c r="I210" s="2">
        <v>0</v>
      </c>
      <c r="J210" s="2">
        <v>1</v>
      </c>
    </row>
    <row r="211" spans="1:10" x14ac:dyDescent="0.25">
      <c r="A211" s="2">
        <v>40</v>
      </c>
      <c r="B211" s="2" t="s">
        <v>11</v>
      </c>
      <c r="C211" s="2">
        <v>41.2</v>
      </c>
      <c r="D211" s="2">
        <v>1</v>
      </c>
      <c r="E211" s="2" t="s">
        <v>12</v>
      </c>
      <c r="F211" s="2" t="s">
        <v>15</v>
      </c>
      <c r="G211" s="2">
        <v>4258.6245869923941</v>
      </c>
      <c r="H211" s="2">
        <v>4055.8329399927579</v>
      </c>
      <c r="I211" s="2">
        <v>0</v>
      </c>
      <c r="J211" s="2">
        <v>1</v>
      </c>
    </row>
    <row r="212" spans="1:10" x14ac:dyDescent="0.25">
      <c r="A212" s="2">
        <v>20</v>
      </c>
      <c r="B212" s="2" t="s">
        <v>11</v>
      </c>
      <c r="C212" s="2">
        <v>22.9</v>
      </c>
      <c r="D212" s="2">
        <v>1</v>
      </c>
      <c r="E212" s="2" t="s">
        <v>12</v>
      </c>
      <c r="F212" s="2" t="s">
        <v>21</v>
      </c>
      <c r="G212" s="2">
        <v>1726.3275422841214</v>
      </c>
      <c r="H212" s="2">
        <v>2030.9735791577905</v>
      </c>
      <c r="I212" s="2">
        <v>0</v>
      </c>
      <c r="J212" s="2">
        <v>0</v>
      </c>
    </row>
    <row r="213" spans="1:10" x14ac:dyDescent="0.25">
      <c r="A213" s="2">
        <v>40</v>
      </c>
      <c r="B213" s="2" t="s">
        <v>11</v>
      </c>
      <c r="C213" s="2">
        <v>30.9</v>
      </c>
      <c r="D213" s="2">
        <v>4</v>
      </c>
      <c r="E213" s="2" t="s">
        <v>12</v>
      </c>
      <c r="F213" s="2" t="s">
        <v>20</v>
      </c>
      <c r="G213" s="2">
        <v>2164.1328442501817</v>
      </c>
      <c r="H213" s="2">
        <v>2885.510459000242</v>
      </c>
      <c r="I213" s="2">
        <v>0</v>
      </c>
      <c r="J213" s="2">
        <v>3</v>
      </c>
    </row>
    <row r="214" spans="1:10" x14ac:dyDescent="0.25">
      <c r="A214" s="2">
        <v>24</v>
      </c>
      <c r="B214" s="2" t="s">
        <v>11</v>
      </c>
      <c r="C214" s="2">
        <v>24.5</v>
      </c>
      <c r="D214" s="2">
        <v>2</v>
      </c>
      <c r="E214" s="2" t="s">
        <v>12</v>
      </c>
      <c r="F214" s="2" t="s">
        <v>20</v>
      </c>
      <c r="G214" s="2">
        <v>2863.7255677819567</v>
      </c>
      <c r="H214" s="2">
        <v>3369.088903272891</v>
      </c>
      <c r="I214" s="2">
        <v>0</v>
      </c>
      <c r="J214" s="2">
        <v>0</v>
      </c>
    </row>
    <row r="215" spans="1:10" x14ac:dyDescent="0.25">
      <c r="A215" s="2">
        <v>34</v>
      </c>
      <c r="B215" s="2" t="s">
        <v>8</v>
      </c>
      <c r="C215" s="2">
        <v>21.2</v>
      </c>
      <c r="D215" s="2">
        <v>1</v>
      </c>
      <c r="E215" s="2" t="s">
        <v>12</v>
      </c>
      <c r="F215" s="2" t="s">
        <v>13</v>
      </c>
      <c r="G215" s="2">
        <v>2058.4208878984177</v>
      </c>
      <c r="H215" s="2">
        <v>2421.6716328216689</v>
      </c>
      <c r="I215" s="2">
        <v>0</v>
      </c>
      <c r="J215" s="2">
        <v>0</v>
      </c>
    </row>
    <row r="216" spans="1:10" x14ac:dyDescent="0.25">
      <c r="A216" s="2">
        <v>45</v>
      </c>
      <c r="B216" s="2" t="s">
        <v>8</v>
      </c>
      <c r="C216" s="2">
        <v>30.9</v>
      </c>
      <c r="D216" s="2">
        <v>2</v>
      </c>
      <c r="E216" s="2" t="s">
        <v>12</v>
      </c>
      <c r="F216" s="2" t="s">
        <v>21</v>
      </c>
      <c r="G216" s="2">
        <v>1688.7906650789728</v>
      </c>
      <c r="H216" s="2">
        <v>2251.7208867719637</v>
      </c>
      <c r="I216" s="2">
        <v>0</v>
      </c>
      <c r="J216" s="2">
        <v>3</v>
      </c>
    </row>
    <row r="217" spans="1:10" x14ac:dyDescent="0.25">
      <c r="A217" s="2">
        <v>41</v>
      </c>
      <c r="B217" s="2" t="s">
        <v>8</v>
      </c>
      <c r="C217" s="2">
        <v>37.1</v>
      </c>
      <c r="D217" s="2">
        <v>2</v>
      </c>
      <c r="E217" s="2" t="s">
        <v>12</v>
      </c>
      <c r="F217" s="2" t="s">
        <v>21</v>
      </c>
      <c r="G217" s="2">
        <v>1515.0812868256578</v>
      </c>
      <c r="H217" s="2">
        <v>2020.1083824342104</v>
      </c>
      <c r="I217" s="2">
        <v>0</v>
      </c>
      <c r="J217" s="2">
        <v>3</v>
      </c>
    </row>
    <row r="218" spans="1:10" x14ac:dyDescent="0.25">
      <c r="A218" s="2">
        <v>53</v>
      </c>
      <c r="B218" s="2" t="s">
        <v>8</v>
      </c>
      <c r="C218" s="2">
        <v>26.6</v>
      </c>
      <c r="D218" s="2">
        <v>0</v>
      </c>
      <c r="E218" s="2" t="s">
        <v>12</v>
      </c>
      <c r="F218" s="2" t="s">
        <v>20</v>
      </c>
      <c r="G218" s="2">
        <v>4621.910954154102</v>
      </c>
      <c r="H218" s="2">
        <v>4401.8199563372409</v>
      </c>
      <c r="I218" s="2">
        <v>0</v>
      </c>
      <c r="J218" s="2">
        <v>1</v>
      </c>
    </row>
    <row r="219" spans="1:10" x14ac:dyDescent="0.25">
      <c r="A219" s="2">
        <v>27</v>
      </c>
      <c r="B219" s="2" t="s">
        <v>11</v>
      </c>
      <c r="C219" s="2">
        <v>22.5</v>
      </c>
      <c r="D219" s="2">
        <v>0</v>
      </c>
      <c r="E219" s="2" t="s">
        <v>12</v>
      </c>
      <c r="F219" s="2" t="s">
        <v>13</v>
      </c>
      <c r="G219" s="2">
        <v>1871.0752806256</v>
      </c>
      <c r="H219" s="2">
        <v>2201.2650360301186</v>
      </c>
      <c r="I219" s="2">
        <v>0</v>
      </c>
      <c r="J219" s="2">
        <v>0</v>
      </c>
    </row>
    <row r="220" spans="1:10" x14ac:dyDescent="0.25">
      <c r="A220" s="2">
        <v>26</v>
      </c>
      <c r="B220" s="2" t="s">
        <v>8</v>
      </c>
      <c r="C220" s="2">
        <v>23</v>
      </c>
      <c r="D220" s="2">
        <v>1</v>
      </c>
      <c r="E220" s="2" t="s">
        <v>12</v>
      </c>
      <c r="F220" s="2" t="s">
        <v>13</v>
      </c>
      <c r="G220" s="2">
        <v>2487.4977097495671</v>
      </c>
      <c r="H220" s="2">
        <v>2926.4678938230213</v>
      </c>
      <c r="I220" s="2">
        <v>0</v>
      </c>
      <c r="J220" s="2">
        <v>0</v>
      </c>
    </row>
    <row r="221" spans="1:10" x14ac:dyDescent="0.25">
      <c r="A221" s="2">
        <v>24</v>
      </c>
      <c r="B221" s="2" t="s">
        <v>8</v>
      </c>
      <c r="C221" s="2">
        <v>25</v>
      </c>
      <c r="D221" s="2">
        <v>0</v>
      </c>
      <c r="E221" s="2" t="s">
        <v>12</v>
      </c>
      <c r="F221" s="2" t="s">
        <v>13</v>
      </c>
      <c r="G221" s="2">
        <v>1668.1985603501566</v>
      </c>
      <c r="H221" s="2">
        <v>1962.58654158842</v>
      </c>
      <c r="I221" s="2">
        <v>0</v>
      </c>
      <c r="J221" s="2">
        <v>0</v>
      </c>
    </row>
    <row r="222" spans="1:10" x14ac:dyDescent="0.25">
      <c r="A222" s="2">
        <v>34</v>
      </c>
      <c r="B222" s="2" t="s">
        <v>8</v>
      </c>
      <c r="C222" s="2">
        <v>25.8</v>
      </c>
      <c r="D222" s="2">
        <v>1</v>
      </c>
      <c r="E222" s="2" t="s">
        <v>12</v>
      </c>
      <c r="F222" s="2" t="s">
        <v>21</v>
      </c>
      <c r="G222" s="2">
        <v>1633.3749622372356</v>
      </c>
      <c r="H222" s="2">
        <v>1921.6176026320427</v>
      </c>
      <c r="I222" s="2">
        <v>0</v>
      </c>
      <c r="J222" s="2">
        <v>0</v>
      </c>
    </row>
    <row r="223" spans="1:10" x14ac:dyDescent="0.25">
      <c r="A223" s="2">
        <v>53</v>
      </c>
      <c r="B223" s="2" t="s">
        <v>8</v>
      </c>
      <c r="C223" s="2">
        <v>33.299999999999997</v>
      </c>
      <c r="D223" s="2">
        <v>0</v>
      </c>
      <c r="E223" s="2" t="s">
        <v>12</v>
      </c>
      <c r="F223" s="2" t="s">
        <v>15</v>
      </c>
      <c r="G223" s="2">
        <v>3740.2731651152167</v>
      </c>
      <c r="H223" s="2">
        <v>3562.1649191573506</v>
      </c>
      <c r="I223" s="2">
        <v>0</v>
      </c>
      <c r="J223" s="2">
        <v>1</v>
      </c>
    </row>
    <row r="224" spans="1:10" x14ac:dyDescent="0.25">
      <c r="A224" s="2">
        <v>32</v>
      </c>
      <c r="B224" s="2" t="s">
        <v>11</v>
      </c>
      <c r="C224" s="2">
        <v>30.8</v>
      </c>
      <c r="D224" s="2">
        <v>3</v>
      </c>
      <c r="E224" s="2" t="s">
        <v>12</v>
      </c>
      <c r="F224" s="2" t="s">
        <v>21</v>
      </c>
      <c r="G224" s="2">
        <v>2674.407145905061</v>
      </c>
      <c r="H224" s="2">
        <v>3565.8761945400811</v>
      </c>
      <c r="I224" s="2">
        <v>0</v>
      </c>
      <c r="J224" s="2">
        <v>3</v>
      </c>
    </row>
    <row r="225" spans="1:10" x14ac:dyDescent="0.25">
      <c r="A225" s="2">
        <v>19</v>
      </c>
      <c r="B225" s="2" t="s">
        <v>11</v>
      </c>
      <c r="C225" s="2">
        <v>24</v>
      </c>
      <c r="D225" s="2">
        <v>0</v>
      </c>
      <c r="E225" s="2" t="s">
        <v>9</v>
      </c>
      <c r="F225" s="2" t="s">
        <v>21</v>
      </c>
      <c r="G225" s="2">
        <v>2219.2073066477078</v>
      </c>
      <c r="H225" s="2">
        <v>2610.8321254678926</v>
      </c>
      <c r="I225" s="2">
        <v>1</v>
      </c>
      <c r="J225" s="2">
        <v>2</v>
      </c>
    </row>
    <row r="226" spans="1:10" x14ac:dyDescent="0.25">
      <c r="A226" s="2">
        <v>42</v>
      </c>
      <c r="B226" s="2" t="s">
        <v>11</v>
      </c>
      <c r="C226" s="2">
        <v>24.6</v>
      </c>
      <c r="D226" s="2">
        <v>0</v>
      </c>
      <c r="E226" s="2" t="s">
        <v>9</v>
      </c>
      <c r="F226" s="2" t="s">
        <v>13</v>
      </c>
      <c r="G226" s="2">
        <v>1855.9439104159846</v>
      </c>
      <c r="H226" s="2">
        <v>2183.4634240188066</v>
      </c>
      <c r="I226" s="2">
        <v>1</v>
      </c>
      <c r="J226" s="2">
        <v>2</v>
      </c>
    </row>
    <row r="227" spans="1:10" x14ac:dyDescent="0.25">
      <c r="A227" s="2">
        <v>55</v>
      </c>
      <c r="B227" s="2" t="s">
        <v>11</v>
      </c>
      <c r="C227" s="2">
        <v>33.9</v>
      </c>
      <c r="D227" s="2">
        <v>3</v>
      </c>
      <c r="E227" s="2" t="s">
        <v>12</v>
      </c>
      <c r="F227" s="2" t="s">
        <v>13</v>
      </c>
      <c r="G227" s="2">
        <v>1680.3570135453585</v>
      </c>
      <c r="H227" s="2">
        <v>2240.4760180604781</v>
      </c>
      <c r="I227" s="2">
        <v>0</v>
      </c>
      <c r="J227" s="2">
        <v>3</v>
      </c>
    </row>
    <row r="228" spans="1:10" x14ac:dyDescent="0.25">
      <c r="A228" s="2">
        <v>28</v>
      </c>
      <c r="B228" s="2" t="s">
        <v>11</v>
      </c>
      <c r="C228" s="2">
        <v>22.6</v>
      </c>
      <c r="D228" s="2">
        <v>0</v>
      </c>
      <c r="E228" s="2" t="s">
        <v>12</v>
      </c>
      <c r="F228" s="2" t="s">
        <v>13</v>
      </c>
      <c r="G228" s="2">
        <v>1310.4139232379407</v>
      </c>
      <c r="H228" s="2">
        <v>1541.6634391034604</v>
      </c>
      <c r="I228" s="2">
        <v>0</v>
      </c>
      <c r="J228" s="2">
        <v>0</v>
      </c>
    </row>
    <row r="229" spans="1:10" x14ac:dyDescent="0.25">
      <c r="A229" s="2">
        <v>58</v>
      </c>
      <c r="B229" s="2" t="s">
        <v>8</v>
      </c>
      <c r="C229" s="2">
        <v>41.9</v>
      </c>
      <c r="D229" s="2">
        <v>0</v>
      </c>
      <c r="E229" s="2" t="s">
        <v>12</v>
      </c>
      <c r="F229" s="2" t="s">
        <v>13</v>
      </c>
      <c r="G229" s="2">
        <v>4103.6410442475262</v>
      </c>
      <c r="H229" s="2">
        <v>3908.2295659500264</v>
      </c>
      <c r="I229" s="2">
        <v>0</v>
      </c>
      <c r="J229" s="2">
        <v>1</v>
      </c>
    </row>
    <row r="230" spans="1:10" x14ac:dyDescent="0.25">
      <c r="A230" s="2">
        <v>41</v>
      </c>
      <c r="B230" s="2" t="s">
        <v>8</v>
      </c>
      <c r="C230" s="2">
        <v>31.6</v>
      </c>
      <c r="D230" s="2">
        <v>1</v>
      </c>
      <c r="E230" s="2" t="s">
        <v>12</v>
      </c>
      <c r="F230" s="2" t="s">
        <v>15</v>
      </c>
      <c r="G230" s="2">
        <v>4486.0052569578365</v>
      </c>
      <c r="H230" s="2">
        <v>4272.3859590074644</v>
      </c>
      <c r="I230" s="2">
        <v>0</v>
      </c>
      <c r="J230" s="2">
        <v>1</v>
      </c>
    </row>
    <row r="231" spans="1:10" x14ac:dyDescent="0.25">
      <c r="A231" s="2">
        <v>47</v>
      </c>
      <c r="B231" s="2" t="s">
        <v>11</v>
      </c>
      <c r="C231" s="2">
        <v>25.5</v>
      </c>
      <c r="D231" s="2">
        <v>2</v>
      </c>
      <c r="E231" s="2" t="s">
        <v>12</v>
      </c>
      <c r="F231" s="2" t="s">
        <v>15</v>
      </c>
      <c r="G231" s="2">
        <v>3055.832565856248</v>
      </c>
      <c r="H231" s="2">
        <v>4074.4434211416637</v>
      </c>
      <c r="I231" s="2">
        <v>0</v>
      </c>
      <c r="J231" s="2">
        <v>3</v>
      </c>
    </row>
    <row r="232" spans="1:10" x14ac:dyDescent="0.25">
      <c r="A232" s="2">
        <v>42</v>
      </c>
      <c r="B232" s="2" t="s">
        <v>8</v>
      </c>
      <c r="C232" s="2">
        <v>36.200000000000003</v>
      </c>
      <c r="D232" s="2">
        <v>1</v>
      </c>
      <c r="E232" s="2" t="s">
        <v>12</v>
      </c>
      <c r="F232" s="2" t="s">
        <v>20</v>
      </c>
      <c r="G232" s="2">
        <v>4421.9852066417152</v>
      </c>
      <c r="H232" s="2">
        <v>4211.4144825159201</v>
      </c>
      <c r="I232" s="2">
        <v>0</v>
      </c>
      <c r="J232" s="2">
        <v>1</v>
      </c>
    </row>
    <row r="233" spans="1:10" x14ac:dyDescent="0.25">
      <c r="A233" s="2">
        <v>59</v>
      </c>
      <c r="B233" s="2" t="s">
        <v>8</v>
      </c>
      <c r="C233" s="2">
        <v>27.8</v>
      </c>
      <c r="D233" s="2">
        <v>3</v>
      </c>
      <c r="E233" s="2" t="s">
        <v>12</v>
      </c>
      <c r="F233" s="2" t="s">
        <v>13</v>
      </c>
      <c r="G233" s="2">
        <v>3611.7647452514766</v>
      </c>
      <c r="H233" s="2">
        <v>4815.6863270019685</v>
      </c>
      <c r="I233" s="2">
        <v>0</v>
      </c>
      <c r="J233" s="2">
        <v>3</v>
      </c>
    </row>
    <row r="234" spans="1:10" x14ac:dyDescent="0.25">
      <c r="A234" s="2">
        <v>19</v>
      </c>
      <c r="B234" s="2" t="s">
        <v>8</v>
      </c>
      <c r="C234" s="2">
        <v>20.100000000000001</v>
      </c>
      <c r="D234" s="2">
        <v>0</v>
      </c>
      <c r="E234" s="2" t="s">
        <v>12</v>
      </c>
      <c r="F234" s="2" t="s">
        <v>21</v>
      </c>
      <c r="G234" s="2">
        <v>1610.7892486189119</v>
      </c>
      <c r="H234" s="2">
        <v>1895.0461748457794</v>
      </c>
      <c r="I234" s="2">
        <v>0</v>
      </c>
      <c r="J234" s="2">
        <v>0</v>
      </c>
    </row>
    <row r="235" spans="1:10" x14ac:dyDescent="0.25">
      <c r="A235" s="2">
        <v>59</v>
      </c>
      <c r="B235" s="2" t="s">
        <v>11</v>
      </c>
      <c r="C235" s="2">
        <v>27.5</v>
      </c>
      <c r="D235" s="2">
        <v>1</v>
      </c>
      <c r="E235" s="2" t="s">
        <v>12</v>
      </c>
      <c r="F235" s="2" t="s">
        <v>21</v>
      </c>
      <c r="G235" s="2">
        <v>4323.8900063519059</v>
      </c>
      <c r="H235" s="2">
        <v>4117.9904822399121</v>
      </c>
      <c r="I235" s="2">
        <v>0</v>
      </c>
      <c r="J235" s="2">
        <v>1</v>
      </c>
    </row>
    <row r="236" spans="1:10" x14ac:dyDescent="0.25">
      <c r="A236" s="2">
        <v>39</v>
      </c>
      <c r="B236" s="2" t="s">
        <v>11</v>
      </c>
      <c r="C236" s="2">
        <v>24.5</v>
      </c>
      <c r="D236" s="2">
        <v>2</v>
      </c>
      <c r="E236" s="2" t="s">
        <v>12</v>
      </c>
      <c r="F236" s="2" t="s">
        <v>20</v>
      </c>
      <c r="G236" s="2">
        <v>1435.6395704770975</v>
      </c>
      <c r="H236" s="2">
        <v>1914.1860939694634</v>
      </c>
      <c r="I236" s="2">
        <v>0</v>
      </c>
      <c r="J236" s="2">
        <v>3</v>
      </c>
    </row>
    <row r="237" spans="1:10" x14ac:dyDescent="0.25">
      <c r="A237" s="2">
        <v>40</v>
      </c>
      <c r="B237" s="2" t="s">
        <v>8</v>
      </c>
      <c r="C237" s="2">
        <v>22.2</v>
      </c>
      <c r="D237" s="2">
        <v>2</v>
      </c>
      <c r="E237" s="2" t="s">
        <v>9</v>
      </c>
      <c r="F237" s="2" t="s">
        <v>13</v>
      </c>
      <c r="G237" s="2">
        <v>1757.6045394790262</v>
      </c>
      <c r="H237" s="2">
        <v>2067.770046445914</v>
      </c>
      <c r="I237" s="2">
        <v>1</v>
      </c>
      <c r="J237" s="2">
        <v>2</v>
      </c>
    </row>
    <row r="238" spans="1:10" x14ac:dyDescent="0.25">
      <c r="A238" s="2">
        <v>18</v>
      </c>
      <c r="B238" s="2" t="s">
        <v>8</v>
      </c>
      <c r="C238" s="2">
        <v>23.8</v>
      </c>
      <c r="D238" s="2">
        <v>0</v>
      </c>
      <c r="E238" s="2" t="s">
        <v>12</v>
      </c>
      <c r="F238" s="2" t="s">
        <v>13</v>
      </c>
      <c r="G238" s="2">
        <v>1726.3650583258659</v>
      </c>
      <c r="H238" s="2">
        <v>2031.0177156774901</v>
      </c>
      <c r="I238" s="2">
        <v>0</v>
      </c>
      <c r="J238" s="2">
        <v>0</v>
      </c>
    </row>
    <row r="239" spans="1:10" x14ac:dyDescent="0.25">
      <c r="A239" s="2">
        <v>31</v>
      </c>
      <c r="B239" s="2" t="s">
        <v>11</v>
      </c>
      <c r="C239" s="2">
        <v>38.4</v>
      </c>
      <c r="D239" s="2">
        <v>2</v>
      </c>
      <c r="E239" s="2" t="s">
        <v>12</v>
      </c>
      <c r="F239" s="2" t="s">
        <v>13</v>
      </c>
      <c r="G239" s="2">
        <v>1511.5799677102475</v>
      </c>
      <c r="H239" s="2">
        <v>2015.4399569469967</v>
      </c>
      <c r="I239" s="2">
        <v>0</v>
      </c>
      <c r="J239" s="2">
        <v>3</v>
      </c>
    </row>
    <row r="240" spans="1:10" x14ac:dyDescent="0.25">
      <c r="A240" s="2">
        <v>19</v>
      </c>
      <c r="B240" s="2" t="s">
        <v>11</v>
      </c>
      <c r="C240" s="2">
        <v>24.5</v>
      </c>
      <c r="D240" s="2">
        <v>0</v>
      </c>
      <c r="E240" s="2" t="s">
        <v>9</v>
      </c>
      <c r="F240" s="2" t="s">
        <v>20</v>
      </c>
      <c r="G240" s="2">
        <v>2293.922628434661</v>
      </c>
      <c r="H240" s="2">
        <v>2698.7325040407782</v>
      </c>
      <c r="I240" s="2">
        <v>1</v>
      </c>
      <c r="J240" s="2">
        <v>2</v>
      </c>
    </row>
    <row r="241" spans="1:10" x14ac:dyDescent="0.25">
      <c r="A241" s="2">
        <v>44</v>
      </c>
      <c r="B241" s="2" t="s">
        <v>11</v>
      </c>
      <c r="C241" s="2">
        <v>38.1</v>
      </c>
      <c r="D241" s="2">
        <v>1</v>
      </c>
      <c r="E241" s="2" t="s">
        <v>12</v>
      </c>
      <c r="F241" s="2" t="s">
        <v>13</v>
      </c>
      <c r="G241" s="2">
        <v>5134.6551669969049</v>
      </c>
      <c r="H241" s="2">
        <v>4890.1477780922924</v>
      </c>
      <c r="I241" s="2">
        <v>0</v>
      </c>
      <c r="J241" s="2">
        <v>1</v>
      </c>
    </row>
    <row r="242" spans="1:10" x14ac:dyDescent="0.25">
      <c r="A242" s="2">
        <v>23</v>
      </c>
      <c r="B242" s="2" t="s">
        <v>8</v>
      </c>
      <c r="C242" s="2">
        <v>36.700000000000003</v>
      </c>
      <c r="D242" s="2">
        <v>2</v>
      </c>
      <c r="E242" s="2" t="s">
        <v>9</v>
      </c>
      <c r="F242" s="2" t="s">
        <v>15</v>
      </c>
      <c r="G242" s="2">
        <v>993.70311077674023</v>
      </c>
      <c r="H242" s="2">
        <v>1324.9374810356537</v>
      </c>
      <c r="I242" s="2">
        <v>1</v>
      </c>
      <c r="J242" s="2">
        <v>2</v>
      </c>
    </row>
    <row r="243" spans="1:10" x14ac:dyDescent="0.25">
      <c r="A243" s="2">
        <v>33</v>
      </c>
      <c r="B243" s="2" t="s">
        <v>8</v>
      </c>
      <c r="C243" s="2">
        <v>23.5</v>
      </c>
      <c r="D243" s="2">
        <v>1</v>
      </c>
      <c r="E243" s="2" t="s">
        <v>12</v>
      </c>
      <c r="F243" s="2" t="s">
        <v>15</v>
      </c>
      <c r="G243" s="2">
        <v>2104.5684586962007</v>
      </c>
      <c r="H243" s="2">
        <v>2475.962892583766</v>
      </c>
      <c r="I243" s="2">
        <v>0</v>
      </c>
      <c r="J243" s="2">
        <v>0</v>
      </c>
    </row>
    <row r="244" spans="1:10" x14ac:dyDescent="0.25">
      <c r="A244" s="2">
        <v>55</v>
      </c>
      <c r="B244" s="2" t="s">
        <v>8</v>
      </c>
      <c r="C244" s="2">
        <v>26.8</v>
      </c>
      <c r="D244" s="2">
        <v>1</v>
      </c>
      <c r="E244" s="2" t="s">
        <v>12</v>
      </c>
      <c r="F244" s="2" t="s">
        <v>21</v>
      </c>
      <c r="G244" s="2">
        <v>3822.5014396624001</v>
      </c>
      <c r="H244" s="2">
        <v>3640.4775615832395</v>
      </c>
      <c r="I244" s="2">
        <v>0</v>
      </c>
      <c r="J244" s="2">
        <v>1</v>
      </c>
    </row>
    <row r="245" spans="1:10" x14ac:dyDescent="0.25">
      <c r="A245" s="2">
        <v>40</v>
      </c>
      <c r="B245" s="2" t="s">
        <v>11</v>
      </c>
      <c r="C245" s="2">
        <v>35.299999999999997</v>
      </c>
      <c r="D245" s="2">
        <v>3</v>
      </c>
      <c r="E245" s="2" t="s">
        <v>12</v>
      </c>
      <c r="F245" s="2" t="s">
        <v>21</v>
      </c>
      <c r="G245" s="2">
        <v>2871.9106915635125</v>
      </c>
      <c r="H245" s="2">
        <v>3829.2142554180168</v>
      </c>
      <c r="I245" s="2">
        <v>0</v>
      </c>
      <c r="J245" s="2">
        <v>3</v>
      </c>
    </row>
    <row r="246" spans="1:10" x14ac:dyDescent="0.25">
      <c r="A246" s="2">
        <v>63</v>
      </c>
      <c r="B246" s="2" t="s">
        <v>8</v>
      </c>
      <c r="C246" s="2">
        <v>27.7</v>
      </c>
      <c r="D246" s="2">
        <v>0</v>
      </c>
      <c r="E246" s="2" t="s">
        <v>9</v>
      </c>
      <c r="F246" s="2" t="s">
        <v>15</v>
      </c>
      <c r="G246" s="2">
        <v>5702.3174588026241</v>
      </c>
      <c r="H246" s="2">
        <v>5430.7785321929759</v>
      </c>
      <c r="I246" s="2">
        <v>1</v>
      </c>
      <c r="J246" s="2">
        <v>2</v>
      </c>
    </row>
    <row r="247" spans="1:10" x14ac:dyDescent="0.25">
      <c r="A247" s="2">
        <v>54</v>
      </c>
      <c r="B247" s="2" t="s">
        <v>11</v>
      </c>
      <c r="C247" s="2">
        <v>30</v>
      </c>
      <c r="D247" s="2">
        <v>0</v>
      </c>
      <c r="E247" s="2" t="s">
        <v>12</v>
      </c>
      <c r="F247" s="2" t="s">
        <v>20</v>
      </c>
      <c r="G247" s="2">
        <v>4780.1823583978103</v>
      </c>
      <c r="H247" s="2">
        <v>4552.5546270455352</v>
      </c>
      <c r="I247" s="2">
        <v>0</v>
      </c>
      <c r="J247" s="2">
        <v>1</v>
      </c>
    </row>
    <row r="248" spans="1:10" x14ac:dyDescent="0.25">
      <c r="A248" s="2">
        <v>60</v>
      </c>
      <c r="B248" s="2" t="s">
        <v>8</v>
      </c>
      <c r="C248" s="2">
        <v>38.1</v>
      </c>
      <c r="D248" s="2">
        <v>0</v>
      </c>
      <c r="E248" s="2" t="s">
        <v>12</v>
      </c>
      <c r="F248" s="2" t="s">
        <v>13</v>
      </c>
      <c r="G248" s="2">
        <v>4611.3545717565994</v>
      </c>
      <c r="H248" s="2">
        <v>4391.76625881581</v>
      </c>
      <c r="I248" s="2">
        <v>0</v>
      </c>
      <c r="J248" s="2">
        <v>1</v>
      </c>
    </row>
    <row r="249" spans="1:10" x14ac:dyDescent="0.25">
      <c r="A249" s="2">
        <v>24</v>
      </c>
      <c r="B249" s="2" t="s">
        <v>11</v>
      </c>
      <c r="C249" s="2">
        <v>25.7</v>
      </c>
      <c r="D249" s="2">
        <v>0</v>
      </c>
      <c r="E249" s="2" t="s">
        <v>12</v>
      </c>
      <c r="F249" s="2" t="s">
        <v>13</v>
      </c>
      <c r="G249" s="2">
        <v>1962.5784826432321</v>
      </c>
      <c r="H249" s="2">
        <v>2308.9158619332152</v>
      </c>
      <c r="I249" s="2">
        <v>0</v>
      </c>
      <c r="J249" s="2">
        <v>0</v>
      </c>
    </row>
    <row r="250" spans="1:10" x14ac:dyDescent="0.25">
      <c r="A250" s="2">
        <v>19</v>
      </c>
      <c r="B250" s="2" t="s">
        <v>11</v>
      </c>
      <c r="C250" s="2">
        <v>23.6</v>
      </c>
      <c r="D250" s="2">
        <v>1</v>
      </c>
      <c r="E250" s="2" t="s">
        <v>12</v>
      </c>
      <c r="F250" s="2" t="s">
        <v>21</v>
      </c>
      <c r="G250" s="2">
        <v>2000.4099827288355</v>
      </c>
      <c r="H250" s="2">
        <v>2353.4235090927482</v>
      </c>
      <c r="I250" s="2">
        <v>0</v>
      </c>
      <c r="J250" s="2">
        <v>0</v>
      </c>
    </row>
    <row r="251" spans="1:10" x14ac:dyDescent="0.25">
      <c r="A251" s="2">
        <v>29</v>
      </c>
      <c r="B251" s="2" t="s">
        <v>11</v>
      </c>
      <c r="C251" s="2">
        <v>21.9</v>
      </c>
      <c r="D251" s="2">
        <v>1</v>
      </c>
      <c r="E251" s="2" t="s">
        <v>12</v>
      </c>
      <c r="F251" s="2" t="s">
        <v>15</v>
      </c>
      <c r="G251" s="2">
        <v>1920.5331582527567</v>
      </c>
      <c r="H251" s="2">
        <v>2259.4507744150087</v>
      </c>
      <c r="I251" s="2">
        <v>0</v>
      </c>
      <c r="J251" s="2">
        <v>0</v>
      </c>
    </row>
    <row r="252" spans="1:10" x14ac:dyDescent="0.25">
      <c r="A252" s="2">
        <v>18</v>
      </c>
      <c r="B252" s="2" t="s">
        <v>11</v>
      </c>
      <c r="C252" s="2">
        <v>24.6</v>
      </c>
      <c r="D252" s="2">
        <v>2</v>
      </c>
      <c r="E252" s="2" t="s">
        <v>9</v>
      </c>
      <c r="F252" s="2" t="s">
        <v>15</v>
      </c>
      <c r="G252" s="2">
        <v>1630.3923343612914</v>
      </c>
      <c r="H252" s="2">
        <v>1918.1086286603434</v>
      </c>
      <c r="I252" s="2">
        <v>1</v>
      </c>
      <c r="J252" s="2">
        <v>2</v>
      </c>
    </row>
    <row r="253" spans="1:10" x14ac:dyDescent="0.25">
      <c r="A253" s="2">
        <v>63</v>
      </c>
      <c r="B253" s="2" t="s">
        <v>8</v>
      </c>
      <c r="C253" s="2">
        <v>32.200000000000003</v>
      </c>
      <c r="D253" s="2">
        <v>2</v>
      </c>
      <c r="E253" s="2" t="s">
        <v>9</v>
      </c>
      <c r="F253" s="2" t="s">
        <v>21</v>
      </c>
      <c r="G253" s="2">
        <v>4235.3579532476415</v>
      </c>
      <c r="H253" s="2">
        <v>4033.6742411882315</v>
      </c>
      <c r="I253" s="2">
        <v>1</v>
      </c>
      <c r="J253" s="2">
        <v>2</v>
      </c>
    </row>
    <row r="254" spans="1:10" x14ac:dyDescent="0.25">
      <c r="A254" s="2">
        <v>54</v>
      </c>
      <c r="B254" s="2" t="s">
        <v>11</v>
      </c>
      <c r="C254" s="2">
        <v>34.200000000000003</v>
      </c>
      <c r="D254" s="2">
        <v>2</v>
      </c>
      <c r="E254" s="2" t="s">
        <v>9</v>
      </c>
      <c r="F254" s="2" t="s">
        <v>13</v>
      </c>
      <c r="G254" s="2">
        <v>2027.2472149566938</v>
      </c>
      <c r="H254" s="2">
        <v>2702.9962866089249</v>
      </c>
      <c r="I254" s="2">
        <v>1</v>
      </c>
      <c r="J254" s="2">
        <v>2</v>
      </c>
    </row>
    <row r="255" spans="1:10" x14ac:dyDescent="0.25">
      <c r="A255" s="2">
        <v>27</v>
      </c>
      <c r="B255" s="2" t="s">
        <v>11</v>
      </c>
      <c r="C255" s="2">
        <v>30.3</v>
      </c>
      <c r="D255" s="2">
        <v>3</v>
      </c>
      <c r="E255" s="2" t="s">
        <v>12</v>
      </c>
      <c r="F255" s="2" t="s">
        <v>21</v>
      </c>
      <c r="G255" s="2">
        <v>1393.3229298499409</v>
      </c>
      <c r="H255" s="2">
        <v>1857.763906466588</v>
      </c>
      <c r="I255" s="2">
        <v>0</v>
      </c>
      <c r="J255" s="2">
        <v>3</v>
      </c>
    </row>
    <row r="256" spans="1:10" x14ac:dyDescent="0.25">
      <c r="A256" s="2">
        <v>50</v>
      </c>
      <c r="B256" s="2" t="s">
        <v>11</v>
      </c>
      <c r="C256" s="2">
        <v>31.8</v>
      </c>
      <c r="D256" s="2">
        <v>0</v>
      </c>
      <c r="E256" s="2" t="s">
        <v>9</v>
      </c>
      <c r="F256" s="2" t="s">
        <v>15</v>
      </c>
      <c r="G256" s="2">
        <v>4704.4102630349707</v>
      </c>
      <c r="H256" s="2">
        <v>4480.390726699974</v>
      </c>
      <c r="I256" s="2">
        <v>1</v>
      </c>
      <c r="J256" s="2">
        <v>2</v>
      </c>
    </row>
    <row r="257" spans="1:10" x14ac:dyDescent="0.25">
      <c r="A257" s="2">
        <v>55</v>
      </c>
      <c r="B257" s="2" t="s">
        <v>8</v>
      </c>
      <c r="C257" s="2">
        <v>25.4</v>
      </c>
      <c r="D257" s="2">
        <v>3</v>
      </c>
      <c r="E257" s="2" t="s">
        <v>12</v>
      </c>
      <c r="F257" s="2" t="s">
        <v>15</v>
      </c>
      <c r="G257" s="2">
        <v>2963.7545342791341</v>
      </c>
      <c r="H257" s="2">
        <v>3951.6727123721789</v>
      </c>
      <c r="I257" s="2">
        <v>0</v>
      </c>
      <c r="J257" s="2">
        <v>3</v>
      </c>
    </row>
    <row r="258" spans="1:10" x14ac:dyDescent="0.25">
      <c r="A258" s="2">
        <v>56</v>
      </c>
      <c r="B258" s="2" t="s">
        <v>11</v>
      </c>
      <c r="C258" s="2">
        <v>33.6</v>
      </c>
      <c r="D258" s="2">
        <v>0</v>
      </c>
      <c r="E258" s="2" t="s">
        <v>9</v>
      </c>
      <c r="F258" s="2" t="s">
        <v>20</v>
      </c>
      <c r="G258" s="2">
        <v>4925.2183144071541</v>
      </c>
      <c r="H258" s="2">
        <v>4690.6841089591962</v>
      </c>
      <c r="I258" s="2">
        <v>1</v>
      </c>
      <c r="J258" s="2">
        <v>2</v>
      </c>
    </row>
    <row r="259" spans="1:10" x14ac:dyDescent="0.25">
      <c r="A259" s="2">
        <v>38</v>
      </c>
      <c r="B259" s="2" t="s">
        <v>8</v>
      </c>
      <c r="C259" s="2">
        <v>40.200000000000003</v>
      </c>
      <c r="D259" s="2">
        <v>0</v>
      </c>
      <c r="E259" s="2" t="s">
        <v>12</v>
      </c>
      <c r="F259" s="2" t="s">
        <v>13</v>
      </c>
      <c r="G259" s="2">
        <v>4437.4292913248055</v>
      </c>
      <c r="H259" s="2">
        <v>4226.1231345950546</v>
      </c>
      <c r="I259" s="2">
        <v>0</v>
      </c>
      <c r="J259" s="2">
        <v>1</v>
      </c>
    </row>
    <row r="260" spans="1:10" x14ac:dyDescent="0.25">
      <c r="A260" s="2">
        <v>51</v>
      </c>
      <c r="B260" s="2" t="s">
        <v>11</v>
      </c>
      <c r="C260" s="2">
        <v>24.4</v>
      </c>
      <c r="D260" s="2">
        <v>4</v>
      </c>
      <c r="E260" s="2" t="s">
        <v>12</v>
      </c>
      <c r="F260" s="2" t="s">
        <v>20</v>
      </c>
      <c r="G260" s="2">
        <v>2888.8867893812385</v>
      </c>
      <c r="H260" s="2">
        <v>3851.849052508318</v>
      </c>
      <c r="I260" s="2">
        <v>0</v>
      </c>
      <c r="J260" s="2">
        <v>3</v>
      </c>
    </row>
    <row r="261" spans="1:10" x14ac:dyDescent="0.25">
      <c r="A261" s="2">
        <v>19</v>
      </c>
      <c r="B261" s="2" t="s">
        <v>11</v>
      </c>
      <c r="C261" s="2">
        <v>23.4</v>
      </c>
      <c r="D261" s="2">
        <v>0</v>
      </c>
      <c r="E261" s="2" t="s">
        <v>9</v>
      </c>
      <c r="F261" s="2" t="s">
        <v>20</v>
      </c>
      <c r="G261" s="2">
        <v>1596.3130294625093</v>
      </c>
      <c r="H261" s="2">
        <v>1878.0153287794235</v>
      </c>
      <c r="I261" s="2">
        <v>1</v>
      </c>
      <c r="J261" s="2">
        <v>2</v>
      </c>
    </row>
    <row r="262" spans="1:10" x14ac:dyDescent="0.25">
      <c r="A262" s="2">
        <v>58</v>
      </c>
      <c r="B262" s="2" t="s">
        <v>8</v>
      </c>
      <c r="C262" s="2">
        <v>25.2</v>
      </c>
      <c r="D262" s="2">
        <v>0</v>
      </c>
      <c r="E262" s="2" t="s">
        <v>12</v>
      </c>
      <c r="F262" s="2" t="s">
        <v>21</v>
      </c>
      <c r="G262" s="2">
        <v>5384.5278724630443</v>
      </c>
      <c r="H262" s="2">
        <v>5128.1217832981383</v>
      </c>
      <c r="I262" s="2">
        <v>0</v>
      </c>
      <c r="J262" s="2">
        <v>1</v>
      </c>
    </row>
    <row r="263" spans="1:10" x14ac:dyDescent="0.25">
      <c r="A263" s="2">
        <v>20</v>
      </c>
      <c r="B263" s="2" t="s">
        <v>8</v>
      </c>
      <c r="C263" s="2">
        <v>23.5</v>
      </c>
      <c r="D263" s="2">
        <v>1</v>
      </c>
      <c r="E263" s="2" t="s">
        <v>9</v>
      </c>
      <c r="F263" s="2" t="s">
        <v>13</v>
      </c>
      <c r="G263" s="2">
        <v>1672.5348281054803</v>
      </c>
      <c r="H263" s="2">
        <v>1967.6880330652716</v>
      </c>
      <c r="I263" s="2">
        <v>1</v>
      </c>
      <c r="J263" s="2">
        <v>2</v>
      </c>
    </row>
    <row r="264" spans="1:10" x14ac:dyDescent="0.25">
      <c r="A264" s="2">
        <v>52</v>
      </c>
      <c r="B264" s="2" t="s">
        <v>11</v>
      </c>
      <c r="C264" s="2">
        <v>24.3</v>
      </c>
      <c r="D264" s="2">
        <v>3</v>
      </c>
      <c r="E264" s="2" t="s">
        <v>9</v>
      </c>
      <c r="F264" s="2" t="s">
        <v>15</v>
      </c>
      <c r="G264" s="2">
        <v>1597.2327923961661</v>
      </c>
      <c r="H264" s="2">
        <v>2129.643723194888</v>
      </c>
      <c r="I264" s="2">
        <v>1</v>
      </c>
      <c r="J264" s="2">
        <v>2</v>
      </c>
    </row>
    <row r="265" spans="1:10" x14ac:dyDescent="0.25">
      <c r="A265" s="2">
        <v>19</v>
      </c>
      <c r="B265" s="2" t="s">
        <v>11</v>
      </c>
      <c r="C265" s="2">
        <v>20.8</v>
      </c>
      <c r="D265" s="2">
        <v>0</v>
      </c>
      <c r="E265" s="2" t="s">
        <v>9</v>
      </c>
      <c r="F265" s="2" t="s">
        <v>20</v>
      </c>
      <c r="G265" s="2">
        <v>1989.6723872002519</v>
      </c>
      <c r="H265" s="2">
        <v>2340.791043765003</v>
      </c>
      <c r="I265" s="2">
        <v>1</v>
      </c>
      <c r="J265" s="2">
        <v>2</v>
      </c>
    </row>
    <row r="266" spans="1:10" x14ac:dyDescent="0.25">
      <c r="A266" s="2">
        <v>53</v>
      </c>
      <c r="B266" s="2" t="s">
        <v>8</v>
      </c>
      <c r="C266" s="2">
        <v>38.1</v>
      </c>
      <c r="D266" s="2">
        <v>3</v>
      </c>
      <c r="E266" s="2" t="s">
        <v>12</v>
      </c>
      <c r="F266" s="2" t="s">
        <v>13</v>
      </c>
      <c r="G266" s="2">
        <v>3509.1646687873053</v>
      </c>
      <c r="H266" s="2">
        <v>4678.8862250497405</v>
      </c>
      <c r="I266" s="2">
        <v>0</v>
      </c>
      <c r="J266" s="2">
        <v>3</v>
      </c>
    </row>
    <row r="267" spans="1:10" x14ac:dyDescent="0.25">
      <c r="A267" s="2">
        <v>46</v>
      </c>
      <c r="B267" s="2" t="s">
        <v>11</v>
      </c>
      <c r="C267" s="2">
        <v>42.4</v>
      </c>
      <c r="D267" s="2">
        <v>3</v>
      </c>
      <c r="E267" s="2" t="s">
        <v>9</v>
      </c>
      <c r="F267" s="2" t="s">
        <v>13</v>
      </c>
      <c r="G267" s="2">
        <v>2304.5210619811392</v>
      </c>
      <c r="H267" s="2">
        <v>3072.6947493081857</v>
      </c>
      <c r="I267" s="2">
        <v>1</v>
      </c>
      <c r="J267" s="2">
        <v>2</v>
      </c>
    </row>
    <row r="268" spans="1:10" x14ac:dyDescent="0.25">
      <c r="A268" s="2">
        <v>40</v>
      </c>
      <c r="B268" s="2" t="s">
        <v>11</v>
      </c>
      <c r="C268" s="2">
        <v>25.8</v>
      </c>
      <c r="D268" s="2">
        <v>1</v>
      </c>
      <c r="E268" s="2" t="s">
        <v>9</v>
      </c>
      <c r="F268" s="2" t="s">
        <v>13</v>
      </c>
      <c r="G268" s="2">
        <v>2086.7508242685512</v>
      </c>
      <c r="H268" s="2">
        <v>2455.0009697277083</v>
      </c>
      <c r="I268" s="2">
        <v>1</v>
      </c>
      <c r="J268" s="2">
        <v>2</v>
      </c>
    </row>
    <row r="269" spans="1:10" x14ac:dyDescent="0.25">
      <c r="A269" s="2">
        <v>59</v>
      </c>
      <c r="B269" s="2" t="s">
        <v>8</v>
      </c>
      <c r="C269" s="2">
        <v>32.4</v>
      </c>
      <c r="D269" s="2">
        <v>3</v>
      </c>
      <c r="E269" s="2" t="s">
        <v>12</v>
      </c>
      <c r="F269" s="2" t="s">
        <v>15</v>
      </c>
      <c r="G269" s="2">
        <v>3301.7597851266487</v>
      </c>
      <c r="H269" s="2">
        <v>4402.3463801688649</v>
      </c>
      <c r="I269" s="2">
        <v>0</v>
      </c>
      <c r="J269" s="2">
        <v>3</v>
      </c>
    </row>
    <row r="270" spans="1:10" x14ac:dyDescent="0.25">
      <c r="A270" s="2">
        <v>45</v>
      </c>
      <c r="B270" s="2" t="s">
        <v>11</v>
      </c>
      <c r="C270" s="2">
        <v>30.2</v>
      </c>
      <c r="D270" s="2">
        <v>1</v>
      </c>
      <c r="E270" s="2" t="s">
        <v>12</v>
      </c>
      <c r="F270" s="2" t="s">
        <v>21</v>
      </c>
      <c r="G270" s="2">
        <v>4385.7999846143657</v>
      </c>
      <c r="H270" s="2">
        <v>4176.952366299397</v>
      </c>
      <c r="I270" s="2">
        <v>0</v>
      </c>
      <c r="J270" s="2">
        <v>1</v>
      </c>
    </row>
    <row r="271" spans="1:10" x14ac:dyDescent="0.25">
      <c r="A271" s="2">
        <v>49</v>
      </c>
      <c r="B271" s="2" t="s">
        <v>11</v>
      </c>
      <c r="C271" s="2">
        <v>25.8</v>
      </c>
      <c r="D271" s="2">
        <v>1</v>
      </c>
      <c r="E271" s="2" t="s">
        <v>12</v>
      </c>
      <c r="F271" s="2" t="s">
        <v>15</v>
      </c>
      <c r="G271" s="2">
        <v>5301.2430280992203</v>
      </c>
      <c r="H271" s="2">
        <v>5048.8028839040217</v>
      </c>
      <c r="I271" s="2">
        <v>0</v>
      </c>
      <c r="J271" s="2">
        <v>1</v>
      </c>
    </row>
    <row r="272" spans="1:10" x14ac:dyDescent="0.25">
      <c r="A272" s="2">
        <v>18</v>
      </c>
      <c r="B272" s="2" t="s">
        <v>11</v>
      </c>
      <c r="C272" s="2">
        <v>23.6</v>
      </c>
      <c r="D272" s="2">
        <v>1</v>
      </c>
      <c r="E272" s="2" t="s">
        <v>12</v>
      </c>
      <c r="F272" s="2" t="s">
        <v>13</v>
      </c>
      <c r="G272" s="2">
        <v>2265.5020841342966</v>
      </c>
      <c r="H272" s="2">
        <v>2665.2965695697612</v>
      </c>
      <c r="I272" s="2">
        <v>0</v>
      </c>
      <c r="J272" s="2">
        <v>0</v>
      </c>
    </row>
    <row r="273" spans="1:10" x14ac:dyDescent="0.25">
      <c r="A273" s="2">
        <v>50</v>
      </c>
      <c r="B273" s="2" t="s">
        <v>11</v>
      </c>
      <c r="C273" s="2">
        <v>34.200000000000003</v>
      </c>
      <c r="D273" s="2">
        <v>2</v>
      </c>
      <c r="E273" s="2" t="s">
        <v>9</v>
      </c>
      <c r="F273" s="2" t="s">
        <v>21</v>
      </c>
      <c r="G273" s="2">
        <v>2217.5984802531066</v>
      </c>
      <c r="H273" s="2">
        <v>2956.7979736708085</v>
      </c>
      <c r="I273" s="2">
        <v>1</v>
      </c>
      <c r="J273" s="2">
        <v>2</v>
      </c>
    </row>
    <row r="274" spans="1:10" x14ac:dyDescent="0.25">
      <c r="A274" s="2">
        <v>41</v>
      </c>
      <c r="B274" s="2" t="s">
        <v>11</v>
      </c>
      <c r="C274" s="2">
        <v>37.1</v>
      </c>
      <c r="D274" s="2">
        <v>2</v>
      </c>
      <c r="E274" s="2" t="s">
        <v>12</v>
      </c>
      <c r="F274" s="2" t="s">
        <v>20</v>
      </c>
      <c r="G274" s="2">
        <v>2942.9063544309497</v>
      </c>
      <c r="H274" s="2">
        <v>3923.8751392412664</v>
      </c>
      <c r="I274" s="2">
        <v>0</v>
      </c>
      <c r="J274" s="2">
        <v>3</v>
      </c>
    </row>
    <row r="275" spans="1:10" x14ac:dyDescent="0.25">
      <c r="A275" s="2">
        <v>50</v>
      </c>
      <c r="B275" s="2" t="s">
        <v>11</v>
      </c>
      <c r="C275" s="2">
        <v>27.5</v>
      </c>
      <c r="D275" s="2">
        <v>1</v>
      </c>
      <c r="E275" s="2" t="s">
        <v>12</v>
      </c>
      <c r="F275" s="2" t="s">
        <v>15</v>
      </c>
      <c r="G275" s="2">
        <v>3810.8908370019217</v>
      </c>
      <c r="H275" s="2">
        <v>3629.4198447637364</v>
      </c>
      <c r="I275" s="2">
        <v>0</v>
      </c>
      <c r="J275" s="2">
        <v>1</v>
      </c>
    </row>
    <row r="276" spans="1:10" x14ac:dyDescent="0.25">
      <c r="A276" s="2">
        <v>25</v>
      </c>
      <c r="B276" s="2" t="s">
        <v>11</v>
      </c>
      <c r="C276" s="2">
        <v>24.6</v>
      </c>
      <c r="D276" s="2">
        <v>0</v>
      </c>
      <c r="E276" s="2" t="s">
        <v>12</v>
      </c>
      <c r="F276" s="2" t="s">
        <v>20</v>
      </c>
      <c r="G276" s="2">
        <v>2027.3372360645233</v>
      </c>
      <c r="H276" s="2">
        <v>2385.1026306641456</v>
      </c>
      <c r="I276" s="2">
        <v>0</v>
      </c>
      <c r="J276" s="2">
        <v>0</v>
      </c>
    </row>
    <row r="277" spans="1:10" x14ac:dyDescent="0.25">
      <c r="A277" s="2">
        <v>47</v>
      </c>
      <c r="B277" s="2" t="s">
        <v>8</v>
      </c>
      <c r="C277" s="2">
        <v>26.6</v>
      </c>
      <c r="D277" s="2">
        <v>2</v>
      </c>
      <c r="E277" s="2" t="s">
        <v>12</v>
      </c>
      <c r="F277" s="2" t="s">
        <v>15</v>
      </c>
      <c r="G277" s="2">
        <v>1371.1892131619093</v>
      </c>
      <c r="H277" s="2">
        <v>1828.2522842158789</v>
      </c>
      <c r="I277" s="2">
        <v>0</v>
      </c>
      <c r="J277" s="2">
        <v>3</v>
      </c>
    </row>
    <row r="278" spans="1:10" x14ac:dyDescent="0.25">
      <c r="A278" s="2">
        <v>19</v>
      </c>
      <c r="B278" s="2" t="s">
        <v>11</v>
      </c>
      <c r="C278" s="2">
        <v>23.2</v>
      </c>
      <c r="D278" s="2">
        <v>2</v>
      </c>
      <c r="E278" s="2" t="s">
        <v>12</v>
      </c>
      <c r="F278" s="2" t="s">
        <v>20</v>
      </c>
      <c r="G278" s="2">
        <v>1686.202836775135</v>
      </c>
      <c r="H278" s="2">
        <v>1983.7680432648654</v>
      </c>
      <c r="I278" s="2">
        <v>0</v>
      </c>
      <c r="J278" s="2">
        <v>0</v>
      </c>
    </row>
    <row r="279" spans="1:10" x14ac:dyDescent="0.25">
      <c r="A279" s="2">
        <v>22</v>
      </c>
      <c r="B279" s="2" t="s">
        <v>8</v>
      </c>
      <c r="C279" s="2">
        <v>22.6</v>
      </c>
      <c r="D279" s="2">
        <v>0</v>
      </c>
      <c r="E279" s="2" t="s">
        <v>12</v>
      </c>
      <c r="F279" s="2" t="s">
        <v>21</v>
      </c>
      <c r="G279" s="2">
        <v>1945.1792283344764</v>
      </c>
      <c r="H279" s="2">
        <v>2288.4461509817379</v>
      </c>
      <c r="I279" s="2">
        <v>0</v>
      </c>
      <c r="J279" s="2">
        <v>0</v>
      </c>
    </row>
    <row r="280" spans="1:10" x14ac:dyDescent="0.25">
      <c r="A280" s="2">
        <v>59</v>
      </c>
      <c r="B280" s="2" t="s">
        <v>11</v>
      </c>
      <c r="C280" s="2">
        <v>31.8</v>
      </c>
      <c r="D280" s="2">
        <v>2</v>
      </c>
      <c r="E280" s="2" t="s">
        <v>12</v>
      </c>
      <c r="F280" s="2" t="s">
        <v>13</v>
      </c>
      <c r="G280" s="2">
        <v>2657.0872801050332</v>
      </c>
      <c r="H280" s="2">
        <v>3542.7830401400442</v>
      </c>
      <c r="I280" s="2">
        <v>0</v>
      </c>
      <c r="J280" s="2">
        <v>3</v>
      </c>
    </row>
    <row r="281" spans="1:10" x14ac:dyDescent="0.25">
      <c r="A281" s="2">
        <v>51</v>
      </c>
      <c r="B281" s="2" t="s">
        <v>8</v>
      </c>
      <c r="C281" s="2">
        <v>21.6</v>
      </c>
      <c r="D281" s="2">
        <v>1</v>
      </c>
      <c r="E281" s="2" t="s">
        <v>12</v>
      </c>
      <c r="F281" s="2" t="s">
        <v>13</v>
      </c>
      <c r="G281" s="2">
        <v>3783.877145875138</v>
      </c>
      <c r="H281" s="2">
        <v>3603.692519881085</v>
      </c>
      <c r="I281" s="2">
        <v>0</v>
      </c>
      <c r="J281" s="2">
        <v>1</v>
      </c>
    </row>
    <row r="282" spans="1:10" x14ac:dyDescent="0.25">
      <c r="A282" s="2">
        <v>40</v>
      </c>
      <c r="B282" s="2" t="s">
        <v>8</v>
      </c>
      <c r="C282" s="2">
        <v>23.1</v>
      </c>
      <c r="D282" s="2">
        <v>1</v>
      </c>
      <c r="E282" s="2" t="s">
        <v>9</v>
      </c>
      <c r="F282" s="2" t="s">
        <v>15</v>
      </c>
      <c r="G282" s="2">
        <v>2607.6074390258159</v>
      </c>
      <c r="H282" s="2">
        <v>3067.7734576774315</v>
      </c>
      <c r="I282" s="2">
        <v>1</v>
      </c>
      <c r="J282" s="2">
        <v>2</v>
      </c>
    </row>
    <row r="283" spans="1:10" x14ac:dyDescent="0.25">
      <c r="A283" s="2">
        <v>54</v>
      </c>
      <c r="B283" s="2" t="s">
        <v>11</v>
      </c>
      <c r="C283" s="2">
        <v>40.6</v>
      </c>
      <c r="D283" s="2">
        <v>3</v>
      </c>
      <c r="E283" s="2" t="s">
        <v>9</v>
      </c>
      <c r="F283" s="2" t="s">
        <v>15</v>
      </c>
      <c r="G283" s="2">
        <v>3007.3943157178537</v>
      </c>
      <c r="H283" s="2">
        <v>4009.859087623805</v>
      </c>
      <c r="I283" s="2">
        <v>1</v>
      </c>
      <c r="J283" s="2">
        <v>2</v>
      </c>
    </row>
    <row r="284" spans="1:10" x14ac:dyDescent="0.25">
      <c r="A284" s="2">
        <v>30</v>
      </c>
      <c r="B284" s="2" t="s">
        <v>11</v>
      </c>
      <c r="C284" s="2">
        <v>25</v>
      </c>
      <c r="D284" s="2">
        <v>1</v>
      </c>
      <c r="E284" s="2" t="s">
        <v>12</v>
      </c>
      <c r="F284" s="2" t="s">
        <v>15</v>
      </c>
      <c r="G284" s="2">
        <v>2302.2221007951284</v>
      </c>
      <c r="H284" s="2">
        <v>2708.4965891707398</v>
      </c>
      <c r="I284" s="2">
        <v>0</v>
      </c>
      <c r="J284" s="2">
        <v>0</v>
      </c>
    </row>
    <row r="285" spans="1:10" x14ac:dyDescent="0.25">
      <c r="A285" s="2">
        <v>55</v>
      </c>
      <c r="B285" s="2" t="s">
        <v>8</v>
      </c>
      <c r="C285" s="2">
        <v>32.4</v>
      </c>
      <c r="D285" s="2">
        <v>1</v>
      </c>
      <c r="E285" s="2" t="s">
        <v>12</v>
      </c>
      <c r="F285" s="2" t="s">
        <v>15</v>
      </c>
      <c r="G285" s="2">
        <v>4382.4910833418035</v>
      </c>
      <c r="H285" s="2">
        <v>4173.8010317541011</v>
      </c>
      <c r="I285" s="2">
        <v>0</v>
      </c>
      <c r="J285" s="2">
        <v>1</v>
      </c>
    </row>
    <row r="286" spans="1:10" x14ac:dyDescent="0.25">
      <c r="A286" s="2">
        <v>52</v>
      </c>
      <c r="B286" s="2" t="s">
        <v>8</v>
      </c>
      <c r="C286" s="2">
        <v>31.2</v>
      </c>
      <c r="D286" s="2">
        <v>0</v>
      </c>
      <c r="E286" s="2" t="s">
        <v>12</v>
      </c>
      <c r="F286" s="2" t="s">
        <v>21</v>
      </c>
      <c r="G286" s="2">
        <v>3673.0570975703913</v>
      </c>
      <c r="H286" s="2">
        <v>3498.1496167337077</v>
      </c>
      <c r="I286" s="2">
        <v>0</v>
      </c>
      <c r="J286" s="2">
        <v>1</v>
      </c>
    </row>
    <row r="287" spans="1:10" x14ac:dyDescent="0.25">
      <c r="A287" s="2">
        <v>46</v>
      </c>
      <c r="B287" s="2" t="s">
        <v>11</v>
      </c>
      <c r="C287" s="2">
        <v>26.6</v>
      </c>
      <c r="D287" s="2">
        <v>1</v>
      </c>
      <c r="E287" s="2" t="s">
        <v>12</v>
      </c>
      <c r="F287" s="2" t="s">
        <v>13</v>
      </c>
      <c r="G287" s="2">
        <v>5652.2488150001054</v>
      </c>
      <c r="H287" s="2">
        <v>5383.0941095239123</v>
      </c>
      <c r="I287" s="2">
        <v>0</v>
      </c>
      <c r="J287" s="2">
        <v>1</v>
      </c>
    </row>
    <row r="288" spans="1:10" x14ac:dyDescent="0.25">
      <c r="A288" s="2">
        <v>46</v>
      </c>
      <c r="B288" s="2" t="s">
        <v>8</v>
      </c>
      <c r="C288" s="2">
        <v>48.1</v>
      </c>
      <c r="D288" s="2">
        <v>2</v>
      </c>
      <c r="E288" s="2" t="s">
        <v>12</v>
      </c>
      <c r="F288" s="2" t="s">
        <v>15</v>
      </c>
      <c r="G288" s="2">
        <v>1593.4845530367152</v>
      </c>
      <c r="H288" s="2">
        <v>2124.6460707156202</v>
      </c>
      <c r="I288" s="2">
        <v>0</v>
      </c>
      <c r="J288" s="2">
        <v>3</v>
      </c>
    </row>
    <row r="289" spans="1:10" x14ac:dyDescent="0.25">
      <c r="A289" s="2">
        <v>63</v>
      </c>
      <c r="B289" s="2" t="s">
        <v>8</v>
      </c>
      <c r="C289" s="2">
        <v>26.2</v>
      </c>
      <c r="D289" s="2">
        <v>0</v>
      </c>
      <c r="E289" s="2" t="s">
        <v>12</v>
      </c>
      <c r="F289" s="2" t="s">
        <v>20</v>
      </c>
      <c r="G289" s="2">
        <v>5142.5292281064494</v>
      </c>
      <c r="H289" s="2">
        <v>4897.6468839109057</v>
      </c>
      <c r="I289" s="2">
        <v>0</v>
      </c>
      <c r="J289" s="2">
        <v>1</v>
      </c>
    </row>
    <row r="290" spans="1:10" x14ac:dyDescent="0.25">
      <c r="A290" s="2">
        <v>59</v>
      </c>
      <c r="B290" s="2" t="s">
        <v>8</v>
      </c>
      <c r="C290" s="2">
        <v>36.799999999999997</v>
      </c>
      <c r="D290" s="2">
        <v>1</v>
      </c>
      <c r="E290" s="2" t="s">
        <v>9</v>
      </c>
      <c r="F290" s="2" t="s">
        <v>15</v>
      </c>
      <c r="G290" s="2">
        <v>6158.8639826358176</v>
      </c>
      <c r="H290" s="2">
        <v>5865.5847453674469</v>
      </c>
      <c r="I290" s="2">
        <v>1</v>
      </c>
      <c r="J290" s="2">
        <v>2</v>
      </c>
    </row>
    <row r="291" spans="1:10" x14ac:dyDescent="0.25">
      <c r="A291" s="2">
        <v>52</v>
      </c>
      <c r="B291" s="2" t="s">
        <v>11</v>
      </c>
      <c r="C291" s="2">
        <v>26.4</v>
      </c>
      <c r="D291" s="2">
        <v>3</v>
      </c>
      <c r="E291" s="2" t="s">
        <v>12</v>
      </c>
      <c r="F291" s="2" t="s">
        <v>13</v>
      </c>
      <c r="G291" s="2">
        <v>1450.2762412980765</v>
      </c>
      <c r="H291" s="2">
        <v>1933.7016550641019</v>
      </c>
      <c r="I291" s="2">
        <v>0</v>
      </c>
      <c r="J291" s="2">
        <v>3</v>
      </c>
    </row>
    <row r="292" spans="1:10" x14ac:dyDescent="0.25">
      <c r="A292" s="2">
        <v>28</v>
      </c>
      <c r="B292" s="2" t="s">
        <v>8</v>
      </c>
      <c r="C292" s="2">
        <v>26</v>
      </c>
      <c r="D292" s="2">
        <v>0</v>
      </c>
      <c r="E292" s="2" t="s">
        <v>12</v>
      </c>
      <c r="F292" s="2" t="s">
        <v>21</v>
      </c>
      <c r="G292" s="2">
        <v>1753.9269466765281</v>
      </c>
      <c r="H292" s="2">
        <v>2063.443466678269</v>
      </c>
      <c r="I292" s="2">
        <v>0</v>
      </c>
      <c r="J292" s="2">
        <v>0</v>
      </c>
    </row>
    <row r="293" spans="1:10" x14ac:dyDescent="0.25">
      <c r="A293" s="2">
        <v>29</v>
      </c>
      <c r="B293" s="2" t="s">
        <v>11</v>
      </c>
      <c r="C293" s="2">
        <v>20.399999999999999</v>
      </c>
      <c r="D293" s="2">
        <v>1</v>
      </c>
      <c r="E293" s="2" t="s">
        <v>12</v>
      </c>
      <c r="F293" s="2" t="s">
        <v>15</v>
      </c>
      <c r="G293" s="2">
        <v>1928.9706916389505</v>
      </c>
      <c r="H293" s="2">
        <v>2269.377284281119</v>
      </c>
      <c r="I293" s="2">
        <v>0</v>
      </c>
      <c r="J293" s="2">
        <v>0</v>
      </c>
    </row>
    <row r="294" spans="1:10" x14ac:dyDescent="0.25">
      <c r="A294" s="2">
        <v>25</v>
      </c>
      <c r="B294" s="2" t="s">
        <v>11</v>
      </c>
      <c r="C294" s="2">
        <v>45.5</v>
      </c>
      <c r="D294" s="2">
        <v>2</v>
      </c>
      <c r="E294" s="2" t="s">
        <v>9</v>
      </c>
      <c r="F294" s="2" t="s">
        <v>13</v>
      </c>
      <c r="G294" s="2">
        <v>1770.7073592617362</v>
      </c>
      <c r="H294" s="2">
        <v>2360.9431456823149</v>
      </c>
      <c r="I294" s="2">
        <v>1</v>
      </c>
      <c r="J294" s="2">
        <v>2</v>
      </c>
    </row>
    <row r="295" spans="1:10" x14ac:dyDescent="0.25">
      <c r="A295" s="2">
        <v>22</v>
      </c>
      <c r="B295" s="2" t="s">
        <v>8</v>
      </c>
      <c r="C295" s="2">
        <v>24.2</v>
      </c>
      <c r="D295" s="2">
        <v>0</v>
      </c>
      <c r="E295" s="2" t="s">
        <v>12</v>
      </c>
      <c r="F295" s="2" t="s">
        <v>13</v>
      </c>
      <c r="G295" s="2">
        <v>1658.9813515706737</v>
      </c>
      <c r="H295" s="2">
        <v>1951.7427665537346</v>
      </c>
      <c r="I295" s="2">
        <v>0</v>
      </c>
      <c r="J295" s="2">
        <v>0</v>
      </c>
    </row>
    <row r="296" spans="1:10" x14ac:dyDescent="0.25">
      <c r="A296" s="2">
        <v>25</v>
      </c>
      <c r="B296" s="2" t="s">
        <v>11</v>
      </c>
      <c r="C296" s="2">
        <v>26.8</v>
      </c>
      <c r="D296" s="2">
        <v>3</v>
      </c>
      <c r="E296" s="2" t="s">
        <v>12</v>
      </c>
      <c r="F296" s="2" t="s">
        <v>21</v>
      </c>
      <c r="G296" s="2">
        <v>1744.8087172591167</v>
      </c>
      <c r="H296" s="2">
        <v>2326.4116230121558</v>
      </c>
      <c r="I296" s="2">
        <v>0</v>
      </c>
      <c r="J296" s="2">
        <v>3</v>
      </c>
    </row>
    <row r="297" spans="1:10" x14ac:dyDescent="0.25">
      <c r="A297" s="2">
        <v>18</v>
      </c>
      <c r="B297" s="2" t="s">
        <v>11</v>
      </c>
      <c r="C297" s="2">
        <v>22</v>
      </c>
      <c r="D297" s="2">
        <v>0</v>
      </c>
      <c r="E297" s="2" t="s">
        <v>12</v>
      </c>
      <c r="F297" s="2" t="s">
        <v>15</v>
      </c>
      <c r="G297" s="2">
        <v>2305.0483959076892</v>
      </c>
      <c r="H297" s="2">
        <v>2711.8216422443406</v>
      </c>
      <c r="I297" s="2">
        <v>0</v>
      </c>
      <c r="J297" s="2">
        <v>0</v>
      </c>
    </row>
    <row r="298" spans="1:10" x14ac:dyDescent="0.25">
      <c r="A298" s="2">
        <v>19</v>
      </c>
      <c r="B298" s="2" t="s">
        <v>11</v>
      </c>
      <c r="C298" s="2">
        <v>23.9</v>
      </c>
      <c r="D298" s="2">
        <v>0</v>
      </c>
      <c r="E298" s="2" t="s">
        <v>9</v>
      </c>
      <c r="F298" s="2" t="s">
        <v>21</v>
      </c>
      <c r="G298" s="2">
        <v>1391.4651585861143</v>
      </c>
      <c r="H298" s="2">
        <v>1637.0178336307235</v>
      </c>
      <c r="I298" s="2">
        <v>1</v>
      </c>
      <c r="J298" s="2">
        <v>2</v>
      </c>
    </row>
    <row r="299" spans="1:10" x14ac:dyDescent="0.25">
      <c r="A299" s="2">
        <v>47</v>
      </c>
      <c r="B299" s="2" t="s">
        <v>11</v>
      </c>
      <c r="C299" s="2">
        <v>25.4</v>
      </c>
      <c r="D299" s="2">
        <v>1</v>
      </c>
      <c r="E299" s="2" t="s">
        <v>9</v>
      </c>
      <c r="F299" s="2" t="s">
        <v>13</v>
      </c>
      <c r="G299" s="2">
        <v>3832.9713382593973</v>
      </c>
      <c r="H299" s="2">
        <v>3650.4488935803802</v>
      </c>
      <c r="I299" s="2">
        <v>1</v>
      </c>
      <c r="J299" s="2">
        <v>2</v>
      </c>
    </row>
    <row r="300" spans="1:10" x14ac:dyDescent="0.25">
      <c r="A300" s="2">
        <v>31</v>
      </c>
      <c r="B300" s="2" t="s">
        <v>11</v>
      </c>
      <c r="C300" s="2">
        <v>34.4</v>
      </c>
      <c r="D300" s="2">
        <v>3</v>
      </c>
      <c r="E300" s="2" t="s">
        <v>9</v>
      </c>
      <c r="F300" s="2" t="s">
        <v>20</v>
      </c>
      <c r="G300" s="2">
        <v>2569.804759799154</v>
      </c>
      <c r="H300" s="2">
        <v>3426.4063463988718</v>
      </c>
      <c r="I300" s="2">
        <v>1</v>
      </c>
      <c r="J300" s="2">
        <v>2</v>
      </c>
    </row>
    <row r="301" spans="1:10" x14ac:dyDescent="0.25">
      <c r="A301" s="2">
        <v>48</v>
      </c>
      <c r="B301" s="2" t="s">
        <v>8</v>
      </c>
      <c r="C301" s="2">
        <v>28.9</v>
      </c>
      <c r="D301" s="2">
        <v>1</v>
      </c>
      <c r="E301" s="2" t="s">
        <v>12</v>
      </c>
      <c r="F301" s="2" t="s">
        <v>20</v>
      </c>
      <c r="G301" s="2">
        <v>3983.9121736074467</v>
      </c>
      <c r="H301" s="2">
        <v>3794.2020701023312</v>
      </c>
      <c r="I301" s="2">
        <v>0</v>
      </c>
      <c r="J301" s="2">
        <v>1</v>
      </c>
    </row>
    <row r="302" spans="1:10" x14ac:dyDescent="0.25">
      <c r="A302" s="2">
        <v>36</v>
      </c>
      <c r="B302" s="2" t="s">
        <v>11</v>
      </c>
      <c r="C302" s="2">
        <v>27.6</v>
      </c>
      <c r="D302" s="2">
        <v>3</v>
      </c>
      <c r="E302" s="2" t="s">
        <v>12</v>
      </c>
      <c r="F302" s="2" t="s">
        <v>15</v>
      </c>
      <c r="G302" s="2">
        <v>2654.737831142651</v>
      </c>
      <c r="H302" s="2">
        <v>3539.6504415235345</v>
      </c>
      <c r="I302" s="2">
        <v>0</v>
      </c>
      <c r="J302" s="2">
        <v>3</v>
      </c>
    </row>
    <row r="303" spans="1:10" x14ac:dyDescent="0.25">
      <c r="A303" s="2">
        <v>53</v>
      </c>
      <c r="B303" s="2" t="s">
        <v>8</v>
      </c>
      <c r="C303" s="2">
        <v>22.6</v>
      </c>
      <c r="D303" s="2">
        <v>3</v>
      </c>
      <c r="E303" s="2" t="s">
        <v>9</v>
      </c>
      <c r="F303" s="2" t="s">
        <v>15</v>
      </c>
      <c r="G303" s="2">
        <v>2078.6864696987104</v>
      </c>
      <c r="H303" s="2">
        <v>2771.5819595982807</v>
      </c>
      <c r="I303" s="2">
        <v>1</v>
      </c>
      <c r="J303" s="2">
        <v>2</v>
      </c>
    </row>
    <row r="304" spans="1:10" x14ac:dyDescent="0.25">
      <c r="A304" s="2">
        <v>56</v>
      </c>
      <c r="B304" s="2" t="s">
        <v>8</v>
      </c>
      <c r="C304" s="2">
        <v>37.5</v>
      </c>
      <c r="D304" s="2">
        <v>2</v>
      </c>
      <c r="E304" s="2" t="s">
        <v>12</v>
      </c>
      <c r="F304" s="2" t="s">
        <v>13</v>
      </c>
      <c r="G304" s="2">
        <v>3355.5647434491566</v>
      </c>
      <c r="H304" s="2">
        <v>4474.0863245988758</v>
      </c>
      <c r="I304" s="2">
        <v>0</v>
      </c>
      <c r="J304" s="2">
        <v>3</v>
      </c>
    </row>
    <row r="305" spans="1:10" x14ac:dyDescent="0.25">
      <c r="A305" s="2">
        <v>28</v>
      </c>
      <c r="B305" s="2" t="s">
        <v>8</v>
      </c>
      <c r="C305" s="2">
        <v>33</v>
      </c>
      <c r="D305" s="2">
        <v>2</v>
      </c>
      <c r="E305" s="2" t="s">
        <v>12</v>
      </c>
      <c r="F305" s="2" t="s">
        <v>13</v>
      </c>
      <c r="G305" s="2">
        <v>1506.7993639215247</v>
      </c>
      <c r="H305" s="2">
        <v>2009.0658185620327</v>
      </c>
      <c r="I305" s="2">
        <v>0</v>
      </c>
      <c r="J305" s="2">
        <v>3</v>
      </c>
    </row>
    <row r="306" spans="1:10" x14ac:dyDescent="0.25">
      <c r="A306" s="2">
        <v>57</v>
      </c>
      <c r="B306" s="2" t="s">
        <v>8</v>
      </c>
      <c r="C306" s="2">
        <v>38</v>
      </c>
      <c r="D306" s="2">
        <v>2</v>
      </c>
      <c r="E306" s="2" t="s">
        <v>12</v>
      </c>
      <c r="F306" s="2" t="s">
        <v>21</v>
      </c>
      <c r="G306" s="2">
        <v>2100.0131979236976</v>
      </c>
      <c r="H306" s="2">
        <v>2800.0175972315965</v>
      </c>
      <c r="I306" s="2">
        <v>0</v>
      </c>
      <c r="J306" s="2">
        <v>3</v>
      </c>
    </row>
    <row r="307" spans="1:10" x14ac:dyDescent="0.25">
      <c r="A307" s="2">
        <v>29</v>
      </c>
      <c r="B307" s="2" t="s">
        <v>11</v>
      </c>
      <c r="C307" s="2">
        <v>33.299999999999997</v>
      </c>
      <c r="D307" s="2">
        <v>2</v>
      </c>
      <c r="E307" s="2" t="s">
        <v>12</v>
      </c>
      <c r="F307" s="2" t="s">
        <v>20</v>
      </c>
      <c r="G307" s="2">
        <v>934.89152055677368</v>
      </c>
      <c r="H307" s="2">
        <v>1246.5220274090316</v>
      </c>
      <c r="I307" s="2">
        <v>0</v>
      </c>
      <c r="J307" s="2">
        <v>3</v>
      </c>
    </row>
    <row r="308" spans="1:10" x14ac:dyDescent="0.25">
      <c r="A308" s="2">
        <v>28</v>
      </c>
      <c r="B308" s="2" t="s">
        <v>8</v>
      </c>
      <c r="C308" s="2">
        <v>27.5</v>
      </c>
      <c r="D308" s="2">
        <v>2</v>
      </c>
      <c r="E308" s="2" t="s">
        <v>12</v>
      </c>
      <c r="F308" s="2" t="s">
        <v>21</v>
      </c>
      <c r="G308" s="2">
        <v>911.78955195883918</v>
      </c>
      <c r="H308" s="2">
        <v>1215.7194026117857</v>
      </c>
      <c r="I308" s="2">
        <v>0</v>
      </c>
      <c r="J308" s="2">
        <v>3</v>
      </c>
    </row>
    <row r="309" spans="1:10" x14ac:dyDescent="0.25">
      <c r="A309" s="2">
        <v>30</v>
      </c>
      <c r="B309" s="2" t="s">
        <v>8</v>
      </c>
      <c r="C309" s="2">
        <v>23.7</v>
      </c>
      <c r="D309" s="2">
        <v>1</v>
      </c>
      <c r="E309" s="2" t="s">
        <v>12</v>
      </c>
      <c r="F309" s="2" t="s">
        <v>13</v>
      </c>
      <c r="G309" s="2">
        <v>2233.0640705458291</v>
      </c>
      <c r="H309" s="2">
        <v>2627.1342006421523</v>
      </c>
      <c r="I309" s="2">
        <v>0</v>
      </c>
      <c r="J309" s="2">
        <v>0</v>
      </c>
    </row>
    <row r="310" spans="1:10" x14ac:dyDescent="0.25">
      <c r="A310" s="2">
        <v>58</v>
      </c>
      <c r="B310" s="2" t="s">
        <v>11</v>
      </c>
      <c r="C310" s="2">
        <v>34.9</v>
      </c>
      <c r="D310" s="2">
        <v>0</v>
      </c>
      <c r="E310" s="2" t="s">
        <v>12</v>
      </c>
      <c r="F310" s="2" t="s">
        <v>15</v>
      </c>
      <c r="G310" s="2">
        <v>5761.1470850051837</v>
      </c>
      <c r="H310" s="2">
        <v>5486.8067476239858</v>
      </c>
      <c r="I310" s="2">
        <v>0</v>
      </c>
      <c r="J310" s="2">
        <v>1</v>
      </c>
    </row>
    <row r="311" spans="1:10" x14ac:dyDescent="0.25">
      <c r="A311" s="2">
        <v>41</v>
      </c>
      <c r="B311" s="2" t="s">
        <v>8</v>
      </c>
      <c r="C311" s="2">
        <v>33.1</v>
      </c>
      <c r="D311" s="2">
        <v>2</v>
      </c>
      <c r="E311" s="2" t="s">
        <v>12</v>
      </c>
      <c r="F311" s="2" t="s">
        <v>20</v>
      </c>
      <c r="G311" s="2">
        <v>1063.6324468045807</v>
      </c>
      <c r="H311" s="2">
        <v>1418.1765957394409</v>
      </c>
      <c r="I311" s="2">
        <v>0</v>
      </c>
      <c r="J311" s="2">
        <v>3</v>
      </c>
    </row>
    <row r="312" spans="1:10" x14ac:dyDescent="0.25">
      <c r="A312" s="2">
        <v>50</v>
      </c>
      <c r="B312" s="2" t="s">
        <v>11</v>
      </c>
      <c r="C312" s="2">
        <v>26.6</v>
      </c>
      <c r="D312" s="2">
        <v>0</v>
      </c>
      <c r="E312" s="2" t="s">
        <v>12</v>
      </c>
      <c r="F312" s="2" t="s">
        <v>21</v>
      </c>
      <c r="G312" s="2">
        <v>5383.0201763076857</v>
      </c>
      <c r="H312" s="2">
        <v>5126.6858821977976</v>
      </c>
      <c r="I312" s="2">
        <v>0</v>
      </c>
      <c r="J312" s="2">
        <v>1</v>
      </c>
    </row>
    <row r="313" spans="1:10" x14ac:dyDescent="0.25">
      <c r="A313" s="2">
        <v>19</v>
      </c>
      <c r="B313" s="2" t="s">
        <v>8</v>
      </c>
      <c r="C313" s="2">
        <v>25.8</v>
      </c>
      <c r="D313" s="2">
        <v>0</v>
      </c>
      <c r="E313" s="2" t="s">
        <v>12</v>
      </c>
      <c r="F313" s="2" t="s">
        <v>21</v>
      </c>
      <c r="G313" s="2">
        <v>1947.0957960640524</v>
      </c>
      <c r="H313" s="2">
        <v>2290.7009365459448</v>
      </c>
      <c r="I313" s="2">
        <v>0</v>
      </c>
      <c r="J313" s="2">
        <v>0</v>
      </c>
    </row>
    <row r="314" spans="1:10" x14ac:dyDescent="0.25">
      <c r="A314" s="2">
        <v>43</v>
      </c>
      <c r="B314" s="2" t="s">
        <v>11</v>
      </c>
      <c r="C314" s="2">
        <v>36</v>
      </c>
      <c r="D314" s="2">
        <v>3</v>
      </c>
      <c r="E314" s="2" t="s">
        <v>9</v>
      </c>
      <c r="F314" s="2" t="s">
        <v>13</v>
      </c>
      <c r="G314" s="2">
        <v>1864.8981250271115</v>
      </c>
      <c r="H314" s="2">
        <v>2486.530833369482</v>
      </c>
      <c r="I314" s="2">
        <v>1</v>
      </c>
      <c r="J314" s="2">
        <v>2</v>
      </c>
    </row>
    <row r="315" spans="1:10" x14ac:dyDescent="0.25">
      <c r="A315" s="2">
        <v>49</v>
      </c>
      <c r="B315" s="2" t="s">
        <v>11</v>
      </c>
      <c r="C315" s="2">
        <v>35.9</v>
      </c>
      <c r="D315" s="2">
        <v>0</v>
      </c>
      <c r="E315" s="2" t="s">
        <v>12</v>
      </c>
      <c r="F315" s="2" t="s">
        <v>13</v>
      </c>
      <c r="G315" s="2">
        <v>4903.9652578153282</v>
      </c>
      <c r="H315" s="2">
        <v>4670.4431026812672</v>
      </c>
      <c r="I315" s="2">
        <v>0</v>
      </c>
      <c r="J315" s="2">
        <v>1</v>
      </c>
    </row>
    <row r="316" spans="1:10" x14ac:dyDescent="0.25">
      <c r="A316" s="2">
        <v>27</v>
      </c>
      <c r="B316" s="2" t="s">
        <v>8</v>
      </c>
      <c r="C316" s="2">
        <v>22.6</v>
      </c>
      <c r="D316" s="2">
        <v>0</v>
      </c>
      <c r="E316" s="2" t="s">
        <v>9</v>
      </c>
      <c r="F316" s="2" t="s">
        <v>21</v>
      </c>
      <c r="G316" s="2">
        <v>1634.8294107119359</v>
      </c>
      <c r="H316" s="2">
        <v>1923.3287184846311</v>
      </c>
      <c r="I316" s="2">
        <v>1</v>
      </c>
      <c r="J316" s="2">
        <v>2</v>
      </c>
    </row>
    <row r="317" spans="1:10" x14ac:dyDescent="0.25">
      <c r="A317" s="2">
        <v>52</v>
      </c>
      <c r="B317" s="2" t="s">
        <v>11</v>
      </c>
      <c r="C317" s="2">
        <v>33.299999999999997</v>
      </c>
      <c r="D317" s="2">
        <v>0</v>
      </c>
      <c r="E317" s="2" t="s">
        <v>12</v>
      </c>
      <c r="F317" s="2" t="s">
        <v>15</v>
      </c>
      <c r="G317" s="2">
        <v>4631.7328771214989</v>
      </c>
      <c r="H317" s="2">
        <v>4411.1741686871428</v>
      </c>
      <c r="I317" s="2">
        <v>0</v>
      </c>
      <c r="J317" s="2">
        <v>1</v>
      </c>
    </row>
    <row r="318" spans="1:10" x14ac:dyDescent="0.25">
      <c r="A318" s="2">
        <v>50</v>
      </c>
      <c r="B318" s="2" t="s">
        <v>11</v>
      </c>
      <c r="C318" s="2">
        <v>32.200000000000003</v>
      </c>
      <c r="D318" s="2">
        <v>0</v>
      </c>
      <c r="E318" s="2" t="s">
        <v>12</v>
      </c>
      <c r="F318" s="2" t="s">
        <v>20</v>
      </c>
      <c r="G318" s="2">
        <v>3544.7330235312011</v>
      </c>
      <c r="H318" s="2">
        <v>3375.9362128868597</v>
      </c>
      <c r="I318" s="2">
        <v>0</v>
      </c>
      <c r="J318" s="2">
        <v>1</v>
      </c>
    </row>
    <row r="319" spans="1:10" x14ac:dyDescent="0.25">
      <c r="A319" s="2">
        <v>54</v>
      </c>
      <c r="B319" s="2" t="s">
        <v>11</v>
      </c>
      <c r="C319" s="2">
        <v>32.799999999999997</v>
      </c>
      <c r="D319" s="2">
        <v>0</v>
      </c>
      <c r="E319" s="2" t="s">
        <v>12</v>
      </c>
      <c r="F319" s="2" t="s">
        <v>15</v>
      </c>
      <c r="G319" s="2">
        <v>5239.770542932687</v>
      </c>
      <c r="H319" s="2">
        <v>4990.2576599358936</v>
      </c>
      <c r="I319" s="2">
        <v>0</v>
      </c>
      <c r="J319" s="2">
        <v>1</v>
      </c>
    </row>
    <row r="320" spans="1:10" x14ac:dyDescent="0.25">
      <c r="A320" s="2">
        <v>44</v>
      </c>
      <c r="B320" s="2" t="s">
        <v>8</v>
      </c>
      <c r="C320" s="2">
        <v>27.6</v>
      </c>
      <c r="D320" s="2">
        <v>0</v>
      </c>
      <c r="E320" s="2" t="s">
        <v>12</v>
      </c>
      <c r="F320" s="2" t="s">
        <v>20</v>
      </c>
      <c r="G320" s="2">
        <v>3439.2817373938465</v>
      </c>
      <c r="H320" s="2">
        <v>3275.5064165655695</v>
      </c>
      <c r="I320" s="2">
        <v>0</v>
      </c>
      <c r="J320" s="2">
        <v>1</v>
      </c>
    </row>
    <row r="321" spans="1:10" x14ac:dyDescent="0.25">
      <c r="A321" s="2">
        <v>32</v>
      </c>
      <c r="B321" s="2" t="s">
        <v>11</v>
      </c>
      <c r="C321" s="2">
        <v>21.3</v>
      </c>
      <c r="D321" s="2">
        <v>1</v>
      </c>
      <c r="E321" s="2" t="s">
        <v>12</v>
      </c>
      <c r="F321" s="2" t="s">
        <v>15</v>
      </c>
      <c r="G321" s="2">
        <v>2454.5517886730013</v>
      </c>
      <c r="H321" s="2">
        <v>2887.7079866741201</v>
      </c>
      <c r="I321" s="2">
        <v>0</v>
      </c>
      <c r="J321" s="2">
        <v>0</v>
      </c>
    </row>
    <row r="322" spans="1:10" x14ac:dyDescent="0.25">
      <c r="A322" s="2">
        <v>34</v>
      </c>
      <c r="B322" s="2" t="s">
        <v>11</v>
      </c>
      <c r="C322" s="2">
        <v>24.1</v>
      </c>
      <c r="D322" s="2">
        <v>1</v>
      </c>
      <c r="E322" s="2" t="s">
        <v>12</v>
      </c>
      <c r="F322" s="2" t="s">
        <v>20</v>
      </c>
      <c r="G322" s="2">
        <v>1806.4084718076938</v>
      </c>
      <c r="H322" s="2">
        <v>2125.1864374208167</v>
      </c>
      <c r="I322" s="2">
        <v>0</v>
      </c>
      <c r="J322" s="2">
        <v>0</v>
      </c>
    </row>
    <row r="323" spans="1:10" x14ac:dyDescent="0.25">
      <c r="A323" s="2">
        <v>26</v>
      </c>
      <c r="B323" s="2" t="s">
        <v>8</v>
      </c>
      <c r="C323" s="2">
        <v>29.6</v>
      </c>
      <c r="D323" s="2">
        <v>4</v>
      </c>
      <c r="E323" s="2" t="s">
        <v>12</v>
      </c>
      <c r="F323" s="2" t="s">
        <v>15</v>
      </c>
      <c r="G323" s="2">
        <v>2735.1354239078628</v>
      </c>
      <c r="H323" s="2">
        <v>3646.8472318771505</v>
      </c>
      <c r="I323" s="2">
        <v>0</v>
      </c>
      <c r="J323" s="2">
        <v>3</v>
      </c>
    </row>
    <row r="324" spans="1:10" x14ac:dyDescent="0.25">
      <c r="A324" s="2">
        <v>34</v>
      </c>
      <c r="B324" s="2" t="s">
        <v>11</v>
      </c>
      <c r="C324" s="2">
        <v>20.2</v>
      </c>
      <c r="D324" s="2">
        <v>0</v>
      </c>
      <c r="E324" s="2" t="s">
        <v>9</v>
      </c>
      <c r="F324" s="2" t="s">
        <v>21</v>
      </c>
      <c r="G324" s="2">
        <v>2228.0257955596253</v>
      </c>
      <c r="H324" s="2">
        <v>2621.2068183054421</v>
      </c>
      <c r="I324" s="2">
        <v>1</v>
      </c>
      <c r="J324" s="2">
        <v>2</v>
      </c>
    </row>
    <row r="325" spans="1:10" x14ac:dyDescent="0.25">
      <c r="A325" s="2">
        <v>57</v>
      </c>
      <c r="B325" s="2" t="s">
        <v>11</v>
      </c>
      <c r="C325" s="2">
        <v>40.9</v>
      </c>
      <c r="D325" s="2">
        <v>0</v>
      </c>
      <c r="E325" s="2" t="s">
        <v>12</v>
      </c>
      <c r="F325" s="2" t="s">
        <v>15</v>
      </c>
      <c r="G325" s="2">
        <v>3969.6168202343874</v>
      </c>
      <c r="H325" s="2">
        <v>3780.5874478422752</v>
      </c>
      <c r="I325" s="2">
        <v>0</v>
      </c>
      <c r="J325" s="2">
        <v>1</v>
      </c>
    </row>
    <row r="326" spans="1:10" x14ac:dyDescent="0.25">
      <c r="A326" s="2">
        <v>29</v>
      </c>
      <c r="B326" s="2" t="s">
        <v>11</v>
      </c>
      <c r="C326" s="2">
        <v>20.9</v>
      </c>
      <c r="D326" s="2">
        <v>0</v>
      </c>
      <c r="E326" s="2" t="s">
        <v>12</v>
      </c>
      <c r="F326" s="2" t="s">
        <v>21</v>
      </c>
      <c r="G326" s="2">
        <v>1702.4106251894023</v>
      </c>
      <c r="H326" s="2">
        <v>2002.8360296345918</v>
      </c>
      <c r="I326" s="2">
        <v>0</v>
      </c>
      <c r="J326" s="2">
        <v>0</v>
      </c>
    </row>
    <row r="327" spans="1:10" x14ac:dyDescent="0.25">
      <c r="A327" s="2">
        <v>40</v>
      </c>
      <c r="B327" s="2" t="s">
        <v>11</v>
      </c>
      <c r="C327" s="2">
        <v>34.1</v>
      </c>
      <c r="D327" s="2">
        <v>1</v>
      </c>
      <c r="E327" s="2" t="s">
        <v>12</v>
      </c>
      <c r="F327" s="2" t="s">
        <v>15</v>
      </c>
      <c r="G327" s="2">
        <v>6084.2643200382154</v>
      </c>
      <c r="H327" s="2">
        <v>5794.5374476554443</v>
      </c>
      <c r="I327" s="2">
        <v>0</v>
      </c>
      <c r="J327" s="2">
        <v>1</v>
      </c>
    </row>
    <row r="328" spans="1:10" x14ac:dyDescent="0.25">
      <c r="A328" s="2">
        <v>27</v>
      </c>
      <c r="B328" s="2" t="s">
        <v>8</v>
      </c>
      <c r="C328" s="2">
        <v>24.4</v>
      </c>
      <c r="D328" s="2">
        <v>1</v>
      </c>
      <c r="E328" s="2" t="s">
        <v>12</v>
      </c>
      <c r="F328" s="2" t="s">
        <v>13</v>
      </c>
      <c r="G328" s="2">
        <v>1582.9760482396059</v>
      </c>
      <c r="H328" s="2">
        <v>1862.3247626348311</v>
      </c>
      <c r="I328" s="2">
        <v>0</v>
      </c>
      <c r="J328" s="2">
        <v>0</v>
      </c>
    </row>
    <row r="329" spans="1:10" x14ac:dyDescent="0.25">
      <c r="A329" s="2">
        <v>45</v>
      </c>
      <c r="B329" s="2" t="s">
        <v>11</v>
      </c>
      <c r="C329" s="2">
        <v>36.5</v>
      </c>
      <c r="D329" s="2">
        <v>2</v>
      </c>
      <c r="E329" s="2" t="s">
        <v>9</v>
      </c>
      <c r="F329" s="2" t="s">
        <v>20</v>
      </c>
      <c r="G329" s="2">
        <v>1655.1114553608859</v>
      </c>
      <c r="H329" s="2">
        <v>2206.8152738145145</v>
      </c>
      <c r="I329" s="2">
        <v>1</v>
      </c>
      <c r="J329" s="2">
        <v>2</v>
      </c>
    </row>
    <row r="330" spans="1:10" x14ac:dyDescent="0.25">
      <c r="A330" s="2">
        <v>64</v>
      </c>
      <c r="B330" s="2" t="s">
        <v>8</v>
      </c>
      <c r="C330" s="2">
        <v>33.799999999999997</v>
      </c>
      <c r="D330" s="2">
        <v>1</v>
      </c>
      <c r="E330" s="2" t="s">
        <v>9</v>
      </c>
      <c r="F330" s="2" t="s">
        <v>21</v>
      </c>
      <c r="G330" s="2">
        <v>4816.6698073842554</v>
      </c>
      <c r="H330" s="2">
        <v>4587.3045784611968</v>
      </c>
      <c r="I330" s="2">
        <v>1</v>
      </c>
      <c r="J330" s="2">
        <v>2</v>
      </c>
    </row>
    <row r="331" spans="1:10" x14ac:dyDescent="0.25">
      <c r="A331" s="2">
        <v>52</v>
      </c>
      <c r="B331" s="2" t="s">
        <v>11</v>
      </c>
      <c r="C331" s="2">
        <v>36.700000000000003</v>
      </c>
      <c r="D331" s="2">
        <v>0</v>
      </c>
      <c r="E331" s="2" t="s">
        <v>12</v>
      </c>
      <c r="F331" s="2" t="s">
        <v>21</v>
      </c>
      <c r="G331" s="2">
        <v>4557.8104544117596</v>
      </c>
      <c r="H331" s="2">
        <v>4340.771861344534</v>
      </c>
      <c r="I331" s="2">
        <v>0</v>
      </c>
      <c r="J331" s="2">
        <v>1</v>
      </c>
    </row>
    <row r="332" spans="1:10" x14ac:dyDescent="0.25">
      <c r="A332" s="2">
        <v>61</v>
      </c>
      <c r="B332" s="2" t="s">
        <v>8</v>
      </c>
      <c r="C332" s="2">
        <v>36.4</v>
      </c>
      <c r="D332" s="2">
        <v>1</v>
      </c>
      <c r="E332" s="2" t="s">
        <v>9</v>
      </c>
      <c r="F332" s="2" t="s">
        <v>15</v>
      </c>
      <c r="G332" s="2">
        <v>6121.4939348674634</v>
      </c>
      <c r="H332" s="2">
        <v>5829.9942236832994</v>
      </c>
      <c r="I332" s="2">
        <v>1</v>
      </c>
      <c r="J332" s="2">
        <v>2</v>
      </c>
    </row>
    <row r="333" spans="1:10" x14ac:dyDescent="0.25">
      <c r="A333" s="2">
        <v>52</v>
      </c>
      <c r="B333" s="2" t="s">
        <v>11</v>
      </c>
      <c r="C333" s="2">
        <v>27.4</v>
      </c>
      <c r="D333" s="2">
        <v>0</v>
      </c>
      <c r="E333" s="2" t="s">
        <v>9</v>
      </c>
      <c r="F333" s="2" t="s">
        <v>20</v>
      </c>
      <c r="G333" s="2">
        <v>3965.9835139391753</v>
      </c>
      <c r="H333" s="2">
        <v>3777.1271561325498</v>
      </c>
      <c r="I333" s="2">
        <v>1</v>
      </c>
      <c r="J333" s="2">
        <v>2</v>
      </c>
    </row>
    <row r="334" spans="1:10" x14ac:dyDescent="0.25">
      <c r="A334" s="2">
        <v>61</v>
      </c>
      <c r="B334" s="2" t="s">
        <v>8</v>
      </c>
      <c r="C334" s="2">
        <v>31.2</v>
      </c>
      <c r="D334" s="2">
        <v>0</v>
      </c>
      <c r="E334" s="2" t="s">
        <v>12</v>
      </c>
      <c r="F334" s="2" t="s">
        <v>20</v>
      </c>
      <c r="G334" s="2">
        <v>4110.9772906002127</v>
      </c>
      <c r="H334" s="2">
        <v>3915.2164672382996</v>
      </c>
      <c r="I334" s="2">
        <v>0</v>
      </c>
      <c r="J334" s="2">
        <v>1</v>
      </c>
    </row>
    <row r="335" spans="1:10" x14ac:dyDescent="0.25">
      <c r="A335" s="2">
        <v>56</v>
      </c>
      <c r="B335" s="2" t="s">
        <v>8</v>
      </c>
      <c r="C335" s="2">
        <v>28.8</v>
      </c>
      <c r="D335" s="2">
        <v>0</v>
      </c>
      <c r="E335" s="2" t="s">
        <v>12</v>
      </c>
      <c r="F335" s="2" t="s">
        <v>15</v>
      </c>
      <c r="G335" s="2">
        <v>4436.7161335561341</v>
      </c>
      <c r="H335" s="2">
        <v>4225.4439367201294</v>
      </c>
      <c r="I335" s="2">
        <v>0</v>
      </c>
      <c r="J335" s="2">
        <v>1</v>
      </c>
    </row>
    <row r="336" spans="1:10" x14ac:dyDescent="0.25">
      <c r="A336" s="2">
        <v>43</v>
      </c>
      <c r="B336" s="2" t="s">
        <v>8</v>
      </c>
      <c r="C336" s="2">
        <v>35.700000000000003</v>
      </c>
      <c r="D336" s="2">
        <v>2</v>
      </c>
      <c r="E336" s="2" t="s">
        <v>12</v>
      </c>
      <c r="F336" s="2" t="s">
        <v>15</v>
      </c>
      <c r="G336" s="2">
        <v>2421.6065376265033</v>
      </c>
      <c r="H336" s="2">
        <v>3228.8087168353377</v>
      </c>
      <c r="I336" s="2">
        <v>0</v>
      </c>
      <c r="J336" s="2">
        <v>3</v>
      </c>
    </row>
    <row r="337" spans="1:10" x14ac:dyDescent="0.25">
      <c r="A337" s="2">
        <v>64</v>
      </c>
      <c r="B337" s="2" t="s">
        <v>11</v>
      </c>
      <c r="C337" s="2">
        <v>34.5</v>
      </c>
      <c r="D337" s="2">
        <v>0</v>
      </c>
      <c r="E337" s="2" t="s">
        <v>12</v>
      </c>
      <c r="F337" s="2" t="s">
        <v>21</v>
      </c>
      <c r="G337" s="2">
        <v>4806.7425981395136</v>
      </c>
      <c r="H337" s="2">
        <v>4577.8500934662052</v>
      </c>
      <c r="I337" s="2">
        <v>0</v>
      </c>
      <c r="J337" s="2">
        <v>1</v>
      </c>
    </row>
    <row r="338" spans="1:10" x14ac:dyDescent="0.25">
      <c r="A338" s="2">
        <v>60</v>
      </c>
      <c r="B338" s="2" t="s">
        <v>11</v>
      </c>
      <c r="C338" s="2">
        <v>25.7</v>
      </c>
      <c r="D338" s="2">
        <v>0</v>
      </c>
      <c r="E338" s="2" t="s">
        <v>12</v>
      </c>
      <c r="F338" s="2" t="s">
        <v>13</v>
      </c>
      <c r="G338" s="2">
        <v>4175.0622467921958</v>
      </c>
      <c r="H338" s="2">
        <v>3976.2497588497113</v>
      </c>
      <c r="I338" s="2">
        <v>0</v>
      </c>
      <c r="J338" s="2">
        <v>1</v>
      </c>
    </row>
    <row r="339" spans="1:10" x14ac:dyDescent="0.25">
      <c r="A339" s="2">
        <v>62</v>
      </c>
      <c r="B339" s="2" t="s">
        <v>11</v>
      </c>
      <c r="C339" s="2">
        <v>27.6</v>
      </c>
      <c r="D339" s="2">
        <v>1</v>
      </c>
      <c r="E339" s="2" t="s">
        <v>12</v>
      </c>
      <c r="F339" s="2" t="s">
        <v>20</v>
      </c>
      <c r="G339" s="2">
        <v>5833.5875343574462</v>
      </c>
      <c r="H339" s="2">
        <v>5555.7976517689985</v>
      </c>
      <c r="I339" s="2">
        <v>0</v>
      </c>
      <c r="J339" s="2">
        <v>1</v>
      </c>
    </row>
    <row r="340" spans="1:10" x14ac:dyDescent="0.25">
      <c r="A340" s="2">
        <v>50</v>
      </c>
      <c r="B340" s="2" t="s">
        <v>11</v>
      </c>
      <c r="C340" s="2">
        <v>32.299999999999997</v>
      </c>
      <c r="D340" s="2">
        <v>1</v>
      </c>
      <c r="E340" s="2" t="s">
        <v>9</v>
      </c>
      <c r="F340" s="2" t="s">
        <v>15</v>
      </c>
      <c r="G340" s="2">
        <v>5028.4385995386237</v>
      </c>
      <c r="H340" s="2">
        <v>4788.9891424177385</v>
      </c>
      <c r="I340" s="2">
        <v>1</v>
      </c>
      <c r="J340" s="2">
        <v>2</v>
      </c>
    </row>
    <row r="341" spans="1:10" x14ac:dyDescent="0.25">
      <c r="A341" s="2">
        <v>46</v>
      </c>
      <c r="B341" s="2" t="s">
        <v>8</v>
      </c>
      <c r="C341" s="2">
        <v>27.7</v>
      </c>
      <c r="D341" s="2">
        <v>1</v>
      </c>
      <c r="E341" s="2" t="s">
        <v>12</v>
      </c>
      <c r="F341" s="2" t="s">
        <v>13</v>
      </c>
      <c r="G341" s="2">
        <v>5284.5996895834824</v>
      </c>
      <c r="H341" s="2">
        <v>5032.9520853176036</v>
      </c>
      <c r="I341" s="2">
        <v>0</v>
      </c>
      <c r="J341" s="2">
        <v>1</v>
      </c>
    </row>
    <row r="342" spans="1:10" x14ac:dyDescent="0.25">
      <c r="A342" s="2">
        <v>24</v>
      </c>
      <c r="B342" s="2" t="s">
        <v>8</v>
      </c>
      <c r="C342" s="2">
        <v>21.6</v>
      </c>
      <c r="D342" s="2">
        <v>0</v>
      </c>
      <c r="E342" s="2" t="s">
        <v>12</v>
      </c>
      <c r="F342" s="2" t="s">
        <v>21</v>
      </c>
      <c r="G342" s="2">
        <v>1585.4248330824541</v>
      </c>
      <c r="H342" s="2">
        <v>1865.2056859793583</v>
      </c>
      <c r="I342" s="2">
        <v>0</v>
      </c>
      <c r="J342" s="2">
        <v>0</v>
      </c>
    </row>
    <row r="343" spans="1:10" x14ac:dyDescent="0.25">
      <c r="A343" s="2">
        <v>62</v>
      </c>
      <c r="B343" s="2" t="s">
        <v>11</v>
      </c>
      <c r="C343" s="2">
        <v>30</v>
      </c>
      <c r="D343" s="2">
        <v>0</v>
      </c>
      <c r="E343" s="2" t="s">
        <v>12</v>
      </c>
      <c r="F343" s="2" t="s">
        <v>20</v>
      </c>
      <c r="G343" s="2">
        <v>4736.708704175021</v>
      </c>
      <c r="H343" s="2">
        <v>4511.1511468333547</v>
      </c>
      <c r="I343" s="2">
        <v>0</v>
      </c>
      <c r="J343" s="2">
        <v>1</v>
      </c>
    </row>
    <row r="344" spans="1:10" x14ac:dyDescent="0.25">
      <c r="A344" s="2">
        <v>60</v>
      </c>
      <c r="B344" s="2" t="s">
        <v>8</v>
      </c>
      <c r="C344" s="2">
        <v>27.6</v>
      </c>
      <c r="D344" s="2">
        <v>0</v>
      </c>
      <c r="E344" s="2" t="s">
        <v>12</v>
      </c>
      <c r="F344" s="2" t="s">
        <v>15</v>
      </c>
      <c r="G344" s="2">
        <v>5374.9263658691343</v>
      </c>
      <c r="H344" s="2">
        <v>5118.9774913039391</v>
      </c>
      <c r="I344" s="2">
        <v>0</v>
      </c>
      <c r="J344" s="2">
        <v>1</v>
      </c>
    </row>
    <row r="345" spans="1:10" x14ac:dyDescent="0.25">
      <c r="A345" s="2">
        <v>63</v>
      </c>
      <c r="B345" s="2" t="s">
        <v>11</v>
      </c>
      <c r="C345" s="2">
        <v>36.799999999999997</v>
      </c>
      <c r="D345" s="2">
        <v>0</v>
      </c>
      <c r="E345" s="2" t="s">
        <v>12</v>
      </c>
      <c r="F345" s="2" t="s">
        <v>15</v>
      </c>
      <c r="G345" s="2">
        <v>6069.2398611846338</v>
      </c>
      <c r="H345" s="2">
        <v>5780.2284392234633</v>
      </c>
      <c r="I345" s="2">
        <v>0</v>
      </c>
      <c r="J345" s="2">
        <v>1</v>
      </c>
    </row>
    <row r="346" spans="1:10" x14ac:dyDescent="0.25">
      <c r="A346" s="2">
        <v>49</v>
      </c>
      <c r="B346" s="2" t="s">
        <v>8</v>
      </c>
      <c r="C346" s="2">
        <v>41.5</v>
      </c>
      <c r="D346" s="2">
        <v>4</v>
      </c>
      <c r="E346" s="2" t="s">
        <v>12</v>
      </c>
      <c r="F346" s="2" t="s">
        <v>13</v>
      </c>
      <c r="G346" s="2">
        <v>2392.8694742757548</v>
      </c>
      <c r="H346" s="2">
        <v>3190.4926323676732</v>
      </c>
      <c r="I346" s="2">
        <v>0</v>
      </c>
      <c r="J346" s="2">
        <v>3</v>
      </c>
    </row>
    <row r="347" spans="1:10" x14ac:dyDescent="0.25">
      <c r="A347" s="2">
        <v>34</v>
      </c>
      <c r="B347" s="2" t="s">
        <v>8</v>
      </c>
      <c r="C347" s="2">
        <v>29.3</v>
      </c>
      <c r="D347" s="2">
        <v>3</v>
      </c>
      <c r="E347" s="2" t="s">
        <v>12</v>
      </c>
      <c r="F347" s="2" t="s">
        <v>13</v>
      </c>
      <c r="G347" s="2">
        <v>2685.5649216758088</v>
      </c>
      <c r="H347" s="2">
        <v>3580.7532289010783</v>
      </c>
      <c r="I347" s="2">
        <v>0</v>
      </c>
      <c r="J347" s="2">
        <v>3</v>
      </c>
    </row>
    <row r="348" spans="1:10" x14ac:dyDescent="0.25">
      <c r="A348" s="2">
        <v>33</v>
      </c>
      <c r="B348" s="2" t="s">
        <v>11</v>
      </c>
      <c r="C348" s="2">
        <v>35.799999999999997</v>
      </c>
      <c r="D348" s="2">
        <v>2</v>
      </c>
      <c r="E348" s="2" t="s">
        <v>12</v>
      </c>
      <c r="F348" s="2" t="s">
        <v>13</v>
      </c>
      <c r="G348" s="2">
        <v>2870.4417360917423</v>
      </c>
      <c r="H348" s="2">
        <v>3827.2556481223228</v>
      </c>
      <c r="I348" s="2">
        <v>0</v>
      </c>
      <c r="J348" s="2">
        <v>3</v>
      </c>
    </row>
    <row r="349" spans="1:10" x14ac:dyDescent="0.25">
      <c r="A349" s="2">
        <v>46</v>
      </c>
      <c r="B349" s="2" t="s">
        <v>11</v>
      </c>
      <c r="C349" s="2">
        <v>33.299999999999997</v>
      </c>
      <c r="D349" s="2">
        <v>1</v>
      </c>
      <c r="E349" s="2" t="s">
        <v>12</v>
      </c>
      <c r="F349" s="2" t="s">
        <v>15</v>
      </c>
      <c r="G349" s="2">
        <v>4856.628167136224</v>
      </c>
      <c r="H349" s="2">
        <v>4625.3601591773577</v>
      </c>
      <c r="I349" s="2">
        <v>0</v>
      </c>
      <c r="J349" s="2">
        <v>1</v>
      </c>
    </row>
    <row r="350" spans="1:10" x14ac:dyDescent="0.25">
      <c r="A350" s="2">
        <v>36</v>
      </c>
      <c r="B350" s="2" t="s">
        <v>8</v>
      </c>
      <c r="C350" s="2">
        <v>25</v>
      </c>
      <c r="D350" s="2">
        <v>1</v>
      </c>
      <c r="E350" s="2" t="s">
        <v>12</v>
      </c>
      <c r="F350" s="2" t="s">
        <v>13</v>
      </c>
      <c r="G350" s="2">
        <v>1873.9971741884426</v>
      </c>
      <c r="H350" s="2">
        <v>2204.7025578687571</v>
      </c>
      <c r="I350" s="2">
        <v>0</v>
      </c>
      <c r="J350" s="2">
        <v>0</v>
      </c>
    </row>
    <row r="351" spans="1:10" x14ac:dyDescent="0.25">
      <c r="A351" s="2">
        <v>19</v>
      </c>
      <c r="B351" s="2" t="s">
        <v>11</v>
      </c>
      <c r="C351" s="2">
        <v>23.3</v>
      </c>
      <c r="D351" s="2">
        <v>0</v>
      </c>
      <c r="E351" s="2" t="s">
        <v>12</v>
      </c>
      <c r="F351" s="2" t="s">
        <v>20</v>
      </c>
      <c r="G351" s="2">
        <v>1956.7925862714455</v>
      </c>
      <c r="H351" s="2">
        <v>2302.1089250252307</v>
      </c>
      <c r="I351" s="2">
        <v>0</v>
      </c>
      <c r="J351" s="2">
        <v>0</v>
      </c>
    </row>
    <row r="352" spans="1:10" x14ac:dyDescent="0.25">
      <c r="A352" s="2">
        <v>57</v>
      </c>
      <c r="B352" s="2" t="s">
        <v>8</v>
      </c>
      <c r="C352" s="2">
        <v>23.2</v>
      </c>
      <c r="D352" s="2">
        <v>0</v>
      </c>
      <c r="E352" s="2" t="s">
        <v>12</v>
      </c>
      <c r="F352" s="2" t="s">
        <v>20</v>
      </c>
      <c r="G352" s="2">
        <v>5303.5992991522189</v>
      </c>
      <c r="H352" s="2">
        <v>5051.046951573544</v>
      </c>
      <c r="I352" s="2">
        <v>0</v>
      </c>
      <c r="J352" s="2">
        <v>1</v>
      </c>
    </row>
    <row r="353" spans="1:10" x14ac:dyDescent="0.25">
      <c r="A353" s="2">
        <v>50</v>
      </c>
      <c r="B353" s="2" t="s">
        <v>8</v>
      </c>
      <c r="C353" s="2">
        <v>25.6</v>
      </c>
      <c r="D353" s="2">
        <v>0</v>
      </c>
      <c r="E353" s="2" t="s">
        <v>12</v>
      </c>
      <c r="F353" s="2" t="s">
        <v>21</v>
      </c>
      <c r="G353" s="2">
        <v>3568.2978087956562</v>
      </c>
      <c r="H353" s="2">
        <v>3398.378865519674</v>
      </c>
      <c r="I353" s="2">
        <v>0</v>
      </c>
      <c r="J353" s="2">
        <v>1</v>
      </c>
    </row>
    <row r="354" spans="1:10" x14ac:dyDescent="0.25">
      <c r="A354" s="2">
        <v>30</v>
      </c>
      <c r="B354" s="2" t="s">
        <v>8</v>
      </c>
      <c r="C354" s="2">
        <v>24.1</v>
      </c>
      <c r="D354" s="2">
        <v>0</v>
      </c>
      <c r="E354" s="2" t="s">
        <v>12</v>
      </c>
      <c r="F354" s="2" t="s">
        <v>21</v>
      </c>
      <c r="G354" s="2">
        <v>2181.9269359587988</v>
      </c>
      <c r="H354" s="2">
        <v>2566.9728658338818</v>
      </c>
      <c r="I354" s="2">
        <v>0</v>
      </c>
      <c r="J354" s="2">
        <v>0</v>
      </c>
    </row>
    <row r="355" spans="1:10" x14ac:dyDescent="0.25">
      <c r="A355" s="2">
        <v>33</v>
      </c>
      <c r="B355" s="2" t="s">
        <v>11</v>
      </c>
      <c r="C355" s="2">
        <v>22.2</v>
      </c>
      <c r="D355" s="2">
        <v>0</v>
      </c>
      <c r="E355" s="2" t="s">
        <v>12</v>
      </c>
      <c r="F355" s="2" t="s">
        <v>15</v>
      </c>
      <c r="G355" s="2">
        <v>1497.6254945273133</v>
      </c>
      <c r="H355" s="2">
        <v>1761.9123465027224</v>
      </c>
      <c r="I355" s="2">
        <v>0</v>
      </c>
      <c r="J355" s="2">
        <v>0</v>
      </c>
    </row>
    <row r="356" spans="1:10" x14ac:dyDescent="0.25">
      <c r="A356" s="2">
        <v>18</v>
      </c>
      <c r="B356" s="2" t="s">
        <v>8</v>
      </c>
      <c r="C356" s="2">
        <v>22.1</v>
      </c>
      <c r="D356" s="2">
        <v>0</v>
      </c>
      <c r="E356" s="2" t="s">
        <v>12</v>
      </c>
      <c r="F356" s="2" t="s">
        <v>13</v>
      </c>
      <c r="G356" s="2">
        <v>1438.8161800771272</v>
      </c>
      <c r="H356" s="2">
        <v>1692.7249177377976</v>
      </c>
      <c r="I356" s="2">
        <v>0</v>
      </c>
      <c r="J356" s="2">
        <v>0</v>
      </c>
    </row>
    <row r="357" spans="1:10" x14ac:dyDescent="0.25">
      <c r="A357" s="2">
        <v>46</v>
      </c>
      <c r="B357" s="2" t="s">
        <v>11</v>
      </c>
      <c r="C357" s="2">
        <v>27.6</v>
      </c>
      <c r="D357" s="2">
        <v>0</v>
      </c>
      <c r="E357" s="2" t="s">
        <v>12</v>
      </c>
      <c r="F357" s="2" t="s">
        <v>21</v>
      </c>
      <c r="G357" s="2">
        <v>5344.114373934065</v>
      </c>
      <c r="H357" s="2">
        <v>5089.6327370800627</v>
      </c>
      <c r="I357" s="2">
        <v>0</v>
      </c>
      <c r="J357" s="2">
        <v>1</v>
      </c>
    </row>
    <row r="358" spans="1:10" x14ac:dyDescent="0.25">
      <c r="A358" s="2">
        <v>46</v>
      </c>
      <c r="B358" s="2" t="s">
        <v>11</v>
      </c>
      <c r="C358" s="2">
        <v>43.9</v>
      </c>
      <c r="D358" s="2">
        <v>3</v>
      </c>
      <c r="E358" s="2" t="s">
        <v>12</v>
      </c>
      <c r="F358" s="2" t="s">
        <v>13</v>
      </c>
      <c r="G358" s="2">
        <v>3994.1405081246894</v>
      </c>
      <c r="H358" s="2">
        <v>5325.5206774995859</v>
      </c>
      <c r="I358" s="2">
        <v>0</v>
      </c>
      <c r="J358" s="2">
        <v>3</v>
      </c>
    </row>
    <row r="359" spans="1:10" x14ac:dyDescent="0.25">
      <c r="A359" s="2">
        <v>47</v>
      </c>
      <c r="B359" s="2" t="s">
        <v>11</v>
      </c>
      <c r="C359" s="2">
        <v>29.8</v>
      </c>
      <c r="D359" s="2">
        <v>3</v>
      </c>
      <c r="E359" s="2" t="s">
        <v>12</v>
      </c>
      <c r="F359" s="2" t="s">
        <v>20</v>
      </c>
      <c r="G359" s="2">
        <v>1664.0352210982333</v>
      </c>
      <c r="H359" s="2">
        <v>2218.7136281309777</v>
      </c>
      <c r="I359" s="2">
        <v>0</v>
      </c>
      <c r="J359" s="2">
        <v>3</v>
      </c>
    </row>
    <row r="360" spans="1:10" x14ac:dyDescent="0.25">
      <c r="A360" s="2">
        <v>23</v>
      </c>
      <c r="B360" s="2" t="s">
        <v>11</v>
      </c>
      <c r="C360" s="2">
        <v>20.9</v>
      </c>
      <c r="D360" s="2">
        <v>0</v>
      </c>
      <c r="E360" s="2" t="s">
        <v>12</v>
      </c>
      <c r="F360" s="2" t="s">
        <v>13</v>
      </c>
      <c r="G360" s="2">
        <v>1602.0850093973506</v>
      </c>
      <c r="H360" s="2">
        <v>1884.8058934086487</v>
      </c>
      <c r="I360" s="2">
        <v>0</v>
      </c>
      <c r="J360" s="2">
        <v>0</v>
      </c>
    </row>
    <row r="361" spans="1:10" x14ac:dyDescent="0.25">
      <c r="A361" s="2">
        <v>18</v>
      </c>
      <c r="B361" s="2" t="s">
        <v>8</v>
      </c>
      <c r="C361" s="2">
        <v>20.7</v>
      </c>
      <c r="D361" s="2">
        <v>0</v>
      </c>
      <c r="E361" s="2" t="s">
        <v>12</v>
      </c>
      <c r="F361" s="2" t="s">
        <v>13</v>
      </c>
      <c r="G361" s="2">
        <v>2141.3761466341984</v>
      </c>
      <c r="H361" s="2">
        <v>2519.2660548637637</v>
      </c>
      <c r="I361" s="2">
        <v>0</v>
      </c>
      <c r="J361" s="2">
        <v>0</v>
      </c>
    </row>
    <row r="362" spans="1:10" x14ac:dyDescent="0.25">
      <c r="A362" s="2">
        <v>48</v>
      </c>
      <c r="B362" s="2" t="s">
        <v>8</v>
      </c>
      <c r="C362" s="2">
        <v>32.299999999999997</v>
      </c>
      <c r="D362" s="2">
        <v>2</v>
      </c>
      <c r="E362" s="2" t="s">
        <v>12</v>
      </c>
      <c r="F362" s="2" t="s">
        <v>15</v>
      </c>
      <c r="G362" s="2">
        <v>3479.3754828973197</v>
      </c>
      <c r="H362" s="2">
        <v>4639.1673105297596</v>
      </c>
      <c r="I362" s="2">
        <v>0</v>
      </c>
      <c r="J362" s="2">
        <v>3</v>
      </c>
    </row>
    <row r="363" spans="1:10" x14ac:dyDescent="0.25">
      <c r="A363" s="2">
        <v>35</v>
      </c>
      <c r="B363" s="2" t="s">
        <v>11</v>
      </c>
      <c r="C363" s="2">
        <v>24.5</v>
      </c>
      <c r="D363" s="2">
        <v>1</v>
      </c>
      <c r="E363" s="2" t="s">
        <v>12</v>
      </c>
      <c r="F363" s="2" t="s">
        <v>21</v>
      </c>
      <c r="G363" s="2">
        <v>1459.0170033116638</v>
      </c>
      <c r="H363" s="2">
        <v>1716.4905921313698</v>
      </c>
      <c r="I363" s="2">
        <v>0</v>
      </c>
      <c r="J363" s="2">
        <v>0</v>
      </c>
    </row>
    <row r="364" spans="1:10" x14ac:dyDescent="0.25">
      <c r="A364" s="2">
        <v>19</v>
      </c>
      <c r="B364" s="2" t="s">
        <v>8</v>
      </c>
      <c r="C364" s="2">
        <v>21.1</v>
      </c>
      <c r="D364" s="2">
        <v>0</v>
      </c>
      <c r="E364" s="2" t="s">
        <v>9</v>
      </c>
      <c r="F364" s="2" t="s">
        <v>21</v>
      </c>
      <c r="G364" s="2">
        <v>1292.9607998365773</v>
      </c>
      <c r="H364" s="2">
        <v>1521.1303527489154</v>
      </c>
      <c r="I364" s="2">
        <v>1</v>
      </c>
      <c r="J364" s="2">
        <v>2</v>
      </c>
    </row>
    <row r="365" spans="1:10" x14ac:dyDescent="0.25">
      <c r="A365" s="2">
        <v>21</v>
      </c>
      <c r="B365" s="2" t="s">
        <v>8</v>
      </c>
      <c r="C365" s="2">
        <v>20.6</v>
      </c>
      <c r="D365" s="2">
        <v>1</v>
      </c>
      <c r="E365" s="2" t="s">
        <v>12</v>
      </c>
      <c r="F365" s="2" t="s">
        <v>21</v>
      </c>
      <c r="G365" s="2">
        <v>1772.0854454876787</v>
      </c>
      <c r="H365" s="2">
        <v>2084.8064064560936</v>
      </c>
      <c r="I365" s="2">
        <v>0</v>
      </c>
      <c r="J365" s="2">
        <v>0</v>
      </c>
    </row>
    <row r="366" spans="1:10" x14ac:dyDescent="0.25">
      <c r="A366" s="2">
        <v>21</v>
      </c>
      <c r="B366" s="2" t="s">
        <v>8</v>
      </c>
      <c r="C366" s="2">
        <v>23.9</v>
      </c>
      <c r="D366" s="2">
        <v>2</v>
      </c>
      <c r="E366" s="2" t="s">
        <v>12</v>
      </c>
      <c r="F366" s="2" t="s">
        <v>13</v>
      </c>
      <c r="G366" s="2">
        <v>2304.5110551664225</v>
      </c>
      <c r="H366" s="2">
        <v>2711.18947666638</v>
      </c>
      <c r="I366" s="2">
        <v>0</v>
      </c>
      <c r="J366" s="2">
        <v>0</v>
      </c>
    </row>
    <row r="367" spans="1:10" x14ac:dyDescent="0.25">
      <c r="A367" s="2">
        <v>49</v>
      </c>
      <c r="B367" s="2" t="s">
        <v>8</v>
      </c>
      <c r="C367" s="2">
        <v>30.8</v>
      </c>
      <c r="D367" s="2">
        <v>1</v>
      </c>
      <c r="E367" s="2" t="s">
        <v>12</v>
      </c>
      <c r="F367" s="2" t="s">
        <v>15</v>
      </c>
      <c r="G367" s="2">
        <v>3548.2667147336547</v>
      </c>
      <c r="H367" s="2">
        <v>3379.3016330796727</v>
      </c>
      <c r="I367" s="2">
        <v>0</v>
      </c>
      <c r="J367" s="2">
        <v>1</v>
      </c>
    </row>
    <row r="368" spans="1:10" x14ac:dyDescent="0.25">
      <c r="A368" s="2">
        <v>56</v>
      </c>
      <c r="B368" s="2" t="s">
        <v>8</v>
      </c>
      <c r="C368" s="2">
        <v>32.299999999999997</v>
      </c>
      <c r="D368" s="2">
        <v>3</v>
      </c>
      <c r="E368" s="2" t="s">
        <v>12</v>
      </c>
      <c r="F368" s="2" t="s">
        <v>15</v>
      </c>
      <c r="G368" s="2">
        <v>2642.3513869890735</v>
      </c>
      <c r="H368" s="2">
        <v>3523.1351826520981</v>
      </c>
      <c r="I368" s="2">
        <v>0</v>
      </c>
      <c r="J368" s="2">
        <v>3</v>
      </c>
    </row>
    <row r="369" spans="1:10" x14ac:dyDescent="0.25">
      <c r="A369" s="2">
        <v>42</v>
      </c>
      <c r="B369" s="2" t="s">
        <v>8</v>
      </c>
      <c r="C369" s="2">
        <v>25</v>
      </c>
      <c r="D369" s="2">
        <v>2</v>
      </c>
      <c r="E369" s="2" t="s">
        <v>12</v>
      </c>
      <c r="F369" s="2" t="s">
        <v>20</v>
      </c>
      <c r="G369" s="2">
        <v>1187.2144467011988</v>
      </c>
      <c r="H369" s="2">
        <v>1582.9525956015984</v>
      </c>
      <c r="I369" s="2">
        <v>0</v>
      </c>
      <c r="J369" s="2">
        <v>3</v>
      </c>
    </row>
    <row r="370" spans="1:10" x14ac:dyDescent="0.25">
      <c r="A370" s="2">
        <v>44</v>
      </c>
      <c r="B370" s="2" t="s">
        <v>11</v>
      </c>
      <c r="C370" s="2">
        <v>32</v>
      </c>
      <c r="D370" s="2">
        <v>2</v>
      </c>
      <c r="E370" s="2" t="s">
        <v>12</v>
      </c>
      <c r="F370" s="2" t="s">
        <v>20</v>
      </c>
      <c r="G370" s="2">
        <v>3094.187043623534</v>
      </c>
      <c r="H370" s="2">
        <v>4125.582724831379</v>
      </c>
      <c r="I370" s="2">
        <v>0</v>
      </c>
      <c r="J370" s="2">
        <v>3</v>
      </c>
    </row>
    <row r="371" spans="1:10" x14ac:dyDescent="0.25">
      <c r="A371" s="2">
        <v>18</v>
      </c>
      <c r="B371" s="2" t="s">
        <v>11</v>
      </c>
      <c r="C371" s="2">
        <v>30.4</v>
      </c>
      <c r="D371" s="2">
        <v>3</v>
      </c>
      <c r="E371" s="2" t="s">
        <v>12</v>
      </c>
      <c r="F371" s="2" t="s">
        <v>15</v>
      </c>
      <c r="G371" s="2">
        <v>1120.7376663650534</v>
      </c>
      <c r="H371" s="2">
        <v>1494.316888486738</v>
      </c>
      <c r="I371" s="2">
        <v>0</v>
      </c>
      <c r="J371" s="2">
        <v>3</v>
      </c>
    </row>
    <row r="372" spans="1:10" x14ac:dyDescent="0.25">
      <c r="A372" s="2">
        <v>61</v>
      </c>
      <c r="B372" s="2" t="s">
        <v>8</v>
      </c>
      <c r="C372" s="2">
        <v>21.1</v>
      </c>
      <c r="D372" s="2">
        <v>0</v>
      </c>
      <c r="E372" s="2" t="s">
        <v>12</v>
      </c>
      <c r="F372" s="2" t="s">
        <v>20</v>
      </c>
      <c r="G372" s="2">
        <v>5410.4153544019309</v>
      </c>
      <c r="H372" s="2">
        <v>5152.7765280018402</v>
      </c>
      <c r="I372" s="2">
        <v>0</v>
      </c>
      <c r="J372" s="2">
        <v>1</v>
      </c>
    </row>
    <row r="373" spans="1:10" x14ac:dyDescent="0.25">
      <c r="A373" s="2">
        <v>57</v>
      </c>
      <c r="B373" s="2" t="s">
        <v>8</v>
      </c>
      <c r="C373" s="2">
        <v>22.2</v>
      </c>
      <c r="D373" s="2">
        <v>0</v>
      </c>
      <c r="E373" s="2" t="s">
        <v>12</v>
      </c>
      <c r="F373" s="2" t="s">
        <v>15</v>
      </c>
      <c r="G373" s="2">
        <v>4157.6577753663278</v>
      </c>
      <c r="H373" s="2">
        <v>3959.674071777456</v>
      </c>
      <c r="I373" s="2">
        <v>0</v>
      </c>
      <c r="J373" s="2">
        <v>1</v>
      </c>
    </row>
    <row r="374" spans="1:10" x14ac:dyDescent="0.25">
      <c r="A374" s="2">
        <v>42</v>
      </c>
      <c r="B374" s="2" t="s">
        <v>8</v>
      </c>
      <c r="C374" s="2">
        <v>33.200000000000003</v>
      </c>
      <c r="D374" s="2">
        <v>1</v>
      </c>
      <c r="E374" s="2" t="s">
        <v>12</v>
      </c>
      <c r="F374" s="2" t="s">
        <v>15</v>
      </c>
      <c r="G374" s="2">
        <v>4434.1386308980072</v>
      </c>
      <c r="H374" s="2">
        <v>4222.9891722838183</v>
      </c>
      <c r="I374" s="2">
        <v>0</v>
      </c>
      <c r="J374" s="2">
        <v>1</v>
      </c>
    </row>
    <row r="375" spans="1:10" x14ac:dyDescent="0.25">
      <c r="A375" s="2">
        <v>26</v>
      </c>
      <c r="B375" s="2" t="s">
        <v>11</v>
      </c>
      <c r="C375" s="2">
        <v>32.9</v>
      </c>
      <c r="D375" s="2">
        <v>2</v>
      </c>
      <c r="E375" s="2" t="s">
        <v>9</v>
      </c>
      <c r="F375" s="2" t="s">
        <v>21</v>
      </c>
      <c r="G375" s="2">
        <v>1125.9341894561933</v>
      </c>
      <c r="H375" s="2">
        <v>1501.2455859415911</v>
      </c>
      <c r="I375" s="2">
        <v>1</v>
      </c>
      <c r="J375" s="2">
        <v>2</v>
      </c>
    </row>
    <row r="376" spans="1:10" x14ac:dyDescent="0.25">
      <c r="A376" s="2">
        <v>20</v>
      </c>
      <c r="B376" s="2" t="s">
        <v>11</v>
      </c>
      <c r="C376" s="2">
        <v>20</v>
      </c>
      <c r="D376" s="2">
        <v>0</v>
      </c>
      <c r="E376" s="2" t="s">
        <v>12</v>
      </c>
      <c r="F376" s="2" t="s">
        <v>13</v>
      </c>
      <c r="G376" s="2">
        <v>2514.3527065377975</v>
      </c>
      <c r="H376" s="2">
        <v>2958.062007691527</v>
      </c>
      <c r="I376" s="2">
        <v>0</v>
      </c>
      <c r="J376" s="2">
        <v>0</v>
      </c>
    </row>
    <row r="377" spans="1:10" x14ac:dyDescent="0.25">
      <c r="A377" s="2">
        <v>23</v>
      </c>
      <c r="B377" s="2" t="s">
        <v>8</v>
      </c>
      <c r="C377" s="2">
        <v>20</v>
      </c>
      <c r="D377" s="2">
        <v>0</v>
      </c>
      <c r="E377" s="2" t="s">
        <v>9</v>
      </c>
      <c r="F377" s="2" t="s">
        <v>20</v>
      </c>
      <c r="G377" s="2">
        <v>1224.2951220548905</v>
      </c>
      <c r="H377" s="2">
        <v>1440.3472024175189</v>
      </c>
      <c r="I377" s="2">
        <v>1</v>
      </c>
      <c r="J377" s="2">
        <v>2</v>
      </c>
    </row>
    <row r="378" spans="1:10" x14ac:dyDescent="0.25">
      <c r="A378" s="2">
        <v>39</v>
      </c>
      <c r="B378" s="2" t="s">
        <v>8</v>
      </c>
      <c r="C378" s="2">
        <v>24.9</v>
      </c>
      <c r="D378" s="2">
        <v>3</v>
      </c>
      <c r="E378" s="2" t="s">
        <v>9</v>
      </c>
      <c r="F378" s="2" t="s">
        <v>15</v>
      </c>
      <c r="G378" s="2">
        <v>2375.0891803396353</v>
      </c>
      <c r="H378" s="2">
        <v>3166.7855737861801</v>
      </c>
      <c r="I378" s="2">
        <v>1</v>
      </c>
      <c r="J378" s="2">
        <v>2</v>
      </c>
    </row>
    <row r="379" spans="1:10" x14ac:dyDescent="0.25">
      <c r="A379" s="2">
        <v>24</v>
      </c>
      <c r="B379" s="2" t="s">
        <v>11</v>
      </c>
      <c r="C379" s="2">
        <v>24.9</v>
      </c>
      <c r="D379" s="2">
        <v>0</v>
      </c>
      <c r="E379" s="2" t="s">
        <v>9</v>
      </c>
      <c r="F379" s="2" t="s">
        <v>13</v>
      </c>
      <c r="G379" s="2">
        <v>1435.108708851662</v>
      </c>
      <c r="H379" s="2">
        <v>1688.363186884309</v>
      </c>
      <c r="I379" s="2">
        <v>1</v>
      </c>
      <c r="J379" s="2">
        <v>2</v>
      </c>
    </row>
    <row r="380" spans="1:10" x14ac:dyDescent="0.25">
      <c r="A380" s="2">
        <v>64</v>
      </c>
      <c r="B380" s="2" t="s">
        <v>8</v>
      </c>
      <c r="C380" s="2">
        <v>30.1</v>
      </c>
      <c r="D380" s="2">
        <v>3</v>
      </c>
      <c r="E380" s="2" t="s">
        <v>12</v>
      </c>
      <c r="F380" s="2" t="s">
        <v>20</v>
      </c>
      <c r="G380" s="2">
        <v>1750.3879791439488</v>
      </c>
      <c r="H380" s="2">
        <v>2333.8506388585984</v>
      </c>
      <c r="I380" s="2">
        <v>0</v>
      </c>
      <c r="J380" s="2">
        <v>3</v>
      </c>
    </row>
    <row r="381" spans="1:10" x14ac:dyDescent="0.25">
      <c r="A381" s="2">
        <v>62</v>
      </c>
      <c r="B381" s="2" t="s">
        <v>11</v>
      </c>
      <c r="C381" s="2">
        <v>31.5</v>
      </c>
      <c r="D381" s="2">
        <v>1</v>
      </c>
      <c r="E381" s="2" t="s">
        <v>12</v>
      </c>
      <c r="F381" s="2" t="s">
        <v>13</v>
      </c>
      <c r="G381" s="2">
        <v>5387.8157765957394</v>
      </c>
      <c r="H381" s="2">
        <v>5131.2531205673722</v>
      </c>
      <c r="I381" s="2">
        <v>0</v>
      </c>
      <c r="J381" s="2">
        <v>1</v>
      </c>
    </row>
    <row r="382" spans="1:10" x14ac:dyDescent="0.25">
      <c r="A382" s="2">
        <v>27</v>
      </c>
      <c r="B382" s="2" t="s">
        <v>8</v>
      </c>
      <c r="C382" s="2">
        <v>20.8</v>
      </c>
      <c r="D382" s="2">
        <v>2</v>
      </c>
      <c r="E382" s="2" t="s">
        <v>9</v>
      </c>
      <c r="F382" s="2" t="s">
        <v>15</v>
      </c>
      <c r="G382" s="2">
        <v>1659.7445133759807</v>
      </c>
      <c r="H382" s="2">
        <v>1952.6406039717428</v>
      </c>
      <c r="I382" s="2">
        <v>1</v>
      </c>
      <c r="J382" s="2">
        <v>2</v>
      </c>
    </row>
    <row r="383" spans="1:10" x14ac:dyDescent="0.25">
      <c r="A383" s="2">
        <v>55</v>
      </c>
      <c r="B383" s="2" t="s">
        <v>11</v>
      </c>
      <c r="C383" s="2">
        <v>30.7</v>
      </c>
      <c r="D383" s="2">
        <v>0</v>
      </c>
      <c r="E383" s="2" t="s">
        <v>9</v>
      </c>
      <c r="F383" s="2" t="s">
        <v>15</v>
      </c>
      <c r="G383" s="2">
        <v>5214.2195787716737</v>
      </c>
      <c r="H383" s="2">
        <v>4965.9234083539759</v>
      </c>
      <c r="I383" s="2">
        <v>1</v>
      </c>
      <c r="J383" s="2">
        <v>2</v>
      </c>
    </row>
    <row r="384" spans="1:10" x14ac:dyDescent="0.25">
      <c r="A384" s="2">
        <v>55</v>
      </c>
      <c r="B384" s="2" t="s">
        <v>11</v>
      </c>
      <c r="C384" s="2">
        <v>33</v>
      </c>
      <c r="D384" s="2">
        <v>0</v>
      </c>
      <c r="E384" s="2" t="s">
        <v>12</v>
      </c>
      <c r="F384" s="2" t="s">
        <v>13</v>
      </c>
      <c r="G384" s="2">
        <v>4647.0573060409106</v>
      </c>
      <c r="H384" s="2">
        <v>4425.7688628961059</v>
      </c>
      <c r="I384" s="2">
        <v>0</v>
      </c>
      <c r="J384" s="2">
        <v>1</v>
      </c>
    </row>
    <row r="385" spans="1:10" x14ac:dyDescent="0.25">
      <c r="A385" s="2">
        <v>35</v>
      </c>
      <c r="B385" s="2" t="s">
        <v>8</v>
      </c>
      <c r="C385" s="2">
        <v>43.3</v>
      </c>
      <c r="D385" s="2">
        <v>2</v>
      </c>
      <c r="E385" s="2" t="s">
        <v>12</v>
      </c>
      <c r="F385" s="2" t="s">
        <v>13</v>
      </c>
      <c r="G385" s="2">
        <v>2092.0394610359599</v>
      </c>
      <c r="H385" s="2">
        <v>2789.3859480479468</v>
      </c>
      <c r="I385" s="2">
        <v>0</v>
      </c>
      <c r="J385" s="2">
        <v>3</v>
      </c>
    </row>
    <row r="386" spans="1:10" x14ac:dyDescent="0.25">
      <c r="A386" s="2">
        <v>44</v>
      </c>
      <c r="B386" s="2" t="s">
        <v>11</v>
      </c>
      <c r="C386" s="2">
        <v>22.1</v>
      </c>
      <c r="D386" s="2">
        <v>2</v>
      </c>
      <c r="E386" s="2" t="s">
        <v>12</v>
      </c>
      <c r="F386" s="2" t="s">
        <v>15</v>
      </c>
      <c r="G386" s="2">
        <v>1271.3794457243998</v>
      </c>
      <c r="H386" s="2">
        <v>1695.1725942991998</v>
      </c>
      <c r="I386" s="2">
        <v>0</v>
      </c>
      <c r="J386" s="2">
        <v>3</v>
      </c>
    </row>
    <row r="387" spans="1:10" x14ac:dyDescent="0.25">
      <c r="A387" s="2">
        <v>19</v>
      </c>
      <c r="B387" s="2" t="s">
        <v>11</v>
      </c>
      <c r="C387" s="2">
        <v>25.2</v>
      </c>
      <c r="D387" s="2">
        <v>0</v>
      </c>
      <c r="E387" s="2" t="s">
        <v>12</v>
      </c>
      <c r="F387" s="2" t="s">
        <v>21</v>
      </c>
      <c r="G387" s="2">
        <v>2064.4062268171765</v>
      </c>
      <c r="H387" s="2">
        <v>2428.7132080202086</v>
      </c>
      <c r="I387" s="2">
        <v>0</v>
      </c>
      <c r="J387" s="2">
        <v>0</v>
      </c>
    </row>
    <row r="388" spans="1:10" x14ac:dyDescent="0.25">
      <c r="A388" s="2">
        <v>58</v>
      </c>
      <c r="B388" s="2" t="s">
        <v>8</v>
      </c>
      <c r="C388" s="2">
        <v>39.1</v>
      </c>
      <c r="D388" s="2">
        <v>0</v>
      </c>
      <c r="E388" s="2" t="s">
        <v>12</v>
      </c>
      <c r="F388" s="2" t="s">
        <v>13</v>
      </c>
      <c r="G388" s="2">
        <v>4106.0185466226712</v>
      </c>
      <c r="H388" s="2">
        <v>3910.4938539263553</v>
      </c>
      <c r="I388" s="2">
        <v>0</v>
      </c>
      <c r="J388" s="2">
        <v>1</v>
      </c>
    </row>
    <row r="389" spans="1:10" x14ac:dyDescent="0.25">
      <c r="A389" s="2">
        <v>50</v>
      </c>
      <c r="B389" s="2" t="s">
        <v>11</v>
      </c>
      <c r="C389" s="2">
        <v>25.4</v>
      </c>
      <c r="D389" s="2">
        <v>2</v>
      </c>
      <c r="E389" s="2" t="s">
        <v>12</v>
      </c>
      <c r="F389" s="2" t="s">
        <v>20</v>
      </c>
      <c r="G389" s="2">
        <v>1225.245790182086</v>
      </c>
      <c r="H389" s="2">
        <v>1633.6610535761147</v>
      </c>
      <c r="I389" s="2">
        <v>0</v>
      </c>
      <c r="J389" s="2">
        <v>3</v>
      </c>
    </row>
    <row r="390" spans="1:10" x14ac:dyDescent="0.25">
      <c r="A390" s="2">
        <v>26</v>
      </c>
      <c r="B390" s="2" t="s">
        <v>8</v>
      </c>
      <c r="C390" s="2">
        <v>24.9</v>
      </c>
      <c r="D390" s="2">
        <v>0</v>
      </c>
      <c r="E390" s="2" t="s">
        <v>12</v>
      </c>
      <c r="F390" s="2" t="s">
        <v>20</v>
      </c>
      <c r="G390" s="2">
        <v>2173.5468168405287</v>
      </c>
      <c r="H390" s="2">
        <v>2557.1139021653285</v>
      </c>
      <c r="I390" s="2">
        <v>0</v>
      </c>
      <c r="J390" s="2">
        <v>0</v>
      </c>
    </row>
    <row r="391" spans="1:10" x14ac:dyDescent="0.25">
      <c r="A391" s="2">
        <v>24</v>
      </c>
      <c r="B391" s="2" t="s">
        <v>8</v>
      </c>
      <c r="C391" s="2">
        <v>30.2</v>
      </c>
      <c r="D391" s="2">
        <v>3</v>
      </c>
      <c r="E391" s="2" t="s">
        <v>12</v>
      </c>
      <c r="F391" s="2" t="s">
        <v>20</v>
      </c>
      <c r="G391" s="2">
        <v>1632.0257973790153</v>
      </c>
      <c r="H391" s="2">
        <v>2176.0343965053539</v>
      </c>
      <c r="I391" s="2">
        <v>0</v>
      </c>
      <c r="J391" s="2">
        <v>3</v>
      </c>
    </row>
    <row r="392" spans="1:10" x14ac:dyDescent="0.25">
      <c r="A392" s="2">
        <v>48</v>
      </c>
      <c r="B392" s="2" t="s">
        <v>11</v>
      </c>
      <c r="C392" s="2">
        <v>35.6</v>
      </c>
      <c r="D392" s="2">
        <v>4</v>
      </c>
      <c r="E392" s="2" t="s">
        <v>12</v>
      </c>
      <c r="F392" s="2" t="s">
        <v>15</v>
      </c>
      <c r="G392" s="2">
        <v>2923.1321389800532</v>
      </c>
      <c r="H392" s="2">
        <v>3897.5095186400713</v>
      </c>
      <c r="I392" s="2">
        <v>0</v>
      </c>
      <c r="J392" s="2">
        <v>3</v>
      </c>
    </row>
    <row r="393" spans="1:10" x14ac:dyDescent="0.25">
      <c r="A393" s="2">
        <v>19</v>
      </c>
      <c r="B393" s="2" t="s">
        <v>8</v>
      </c>
      <c r="C393" s="2">
        <v>22.9</v>
      </c>
      <c r="D393" s="2">
        <v>0</v>
      </c>
      <c r="E393" s="2" t="s">
        <v>12</v>
      </c>
      <c r="F393" s="2" t="s">
        <v>20</v>
      </c>
      <c r="G393" s="2">
        <v>1931.4318082335519</v>
      </c>
      <c r="H393" s="2">
        <v>2272.2727155688854</v>
      </c>
      <c r="I393" s="2">
        <v>0</v>
      </c>
      <c r="J393" s="2">
        <v>0</v>
      </c>
    </row>
    <row r="394" spans="1:10" x14ac:dyDescent="0.25">
      <c r="A394" s="2">
        <v>48</v>
      </c>
      <c r="B394" s="2" t="s">
        <v>11</v>
      </c>
      <c r="C394" s="2">
        <v>31.4</v>
      </c>
      <c r="D394" s="2">
        <v>1</v>
      </c>
      <c r="E394" s="2" t="s">
        <v>12</v>
      </c>
      <c r="F394" s="2" t="s">
        <v>15</v>
      </c>
      <c r="G394" s="2">
        <v>4165.1193324079286</v>
      </c>
      <c r="H394" s="2">
        <v>3966.7803165789805</v>
      </c>
      <c r="I394" s="2">
        <v>0</v>
      </c>
      <c r="J394" s="2">
        <v>1</v>
      </c>
    </row>
    <row r="395" spans="1:10" x14ac:dyDescent="0.25">
      <c r="A395" s="2">
        <v>49</v>
      </c>
      <c r="B395" s="2" t="s">
        <v>11</v>
      </c>
      <c r="C395" s="2">
        <v>31.4</v>
      </c>
      <c r="D395" s="2">
        <v>1</v>
      </c>
      <c r="E395" s="2" t="s">
        <v>12</v>
      </c>
      <c r="F395" s="2" t="s">
        <v>15</v>
      </c>
      <c r="G395" s="2">
        <v>5433.4241024062194</v>
      </c>
      <c r="H395" s="2">
        <v>5174.6896213392574</v>
      </c>
      <c r="I395" s="2">
        <v>0</v>
      </c>
      <c r="J395" s="2">
        <v>1</v>
      </c>
    </row>
    <row r="396" spans="1:10" x14ac:dyDescent="0.25">
      <c r="A396" s="2">
        <v>46</v>
      </c>
      <c r="B396" s="2" t="s">
        <v>8</v>
      </c>
      <c r="C396" s="2">
        <v>32.299999999999997</v>
      </c>
      <c r="D396" s="2">
        <v>2</v>
      </c>
      <c r="E396" s="2" t="s">
        <v>12</v>
      </c>
      <c r="F396" s="2" t="s">
        <v>15</v>
      </c>
      <c r="G396" s="2">
        <v>2732.8305926311391</v>
      </c>
      <c r="H396" s="2">
        <v>3643.7741235081853</v>
      </c>
      <c r="I396" s="2">
        <v>0</v>
      </c>
      <c r="J396" s="2">
        <v>3</v>
      </c>
    </row>
    <row r="397" spans="1:10" x14ac:dyDescent="0.25">
      <c r="A397" s="2">
        <v>46</v>
      </c>
      <c r="B397" s="2" t="s">
        <v>11</v>
      </c>
      <c r="C397" s="2">
        <v>19.899999999999999</v>
      </c>
      <c r="D397" s="2">
        <v>0</v>
      </c>
      <c r="E397" s="2" t="s">
        <v>12</v>
      </c>
      <c r="F397" s="2" t="s">
        <v>20</v>
      </c>
      <c r="G397" s="2">
        <v>1688.0599667761039</v>
      </c>
      <c r="H397" s="2">
        <v>1985.9529020895347</v>
      </c>
      <c r="I397" s="2">
        <v>0</v>
      </c>
      <c r="J397" s="2">
        <v>0</v>
      </c>
    </row>
    <row r="398" spans="1:10" x14ac:dyDescent="0.25">
      <c r="A398" s="2">
        <v>43</v>
      </c>
      <c r="B398" s="2" t="s">
        <v>8</v>
      </c>
      <c r="C398" s="2">
        <v>34.4</v>
      </c>
      <c r="D398" s="2">
        <v>3</v>
      </c>
      <c r="E398" s="2" t="s">
        <v>12</v>
      </c>
      <c r="F398" s="2" t="s">
        <v>21</v>
      </c>
      <c r="G398" s="2">
        <v>2190.8594670230036</v>
      </c>
      <c r="H398" s="2">
        <v>2921.1459560306716</v>
      </c>
      <c r="I398" s="2">
        <v>0</v>
      </c>
      <c r="J398" s="2">
        <v>3</v>
      </c>
    </row>
    <row r="399" spans="1:10" x14ac:dyDescent="0.25">
      <c r="A399" s="2">
        <v>21</v>
      </c>
      <c r="B399" s="2" t="s">
        <v>11</v>
      </c>
      <c r="C399" s="2">
        <v>24.6</v>
      </c>
      <c r="D399" s="2">
        <v>0</v>
      </c>
      <c r="E399" s="2" t="s">
        <v>12</v>
      </c>
      <c r="F399" s="2" t="s">
        <v>13</v>
      </c>
      <c r="G399" s="2">
        <v>1756.0311731030729</v>
      </c>
      <c r="H399" s="2">
        <v>2065.9190271800867</v>
      </c>
      <c r="I399" s="2">
        <v>0</v>
      </c>
      <c r="J399" s="2">
        <v>0</v>
      </c>
    </row>
    <row r="400" spans="1:10" x14ac:dyDescent="0.25">
      <c r="A400" s="2">
        <v>64</v>
      </c>
      <c r="B400" s="2" t="s">
        <v>11</v>
      </c>
      <c r="C400" s="2">
        <v>25.6</v>
      </c>
      <c r="D400" s="2">
        <v>2</v>
      </c>
      <c r="E400" s="2" t="s">
        <v>12</v>
      </c>
      <c r="F400" s="2" t="s">
        <v>21</v>
      </c>
      <c r="G400" s="2">
        <v>4563.3946450304938</v>
      </c>
      <c r="H400" s="2">
        <v>4346.0901381242811</v>
      </c>
      <c r="I400" s="2">
        <v>0</v>
      </c>
      <c r="J400" s="2">
        <v>1</v>
      </c>
    </row>
    <row r="401" spans="1:10" x14ac:dyDescent="0.25">
      <c r="A401" s="2">
        <v>18</v>
      </c>
      <c r="B401" s="2" t="s">
        <v>8</v>
      </c>
      <c r="C401" s="2">
        <v>22.6</v>
      </c>
      <c r="D401" s="2">
        <v>0</v>
      </c>
      <c r="E401" s="2" t="s">
        <v>12</v>
      </c>
      <c r="F401" s="2" t="s">
        <v>13</v>
      </c>
      <c r="G401" s="2">
        <v>2124.8522396331309</v>
      </c>
      <c r="H401" s="2">
        <v>2499.8261642742727</v>
      </c>
      <c r="I401" s="2">
        <v>0</v>
      </c>
      <c r="J401" s="2">
        <v>0</v>
      </c>
    </row>
    <row r="402" spans="1:10" x14ac:dyDescent="0.25">
      <c r="A402" s="2">
        <v>51</v>
      </c>
      <c r="B402" s="2" t="s">
        <v>8</v>
      </c>
      <c r="C402" s="2">
        <v>20.6</v>
      </c>
      <c r="D402" s="2">
        <v>0</v>
      </c>
      <c r="E402" s="2" t="s">
        <v>12</v>
      </c>
      <c r="F402" s="2" t="s">
        <v>21</v>
      </c>
      <c r="G402" s="2">
        <v>4024.127429429604</v>
      </c>
      <c r="H402" s="2">
        <v>3832.5023137424814</v>
      </c>
      <c r="I402" s="2">
        <v>0</v>
      </c>
      <c r="J402" s="2">
        <v>1</v>
      </c>
    </row>
    <row r="403" spans="1:10" x14ac:dyDescent="0.25">
      <c r="A403" s="2">
        <v>47</v>
      </c>
      <c r="B403" s="2" t="s">
        <v>11</v>
      </c>
      <c r="C403" s="2">
        <v>47.5</v>
      </c>
      <c r="D403" s="2">
        <v>1</v>
      </c>
      <c r="E403" s="2" t="s">
        <v>12</v>
      </c>
      <c r="F403" s="2" t="s">
        <v>13</v>
      </c>
      <c r="G403" s="2">
        <v>5385.2477345832658</v>
      </c>
      <c r="H403" s="2">
        <v>5128.8073662697789</v>
      </c>
      <c r="I403" s="2">
        <v>0</v>
      </c>
      <c r="J403" s="2">
        <v>1</v>
      </c>
    </row>
    <row r="404" spans="1:10" x14ac:dyDescent="0.25">
      <c r="A404" s="2">
        <v>64</v>
      </c>
      <c r="B404" s="2" t="s">
        <v>8</v>
      </c>
      <c r="C404" s="2">
        <v>33</v>
      </c>
      <c r="D404" s="2">
        <v>0</v>
      </c>
      <c r="E404" s="2" t="s">
        <v>12</v>
      </c>
      <c r="F404" s="2" t="s">
        <v>20</v>
      </c>
      <c r="G404" s="2">
        <v>3954.2862550721566</v>
      </c>
      <c r="H404" s="2">
        <v>3765.9869095925314</v>
      </c>
      <c r="I404" s="2">
        <v>0</v>
      </c>
      <c r="J404" s="2">
        <v>1</v>
      </c>
    </row>
    <row r="405" spans="1:10" x14ac:dyDescent="0.25">
      <c r="A405" s="2">
        <v>49</v>
      </c>
      <c r="B405" s="2" t="s">
        <v>11</v>
      </c>
      <c r="C405" s="2">
        <v>32.299999999999997</v>
      </c>
      <c r="D405" s="2">
        <v>3</v>
      </c>
      <c r="E405" s="2" t="s">
        <v>12</v>
      </c>
      <c r="F405" s="2" t="s">
        <v>20</v>
      </c>
      <c r="G405" s="2">
        <v>2670.576624968312</v>
      </c>
      <c r="H405" s="2">
        <v>3560.768833291083</v>
      </c>
      <c r="I405" s="2">
        <v>0</v>
      </c>
      <c r="J405" s="2">
        <v>3</v>
      </c>
    </row>
    <row r="406" spans="1:10" x14ac:dyDescent="0.25">
      <c r="A406" s="2">
        <v>31</v>
      </c>
      <c r="B406" s="2" t="s">
        <v>11</v>
      </c>
      <c r="C406" s="2">
        <v>23.2</v>
      </c>
      <c r="D406" s="2">
        <v>0</v>
      </c>
      <c r="E406" s="2" t="s">
        <v>12</v>
      </c>
      <c r="F406" s="2" t="s">
        <v>21</v>
      </c>
      <c r="G406" s="2">
        <v>2186.7645183868972</v>
      </c>
      <c r="H406" s="2">
        <v>2572.6641392787033</v>
      </c>
      <c r="I406" s="2">
        <v>0</v>
      </c>
      <c r="J406" s="2">
        <v>0</v>
      </c>
    </row>
    <row r="407" spans="1:10" x14ac:dyDescent="0.25">
      <c r="A407" s="2">
        <v>52</v>
      </c>
      <c r="B407" s="2" t="s">
        <v>8</v>
      </c>
      <c r="C407" s="2">
        <v>38.4</v>
      </c>
      <c r="D407" s="2">
        <v>2</v>
      </c>
      <c r="E407" s="2" t="s">
        <v>12</v>
      </c>
      <c r="F407" s="2" t="s">
        <v>15</v>
      </c>
      <c r="G407" s="2">
        <v>3223.6932258618758</v>
      </c>
      <c r="H407" s="2">
        <v>4298.2576344825011</v>
      </c>
      <c r="I407" s="2">
        <v>0</v>
      </c>
      <c r="J407" s="2">
        <v>3</v>
      </c>
    </row>
    <row r="408" spans="1:10" x14ac:dyDescent="0.25">
      <c r="A408" s="2">
        <v>33</v>
      </c>
      <c r="B408" s="2" t="s">
        <v>8</v>
      </c>
      <c r="C408" s="2">
        <v>20.100000000000001</v>
      </c>
      <c r="D408" s="2">
        <v>0</v>
      </c>
      <c r="E408" s="2" t="s">
        <v>12</v>
      </c>
      <c r="F408" s="2" t="s">
        <v>13</v>
      </c>
      <c r="G408" s="2">
        <v>2102.3471501684903</v>
      </c>
      <c r="H408" s="2">
        <v>2473.3495884335189</v>
      </c>
      <c r="I408" s="2">
        <v>0</v>
      </c>
      <c r="J408" s="2">
        <v>0</v>
      </c>
    </row>
    <row r="409" spans="1:10" x14ac:dyDescent="0.25">
      <c r="A409" s="2">
        <v>47</v>
      </c>
      <c r="B409" s="2" t="s">
        <v>8</v>
      </c>
      <c r="C409" s="2">
        <v>23.6</v>
      </c>
      <c r="D409" s="2">
        <v>1</v>
      </c>
      <c r="E409" s="2" t="s">
        <v>12</v>
      </c>
      <c r="F409" s="2" t="s">
        <v>21</v>
      </c>
      <c r="G409" s="2">
        <v>3592.8872993691275</v>
      </c>
      <c r="H409" s="2">
        <v>3421.7974279705991</v>
      </c>
      <c r="I409" s="2">
        <v>0</v>
      </c>
      <c r="J409" s="2">
        <v>1</v>
      </c>
    </row>
    <row r="410" spans="1:10" x14ac:dyDescent="0.25">
      <c r="A410" s="2">
        <v>38</v>
      </c>
      <c r="B410" s="2" t="s">
        <v>11</v>
      </c>
      <c r="C410" s="2">
        <v>21.1</v>
      </c>
      <c r="D410" s="2">
        <v>3</v>
      </c>
      <c r="E410" s="2" t="s">
        <v>12</v>
      </c>
      <c r="F410" s="2" t="s">
        <v>13</v>
      </c>
      <c r="G410" s="2">
        <v>1370.8843400107753</v>
      </c>
      <c r="H410" s="2">
        <v>1827.8457866810338</v>
      </c>
      <c r="I410" s="2">
        <v>0</v>
      </c>
      <c r="J410" s="2">
        <v>3</v>
      </c>
    </row>
    <row r="411" spans="1:10" x14ac:dyDescent="0.25">
      <c r="A411" s="2">
        <v>32</v>
      </c>
      <c r="B411" s="2" t="s">
        <v>11</v>
      </c>
      <c r="C411" s="2">
        <v>22.8</v>
      </c>
      <c r="D411" s="2">
        <v>1</v>
      </c>
      <c r="E411" s="2" t="s">
        <v>12</v>
      </c>
      <c r="F411" s="2" t="s">
        <v>13</v>
      </c>
      <c r="G411" s="2">
        <v>2269.9185338380189</v>
      </c>
      <c r="H411" s="2">
        <v>2670.4923927506111</v>
      </c>
      <c r="I411" s="2">
        <v>0</v>
      </c>
      <c r="J411" s="2">
        <v>0</v>
      </c>
    </row>
    <row r="412" spans="1:10" x14ac:dyDescent="0.25">
      <c r="A412" s="2">
        <v>19</v>
      </c>
      <c r="B412" s="2" t="s">
        <v>11</v>
      </c>
      <c r="C412" s="2">
        <v>26</v>
      </c>
      <c r="D412" s="2">
        <v>0</v>
      </c>
      <c r="E412" s="2" t="s">
        <v>12</v>
      </c>
      <c r="F412" s="2" t="s">
        <v>20</v>
      </c>
      <c r="G412" s="2">
        <v>1982.573999919143</v>
      </c>
      <c r="H412" s="2">
        <v>2332.4399999048751</v>
      </c>
      <c r="I412" s="2">
        <v>0</v>
      </c>
      <c r="J412" s="2">
        <v>0</v>
      </c>
    </row>
    <row r="413" spans="1:10" x14ac:dyDescent="0.25">
      <c r="A413" s="2">
        <v>44</v>
      </c>
      <c r="B413" s="2" t="s">
        <v>8</v>
      </c>
      <c r="C413" s="2">
        <v>20.2</v>
      </c>
      <c r="D413" s="2">
        <v>1</v>
      </c>
      <c r="E413" s="2" t="s">
        <v>9</v>
      </c>
      <c r="F413" s="2" t="s">
        <v>15</v>
      </c>
      <c r="G413" s="2">
        <v>1817.5181249071952</v>
      </c>
      <c r="H413" s="2">
        <v>2138.2566175378774</v>
      </c>
      <c r="I413" s="2">
        <v>1</v>
      </c>
      <c r="J413" s="2">
        <v>2</v>
      </c>
    </row>
    <row r="414" spans="1:10" x14ac:dyDescent="0.25">
      <c r="A414" s="2">
        <v>26</v>
      </c>
      <c r="B414" s="2" t="s">
        <v>8</v>
      </c>
      <c r="C414" s="2">
        <v>24.1</v>
      </c>
      <c r="D414" s="2">
        <v>2</v>
      </c>
      <c r="E414" s="2" t="s">
        <v>9</v>
      </c>
      <c r="F414" s="2" t="s">
        <v>15</v>
      </c>
      <c r="G414" s="2">
        <v>1730.2239555657902</v>
      </c>
      <c r="H414" s="2">
        <v>2035.5575947832833</v>
      </c>
      <c r="I414" s="2">
        <v>1</v>
      </c>
      <c r="J414" s="2">
        <v>2</v>
      </c>
    </row>
    <row r="415" spans="1:10" x14ac:dyDescent="0.25">
      <c r="A415" s="2">
        <v>25</v>
      </c>
      <c r="B415" s="2" t="s">
        <v>11</v>
      </c>
      <c r="C415" s="2">
        <v>23.9</v>
      </c>
      <c r="D415" s="2">
        <v>5</v>
      </c>
      <c r="E415" s="2" t="s">
        <v>12</v>
      </c>
      <c r="F415" s="2" t="s">
        <v>21</v>
      </c>
      <c r="G415" s="2">
        <v>1218.548187127536</v>
      </c>
      <c r="H415" s="2">
        <v>1624.7309161700482</v>
      </c>
      <c r="I415" s="2">
        <v>0</v>
      </c>
      <c r="J415" s="2">
        <v>3</v>
      </c>
    </row>
    <row r="416" spans="1:10" x14ac:dyDescent="0.25">
      <c r="A416" s="2">
        <v>19</v>
      </c>
      <c r="B416" s="2" t="s">
        <v>8</v>
      </c>
      <c r="C416" s="2">
        <v>25.8</v>
      </c>
      <c r="D416" s="2">
        <v>0</v>
      </c>
      <c r="E416" s="2" t="s">
        <v>12</v>
      </c>
      <c r="F416" s="2" t="s">
        <v>20</v>
      </c>
      <c r="G416" s="2">
        <v>1673.4401464700777</v>
      </c>
      <c r="H416" s="2">
        <v>1968.7531134942101</v>
      </c>
      <c r="I416" s="2">
        <v>0</v>
      </c>
      <c r="J416" s="2">
        <v>0</v>
      </c>
    </row>
    <row r="417" spans="1:10" x14ac:dyDescent="0.25">
      <c r="A417" s="2">
        <v>43</v>
      </c>
      <c r="B417" s="2" t="s">
        <v>8</v>
      </c>
      <c r="C417" s="2">
        <v>35.6</v>
      </c>
      <c r="D417" s="2">
        <v>1</v>
      </c>
      <c r="E417" s="2" t="s">
        <v>12</v>
      </c>
      <c r="F417" s="2" t="s">
        <v>13</v>
      </c>
      <c r="G417" s="2">
        <v>5542.7739958919901</v>
      </c>
      <c r="H417" s="2">
        <v>5278.8323770399911</v>
      </c>
      <c r="I417" s="2">
        <v>0</v>
      </c>
      <c r="J417" s="2">
        <v>1</v>
      </c>
    </row>
    <row r="418" spans="1:10" x14ac:dyDescent="0.25">
      <c r="A418" s="2">
        <v>52</v>
      </c>
      <c r="B418" s="2" t="s">
        <v>11</v>
      </c>
      <c r="C418" s="2">
        <v>34.1</v>
      </c>
      <c r="D418" s="2">
        <v>0</v>
      </c>
      <c r="E418" s="2" t="s">
        <v>12</v>
      </c>
      <c r="F418" s="2" t="s">
        <v>13</v>
      </c>
      <c r="G418" s="2">
        <v>3593.1300248331404</v>
      </c>
      <c r="H418" s="2">
        <v>3422.0285950791831</v>
      </c>
      <c r="I418" s="2">
        <v>0</v>
      </c>
      <c r="J418" s="2">
        <v>1</v>
      </c>
    </row>
    <row r="419" spans="1:10" x14ac:dyDescent="0.25">
      <c r="A419" s="2">
        <v>36</v>
      </c>
      <c r="B419" s="2" t="s">
        <v>8</v>
      </c>
      <c r="C419" s="2">
        <v>22.6</v>
      </c>
      <c r="D419" s="2">
        <v>2</v>
      </c>
      <c r="E419" s="2" t="s">
        <v>9</v>
      </c>
      <c r="F419" s="2" t="s">
        <v>21</v>
      </c>
      <c r="G419" s="2">
        <v>1842.4317951974253</v>
      </c>
      <c r="H419" s="2">
        <v>2167.5668178793244</v>
      </c>
      <c r="I419" s="2">
        <v>1</v>
      </c>
      <c r="J419" s="2">
        <v>2</v>
      </c>
    </row>
    <row r="420" spans="1:10" x14ac:dyDescent="0.25">
      <c r="A420" s="2">
        <v>64</v>
      </c>
      <c r="B420" s="2" t="s">
        <v>11</v>
      </c>
      <c r="C420" s="2">
        <v>39.200000000000003</v>
      </c>
      <c r="D420" s="2">
        <v>1</v>
      </c>
      <c r="E420" s="2" t="s">
        <v>12</v>
      </c>
      <c r="F420" s="2" t="s">
        <v>13</v>
      </c>
      <c r="G420" s="2">
        <v>4417.3122575003372</v>
      </c>
      <c r="H420" s="2">
        <v>4206.9640547622275</v>
      </c>
      <c r="I420" s="2">
        <v>0</v>
      </c>
      <c r="J420" s="2">
        <v>1</v>
      </c>
    </row>
    <row r="421" spans="1:10" x14ac:dyDescent="0.25">
      <c r="A421" s="2">
        <v>63</v>
      </c>
      <c r="B421" s="2" t="s">
        <v>8</v>
      </c>
      <c r="C421" s="2">
        <v>27</v>
      </c>
      <c r="D421" s="2">
        <v>0</v>
      </c>
      <c r="E421" s="2" t="s">
        <v>9</v>
      </c>
      <c r="F421" s="2" t="s">
        <v>20</v>
      </c>
      <c r="G421" s="2">
        <v>5921.0960464030668</v>
      </c>
      <c r="H421" s="2">
        <v>5639.1390918124453</v>
      </c>
      <c r="I421" s="2">
        <v>1</v>
      </c>
      <c r="J421" s="2">
        <v>2</v>
      </c>
    </row>
    <row r="422" spans="1:10" x14ac:dyDescent="0.25">
      <c r="A422" s="2">
        <v>64</v>
      </c>
      <c r="B422" s="2" t="s">
        <v>11</v>
      </c>
      <c r="C422" s="2">
        <v>33.9</v>
      </c>
      <c r="D422" s="2">
        <v>0</v>
      </c>
      <c r="E422" s="2" t="s">
        <v>9</v>
      </c>
      <c r="F422" s="2" t="s">
        <v>13</v>
      </c>
      <c r="G422" s="2">
        <v>5062.1557469302816</v>
      </c>
      <c r="H422" s="2">
        <v>4821.1007113621745</v>
      </c>
      <c r="I422" s="2">
        <v>1</v>
      </c>
      <c r="J422" s="2">
        <v>2</v>
      </c>
    </row>
    <row r="423" spans="1:10" x14ac:dyDescent="0.25">
      <c r="A423" s="2">
        <v>61</v>
      </c>
      <c r="B423" s="2" t="s">
        <v>11</v>
      </c>
      <c r="C423" s="2">
        <v>35.9</v>
      </c>
      <c r="D423" s="2">
        <v>0</v>
      </c>
      <c r="E423" s="2" t="s">
        <v>9</v>
      </c>
      <c r="F423" s="2" t="s">
        <v>13</v>
      </c>
      <c r="G423" s="2">
        <v>4075.9971371384036</v>
      </c>
      <c r="H423" s="2">
        <v>3881.9020353699093</v>
      </c>
      <c r="I423" s="2">
        <v>1</v>
      </c>
      <c r="J423" s="2">
        <v>2</v>
      </c>
    </row>
    <row r="424" spans="1:10" x14ac:dyDescent="0.25">
      <c r="A424" s="2">
        <v>40</v>
      </c>
      <c r="B424" s="2" t="s">
        <v>11</v>
      </c>
      <c r="C424" s="2">
        <v>32.799999999999997</v>
      </c>
      <c r="D424" s="2">
        <v>1</v>
      </c>
      <c r="E424" s="2" t="s">
        <v>9</v>
      </c>
      <c r="F424" s="2" t="s">
        <v>15</v>
      </c>
      <c r="G424" s="2">
        <v>4568.0662557963678</v>
      </c>
      <c r="H424" s="2">
        <v>4350.5392912346369</v>
      </c>
      <c r="I424" s="2">
        <v>1</v>
      </c>
      <c r="J424" s="2">
        <v>2</v>
      </c>
    </row>
    <row r="425" spans="1:10" x14ac:dyDescent="0.25">
      <c r="A425" s="2">
        <v>25</v>
      </c>
      <c r="B425" s="2" t="s">
        <v>11</v>
      </c>
      <c r="C425" s="2">
        <v>20.9</v>
      </c>
      <c r="D425" s="2">
        <v>0</v>
      </c>
      <c r="E425" s="2" t="s">
        <v>12</v>
      </c>
      <c r="F425" s="2" t="s">
        <v>15</v>
      </c>
      <c r="G425" s="2">
        <v>1587.6954382059353</v>
      </c>
      <c r="H425" s="2">
        <v>1867.8769861246303</v>
      </c>
      <c r="I425" s="2">
        <v>0</v>
      </c>
      <c r="J425" s="2">
        <v>0</v>
      </c>
    </row>
    <row r="426" spans="1:10" x14ac:dyDescent="0.25">
      <c r="A426" s="2">
        <v>48</v>
      </c>
      <c r="B426" s="2" t="s">
        <v>11</v>
      </c>
      <c r="C426" s="2">
        <v>30.2</v>
      </c>
      <c r="D426" s="2">
        <v>2</v>
      </c>
      <c r="E426" s="2" t="s">
        <v>12</v>
      </c>
      <c r="F426" s="2" t="s">
        <v>21</v>
      </c>
      <c r="G426" s="2">
        <v>2217.9052540174548</v>
      </c>
      <c r="H426" s="2">
        <v>2957.2070053566063</v>
      </c>
      <c r="I426" s="2">
        <v>0</v>
      </c>
      <c r="J426" s="2">
        <v>3</v>
      </c>
    </row>
    <row r="427" spans="1:10" x14ac:dyDescent="0.25">
      <c r="A427" s="2">
        <v>45</v>
      </c>
      <c r="B427" s="2" t="s">
        <v>11</v>
      </c>
      <c r="C427" s="2">
        <v>24.3</v>
      </c>
      <c r="D427" s="2">
        <v>5</v>
      </c>
      <c r="E427" s="2" t="s">
        <v>12</v>
      </c>
      <c r="F427" s="2" t="s">
        <v>13</v>
      </c>
      <c r="G427" s="2">
        <v>2160.1698908473381</v>
      </c>
      <c r="H427" s="2">
        <v>2880.2265211297845</v>
      </c>
      <c r="I427" s="2">
        <v>0</v>
      </c>
      <c r="J427" s="2">
        <v>3</v>
      </c>
    </row>
    <row r="428" spans="1:10" x14ac:dyDescent="0.25">
      <c r="A428" s="2">
        <v>38</v>
      </c>
      <c r="B428" s="2" t="s">
        <v>8</v>
      </c>
      <c r="C428" s="2">
        <v>20.100000000000001</v>
      </c>
      <c r="D428" s="2">
        <v>1</v>
      </c>
      <c r="E428" s="2" t="s">
        <v>12</v>
      </c>
      <c r="F428" s="2" t="s">
        <v>15</v>
      </c>
      <c r="G428" s="2">
        <v>1668.436406111452</v>
      </c>
      <c r="H428" s="2">
        <v>1962.8663601311209</v>
      </c>
      <c r="I428" s="2">
        <v>0</v>
      </c>
      <c r="J428" s="2">
        <v>0</v>
      </c>
    </row>
    <row r="429" spans="1:10" x14ac:dyDescent="0.25">
      <c r="A429" s="2">
        <v>18</v>
      </c>
      <c r="B429" s="2" t="s">
        <v>8</v>
      </c>
      <c r="C429" s="2">
        <v>24.1</v>
      </c>
      <c r="D429" s="2">
        <v>0</v>
      </c>
      <c r="E429" s="2" t="s">
        <v>12</v>
      </c>
      <c r="F429" s="2" t="s">
        <v>15</v>
      </c>
      <c r="G429" s="2">
        <v>1465.3085881766431</v>
      </c>
      <c r="H429" s="2">
        <v>1723.8924566784044</v>
      </c>
      <c r="I429" s="2">
        <v>0</v>
      </c>
      <c r="J429" s="2">
        <v>0</v>
      </c>
    </row>
    <row r="430" spans="1:10" x14ac:dyDescent="0.25">
      <c r="A430" s="2">
        <v>21</v>
      </c>
      <c r="B430" s="2" t="s">
        <v>8</v>
      </c>
      <c r="C430" s="2">
        <v>25.4</v>
      </c>
      <c r="D430" s="2">
        <v>1</v>
      </c>
      <c r="E430" s="2" t="s">
        <v>12</v>
      </c>
      <c r="F430" s="2" t="s">
        <v>15</v>
      </c>
      <c r="G430" s="2">
        <v>1860.5366024384562</v>
      </c>
      <c r="H430" s="2">
        <v>2188.8665911040671</v>
      </c>
      <c r="I430" s="2">
        <v>0</v>
      </c>
      <c r="J430" s="2">
        <v>0</v>
      </c>
    </row>
    <row r="431" spans="1:10" x14ac:dyDescent="0.25">
      <c r="A431" s="2">
        <v>27</v>
      </c>
      <c r="B431" s="2" t="s">
        <v>8</v>
      </c>
      <c r="C431" s="2">
        <v>30.4</v>
      </c>
      <c r="D431" s="2">
        <v>3</v>
      </c>
      <c r="E431" s="2" t="s">
        <v>12</v>
      </c>
      <c r="F431" s="2" t="s">
        <v>20</v>
      </c>
      <c r="G431" s="2">
        <v>1009.1604027598606</v>
      </c>
      <c r="H431" s="2">
        <v>1345.5472036798142</v>
      </c>
      <c r="I431" s="2">
        <v>0</v>
      </c>
      <c r="J431" s="2">
        <v>3</v>
      </c>
    </row>
    <row r="432" spans="1:10" x14ac:dyDescent="0.25">
      <c r="A432" s="2">
        <v>19</v>
      </c>
      <c r="B432" s="2" t="s">
        <v>11</v>
      </c>
      <c r="C432" s="2">
        <v>21.7</v>
      </c>
      <c r="D432" s="2">
        <v>0</v>
      </c>
      <c r="E432" s="2" t="s">
        <v>12</v>
      </c>
      <c r="F432" s="2" t="s">
        <v>21</v>
      </c>
      <c r="G432" s="2">
        <v>1795.431477213828</v>
      </c>
      <c r="H432" s="2">
        <v>2112.2723261339156</v>
      </c>
      <c r="I432" s="2">
        <v>0</v>
      </c>
      <c r="J432" s="2">
        <v>0</v>
      </c>
    </row>
    <row r="433" spans="1:10" x14ac:dyDescent="0.25">
      <c r="A433" s="2">
        <v>29</v>
      </c>
      <c r="B433" s="2" t="s">
        <v>8</v>
      </c>
      <c r="C433" s="2">
        <v>20.3</v>
      </c>
      <c r="D433" s="2">
        <v>2</v>
      </c>
      <c r="E433" s="2" t="s">
        <v>12</v>
      </c>
      <c r="F433" s="2" t="s">
        <v>20</v>
      </c>
      <c r="G433" s="2">
        <v>2269.1830525735381</v>
      </c>
      <c r="H433" s="2">
        <v>2669.6271206747515</v>
      </c>
      <c r="I433" s="2">
        <v>0</v>
      </c>
      <c r="J433" s="2">
        <v>0</v>
      </c>
    </row>
    <row r="434" spans="1:10" x14ac:dyDescent="0.25">
      <c r="A434" s="2">
        <v>42</v>
      </c>
      <c r="B434" s="2" t="s">
        <v>11</v>
      </c>
      <c r="C434" s="2">
        <v>26.9</v>
      </c>
      <c r="D434" s="2">
        <v>0</v>
      </c>
      <c r="E434" s="2" t="s">
        <v>12</v>
      </c>
      <c r="F434" s="2" t="s">
        <v>21</v>
      </c>
      <c r="G434" s="2">
        <v>4852.0825171156803</v>
      </c>
      <c r="H434" s="2">
        <v>4621.0309686816008</v>
      </c>
      <c r="I434" s="2">
        <v>0</v>
      </c>
      <c r="J434" s="2">
        <v>1</v>
      </c>
    </row>
    <row r="435" spans="1:10" x14ac:dyDescent="0.25">
      <c r="A435" s="2">
        <v>60</v>
      </c>
      <c r="B435" s="2" t="s">
        <v>8</v>
      </c>
      <c r="C435" s="2">
        <v>30.5</v>
      </c>
      <c r="D435" s="2">
        <v>0</v>
      </c>
      <c r="E435" s="2" t="s">
        <v>12</v>
      </c>
      <c r="F435" s="2" t="s">
        <v>21</v>
      </c>
      <c r="G435" s="2">
        <v>3941.7512124976938</v>
      </c>
      <c r="H435" s="2">
        <v>3754.0487738073293</v>
      </c>
      <c r="I435" s="2">
        <v>0</v>
      </c>
      <c r="J435" s="2">
        <v>1</v>
      </c>
    </row>
    <row r="436" spans="1:10" x14ac:dyDescent="0.25">
      <c r="A436" s="2">
        <v>31</v>
      </c>
      <c r="B436" s="2" t="s">
        <v>11</v>
      </c>
      <c r="C436" s="2">
        <v>22.9</v>
      </c>
      <c r="D436" s="2">
        <v>1</v>
      </c>
      <c r="E436" s="2" t="s">
        <v>12</v>
      </c>
      <c r="F436" s="2" t="s">
        <v>20</v>
      </c>
      <c r="G436" s="2">
        <v>2441.7780987484298</v>
      </c>
      <c r="H436" s="2">
        <v>2872.6801161746239</v>
      </c>
      <c r="I436" s="2">
        <v>0</v>
      </c>
      <c r="J436" s="2">
        <v>0</v>
      </c>
    </row>
    <row r="437" spans="1:10" x14ac:dyDescent="0.25">
      <c r="A437" s="2">
        <v>60</v>
      </c>
      <c r="B437" s="2" t="s">
        <v>11</v>
      </c>
      <c r="C437" s="2">
        <v>33.1</v>
      </c>
      <c r="D437" s="2">
        <v>3</v>
      </c>
      <c r="E437" s="2" t="s">
        <v>12</v>
      </c>
      <c r="F437" s="2" t="s">
        <v>13</v>
      </c>
      <c r="G437" s="2">
        <v>3398.4514985235146</v>
      </c>
      <c r="H437" s="2">
        <v>4531.2686646980192</v>
      </c>
      <c r="I437" s="2">
        <v>0</v>
      </c>
      <c r="J437" s="2">
        <v>3</v>
      </c>
    </row>
    <row r="438" spans="1:10" x14ac:dyDescent="0.25">
      <c r="A438" s="2">
        <v>22</v>
      </c>
      <c r="B438" s="2" t="s">
        <v>11</v>
      </c>
      <c r="C438" s="2">
        <v>26</v>
      </c>
      <c r="D438" s="2">
        <v>0</v>
      </c>
      <c r="E438" s="2" t="s">
        <v>12</v>
      </c>
      <c r="F438" s="2" t="s">
        <v>15</v>
      </c>
      <c r="G438" s="2">
        <v>1789.958040589129</v>
      </c>
      <c r="H438" s="2">
        <v>2105.8329889283877</v>
      </c>
      <c r="I438" s="2">
        <v>0</v>
      </c>
      <c r="J438" s="2">
        <v>0</v>
      </c>
    </row>
    <row r="439" spans="1:10" x14ac:dyDescent="0.25">
      <c r="A439" s="2">
        <v>35</v>
      </c>
      <c r="B439" s="2" t="s">
        <v>11</v>
      </c>
      <c r="C439" s="2">
        <v>28.9</v>
      </c>
      <c r="D439" s="2">
        <v>3</v>
      </c>
      <c r="E439" s="2" t="s">
        <v>12</v>
      </c>
      <c r="F439" s="2" t="s">
        <v>21</v>
      </c>
      <c r="G439" s="2">
        <v>1523.8448843125593</v>
      </c>
      <c r="H439" s="2">
        <v>2031.7931790834123</v>
      </c>
      <c r="I439" s="2">
        <v>0</v>
      </c>
      <c r="J439" s="2">
        <v>3</v>
      </c>
    </row>
    <row r="440" spans="1:10" x14ac:dyDescent="0.25">
      <c r="A440" s="2">
        <v>52</v>
      </c>
      <c r="B440" s="2" t="s">
        <v>8</v>
      </c>
      <c r="C440" s="2">
        <v>46.8</v>
      </c>
      <c r="D440" s="2">
        <v>5</v>
      </c>
      <c r="E440" s="2" t="s">
        <v>12</v>
      </c>
      <c r="F440" s="2" t="s">
        <v>13</v>
      </c>
      <c r="G440" s="2">
        <v>2886.8253349137613</v>
      </c>
      <c r="H440" s="2">
        <v>3849.1004465516817</v>
      </c>
      <c r="I440" s="2">
        <v>0</v>
      </c>
      <c r="J440" s="2">
        <v>3</v>
      </c>
    </row>
    <row r="441" spans="1:10" x14ac:dyDescent="0.25">
      <c r="A441" s="2">
        <v>26</v>
      </c>
      <c r="B441" s="2" t="s">
        <v>11</v>
      </c>
      <c r="C441" s="2">
        <v>21.1</v>
      </c>
      <c r="D441" s="2">
        <v>0</v>
      </c>
      <c r="E441" s="2" t="s">
        <v>12</v>
      </c>
      <c r="F441" s="2" t="s">
        <v>15</v>
      </c>
      <c r="G441" s="2">
        <v>1754.9122021748183</v>
      </c>
      <c r="H441" s="2">
        <v>2064.6025907939047</v>
      </c>
      <c r="I441" s="2">
        <v>0</v>
      </c>
      <c r="J441" s="2">
        <v>0</v>
      </c>
    </row>
    <row r="442" spans="1:10" x14ac:dyDescent="0.25">
      <c r="A442" s="2">
        <v>31</v>
      </c>
      <c r="B442" s="2" t="s">
        <v>8</v>
      </c>
      <c r="C442" s="2">
        <v>20.399999999999999</v>
      </c>
      <c r="D442" s="2">
        <v>1</v>
      </c>
      <c r="E442" s="2" t="s">
        <v>12</v>
      </c>
      <c r="F442" s="2" t="s">
        <v>20</v>
      </c>
      <c r="G442" s="2">
        <v>1535.6342572623234</v>
      </c>
      <c r="H442" s="2">
        <v>1806.6285379556753</v>
      </c>
      <c r="I442" s="2">
        <v>0</v>
      </c>
      <c r="J442" s="2">
        <v>0</v>
      </c>
    </row>
    <row r="443" spans="1:10" x14ac:dyDescent="0.25">
      <c r="A443" s="2">
        <v>33</v>
      </c>
      <c r="B443" s="2" t="s">
        <v>8</v>
      </c>
      <c r="C443" s="2">
        <v>24.7</v>
      </c>
      <c r="D443" s="2">
        <v>0</v>
      </c>
      <c r="E443" s="2" t="s">
        <v>9</v>
      </c>
      <c r="F443" s="2" t="s">
        <v>21</v>
      </c>
      <c r="G443" s="2">
        <v>1690.4231032516018</v>
      </c>
      <c r="H443" s="2">
        <v>1988.7330626489443</v>
      </c>
      <c r="I443" s="2">
        <v>1</v>
      </c>
      <c r="J443" s="2">
        <v>2</v>
      </c>
    </row>
    <row r="444" spans="1:10" x14ac:dyDescent="0.25">
      <c r="A444" s="2">
        <v>18</v>
      </c>
      <c r="B444" s="2" t="s">
        <v>11</v>
      </c>
      <c r="C444" s="2">
        <v>22.4</v>
      </c>
      <c r="D444" s="2">
        <v>0</v>
      </c>
      <c r="E444" s="2" t="s">
        <v>12</v>
      </c>
      <c r="F444" s="2" t="s">
        <v>13</v>
      </c>
      <c r="G444" s="2">
        <v>1442.7156450682696</v>
      </c>
      <c r="H444" s="2">
        <v>1697.3125236097299</v>
      </c>
      <c r="I444" s="2">
        <v>0</v>
      </c>
      <c r="J444" s="2">
        <v>0</v>
      </c>
    </row>
    <row r="445" spans="1:10" x14ac:dyDescent="0.25">
      <c r="A445" s="2">
        <v>59</v>
      </c>
      <c r="B445" s="2" t="s">
        <v>8</v>
      </c>
      <c r="C445" s="2">
        <v>36.5</v>
      </c>
      <c r="D445" s="2">
        <v>1</v>
      </c>
      <c r="E445" s="2" t="s">
        <v>12</v>
      </c>
      <c r="F445" s="2" t="s">
        <v>13</v>
      </c>
      <c r="G445" s="2">
        <v>3877.3950155041944</v>
      </c>
      <c r="H445" s="2">
        <v>3692.7571576230434</v>
      </c>
      <c r="I445" s="2">
        <v>0</v>
      </c>
      <c r="J445" s="2">
        <v>1</v>
      </c>
    </row>
    <row r="446" spans="1:10" x14ac:dyDescent="0.25">
      <c r="A446" s="2">
        <v>56</v>
      </c>
      <c r="B446" s="2" t="s">
        <v>11</v>
      </c>
      <c r="C446" s="2">
        <v>26.7</v>
      </c>
      <c r="D446" s="2">
        <v>1</v>
      </c>
      <c r="E446" s="2" t="s">
        <v>9</v>
      </c>
      <c r="F446" s="2" t="s">
        <v>20</v>
      </c>
      <c r="G446" s="2">
        <v>3963.8005874790551</v>
      </c>
      <c r="H446" s="2">
        <v>3775.0481785514821</v>
      </c>
      <c r="I446" s="2">
        <v>1</v>
      </c>
      <c r="J446" s="2">
        <v>2</v>
      </c>
    </row>
    <row r="447" spans="1:10" x14ac:dyDescent="0.25">
      <c r="A447" s="2">
        <v>45</v>
      </c>
      <c r="B447" s="2" t="s">
        <v>8</v>
      </c>
      <c r="C447" s="2">
        <v>33.1</v>
      </c>
      <c r="D447" s="2">
        <v>0</v>
      </c>
      <c r="E447" s="2" t="s">
        <v>12</v>
      </c>
      <c r="F447" s="2" t="s">
        <v>21</v>
      </c>
      <c r="G447" s="2">
        <v>4574.0344474822377</v>
      </c>
      <c r="H447" s="2">
        <v>4356.223283316418</v>
      </c>
      <c r="I447" s="2">
        <v>0</v>
      </c>
      <c r="J447" s="2">
        <v>1</v>
      </c>
    </row>
    <row r="448" spans="1:10" x14ac:dyDescent="0.25">
      <c r="A448" s="2">
        <v>60</v>
      </c>
      <c r="B448" s="2" t="s">
        <v>11</v>
      </c>
      <c r="C448" s="2">
        <v>29.6</v>
      </c>
      <c r="D448" s="2">
        <v>0</v>
      </c>
      <c r="E448" s="2" t="s">
        <v>12</v>
      </c>
      <c r="F448" s="2" t="s">
        <v>15</v>
      </c>
      <c r="G448" s="2">
        <v>4255.9479364159997</v>
      </c>
      <c r="H448" s="2">
        <v>4053.2837489676203</v>
      </c>
      <c r="I448" s="2">
        <v>0</v>
      </c>
      <c r="J448" s="2">
        <v>1</v>
      </c>
    </row>
    <row r="449" spans="1:10" x14ac:dyDescent="0.25">
      <c r="A449" s="2">
        <v>56</v>
      </c>
      <c r="B449" s="2" t="s">
        <v>8</v>
      </c>
      <c r="C449" s="2">
        <v>25.7</v>
      </c>
      <c r="D449" s="2">
        <v>0</v>
      </c>
      <c r="E449" s="2" t="s">
        <v>12</v>
      </c>
      <c r="F449" s="2" t="s">
        <v>20</v>
      </c>
      <c r="G449" s="2">
        <v>5298.5224086816197</v>
      </c>
      <c r="H449" s="2">
        <v>5046.2118177920202</v>
      </c>
      <c r="I449" s="2">
        <v>0</v>
      </c>
      <c r="J449" s="2">
        <v>1</v>
      </c>
    </row>
    <row r="450" spans="1:10" x14ac:dyDescent="0.25">
      <c r="A450" s="2">
        <v>40</v>
      </c>
      <c r="B450" s="2" t="s">
        <v>8</v>
      </c>
      <c r="C450" s="2">
        <v>29.6</v>
      </c>
      <c r="D450" s="2">
        <v>0</v>
      </c>
      <c r="E450" s="2" t="s">
        <v>12</v>
      </c>
      <c r="F450" s="2" t="s">
        <v>21</v>
      </c>
      <c r="G450" s="2">
        <v>5402.7852101054577</v>
      </c>
      <c r="H450" s="2">
        <v>5145.5097239099614</v>
      </c>
      <c r="I450" s="2">
        <v>0</v>
      </c>
      <c r="J450" s="2">
        <v>1</v>
      </c>
    </row>
    <row r="451" spans="1:10" x14ac:dyDescent="0.25">
      <c r="A451" s="2">
        <v>35</v>
      </c>
      <c r="B451" s="2" t="s">
        <v>11</v>
      </c>
      <c r="C451" s="2">
        <v>25</v>
      </c>
      <c r="D451" s="2">
        <v>1</v>
      </c>
      <c r="E451" s="2" t="s">
        <v>12</v>
      </c>
      <c r="F451" s="2" t="s">
        <v>21</v>
      </c>
      <c r="G451" s="2">
        <v>2186.9046033858317</v>
      </c>
      <c r="H451" s="2">
        <v>2572.828945159803</v>
      </c>
      <c r="I451" s="2">
        <v>0</v>
      </c>
      <c r="J451" s="2">
        <v>0</v>
      </c>
    </row>
    <row r="452" spans="1:10" x14ac:dyDescent="0.25">
      <c r="A452" s="2">
        <v>39</v>
      </c>
      <c r="B452" s="2" t="s">
        <v>11</v>
      </c>
      <c r="C452" s="2">
        <v>29.6</v>
      </c>
      <c r="D452" s="2">
        <v>4</v>
      </c>
      <c r="E452" s="2" t="s">
        <v>12</v>
      </c>
      <c r="F452" s="2" t="s">
        <v>21</v>
      </c>
      <c r="G452" s="2">
        <v>1926.6083899615169</v>
      </c>
      <c r="H452" s="2">
        <v>2568.8111866153558</v>
      </c>
      <c r="I452" s="2">
        <v>0</v>
      </c>
      <c r="J452" s="2">
        <v>3</v>
      </c>
    </row>
    <row r="453" spans="1:10" x14ac:dyDescent="0.25">
      <c r="A453" s="2">
        <v>30</v>
      </c>
      <c r="B453" s="2" t="s">
        <v>11</v>
      </c>
      <c r="C453" s="2">
        <v>23</v>
      </c>
      <c r="D453" s="2">
        <v>1</v>
      </c>
      <c r="E453" s="2" t="s">
        <v>12</v>
      </c>
      <c r="F453" s="2" t="s">
        <v>20</v>
      </c>
      <c r="G453" s="2">
        <v>1524.0178995639365</v>
      </c>
      <c r="H453" s="2">
        <v>1792.9622347811023</v>
      </c>
      <c r="I453" s="2">
        <v>0</v>
      </c>
      <c r="J453" s="2">
        <v>0</v>
      </c>
    </row>
    <row r="454" spans="1:10" x14ac:dyDescent="0.25">
      <c r="A454" s="2">
        <v>24</v>
      </c>
      <c r="B454" s="2" t="s">
        <v>11</v>
      </c>
      <c r="C454" s="2">
        <v>23.5</v>
      </c>
      <c r="D454" s="2">
        <v>0</v>
      </c>
      <c r="E454" s="2" t="s">
        <v>12</v>
      </c>
      <c r="F454" s="2" t="s">
        <v>21</v>
      </c>
      <c r="G454" s="2">
        <v>1889.8109819986585</v>
      </c>
      <c r="H454" s="2">
        <v>2223.3070376454812</v>
      </c>
      <c r="I454" s="2">
        <v>0</v>
      </c>
      <c r="J454" s="2">
        <v>0</v>
      </c>
    </row>
    <row r="455" spans="1:10" x14ac:dyDescent="0.25">
      <c r="A455" s="2">
        <v>20</v>
      </c>
      <c r="B455" s="2" t="s">
        <v>11</v>
      </c>
      <c r="C455" s="2">
        <v>22.6</v>
      </c>
      <c r="D455" s="2">
        <v>0</v>
      </c>
      <c r="E455" s="2" t="s">
        <v>12</v>
      </c>
      <c r="F455" s="2" t="s">
        <v>20</v>
      </c>
      <c r="G455" s="2">
        <v>1765.5794603832287</v>
      </c>
      <c r="H455" s="2">
        <v>2077.1523063332111</v>
      </c>
      <c r="I455" s="2">
        <v>0</v>
      </c>
      <c r="J455" s="2">
        <v>0</v>
      </c>
    </row>
    <row r="456" spans="1:10" x14ac:dyDescent="0.25">
      <c r="A456" s="2">
        <v>32</v>
      </c>
      <c r="B456" s="2" t="s">
        <v>11</v>
      </c>
      <c r="C456" s="2">
        <v>46.5</v>
      </c>
      <c r="D456" s="2">
        <v>2</v>
      </c>
      <c r="E456" s="2" t="s">
        <v>12</v>
      </c>
      <c r="F456" s="2" t="s">
        <v>13</v>
      </c>
      <c r="G456" s="2">
        <v>1752.4352396811139</v>
      </c>
      <c r="H456" s="2">
        <v>2336.5803195748185</v>
      </c>
      <c r="I456" s="2">
        <v>0</v>
      </c>
      <c r="J456" s="2">
        <v>3</v>
      </c>
    </row>
    <row r="457" spans="1:10" x14ac:dyDescent="0.25">
      <c r="A457" s="2">
        <v>59</v>
      </c>
      <c r="B457" s="2" t="s">
        <v>11</v>
      </c>
      <c r="C457" s="2">
        <v>37.4</v>
      </c>
      <c r="D457" s="2">
        <v>0</v>
      </c>
      <c r="E457" s="2" t="s">
        <v>12</v>
      </c>
      <c r="F457" s="2" t="s">
        <v>21</v>
      </c>
      <c r="G457" s="2">
        <v>4018.5920807458524</v>
      </c>
      <c r="H457" s="2">
        <v>3827.2305530912895</v>
      </c>
      <c r="I457" s="2">
        <v>0</v>
      </c>
      <c r="J457" s="2">
        <v>1</v>
      </c>
    </row>
    <row r="458" spans="1:10" x14ac:dyDescent="0.25">
      <c r="A458" s="2">
        <v>55</v>
      </c>
      <c r="B458" s="2" t="s">
        <v>8</v>
      </c>
      <c r="C458" s="2">
        <v>30.1</v>
      </c>
      <c r="D458" s="2">
        <v>2</v>
      </c>
      <c r="E458" s="2" t="s">
        <v>12</v>
      </c>
      <c r="F458" s="2" t="s">
        <v>13</v>
      </c>
      <c r="G458" s="2">
        <v>2871.2824623332185</v>
      </c>
      <c r="H458" s="2">
        <v>3828.3766164442914</v>
      </c>
      <c r="I458" s="2">
        <v>0</v>
      </c>
      <c r="J458" s="2">
        <v>3</v>
      </c>
    </row>
    <row r="459" spans="1:10" x14ac:dyDescent="0.25">
      <c r="A459" s="2">
        <v>57</v>
      </c>
      <c r="B459" s="2" t="s">
        <v>8</v>
      </c>
      <c r="C459" s="2">
        <v>30.5</v>
      </c>
      <c r="D459" s="2">
        <v>0</v>
      </c>
      <c r="E459" s="2" t="s">
        <v>12</v>
      </c>
      <c r="F459" s="2" t="s">
        <v>20</v>
      </c>
      <c r="G459" s="2">
        <v>4357.9627592084234</v>
      </c>
      <c r="H459" s="2">
        <v>4150.4407230556426</v>
      </c>
      <c r="I459" s="2">
        <v>0</v>
      </c>
      <c r="J459" s="2">
        <v>1</v>
      </c>
    </row>
    <row r="460" spans="1:10" x14ac:dyDescent="0.25">
      <c r="A460" s="2">
        <v>56</v>
      </c>
      <c r="B460" s="2" t="s">
        <v>11</v>
      </c>
      <c r="C460" s="2">
        <v>39.6</v>
      </c>
      <c r="D460" s="2">
        <v>0</v>
      </c>
      <c r="E460" s="2" t="s">
        <v>12</v>
      </c>
      <c r="F460" s="2" t="s">
        <v>21</v>
      </c>
      <c r="G460" s="2">
        <v>5068.6496103435265</v>
      </c>
      <c r="H460" s="2">
        <v>4827.2853431843123</v>
      </c>
      <c r="I460" s="2">
        <v>0</v>
      </c>
      <c r="J460" s="2">
        <v>1</v>
      </c>
    </row>
    <row r="461" spans="1:10" x14ac:dyDescent="0.25">
      <c r="A461" s="2">
        <v>40</v>
      </c>
      <c r="B461" s="2" t="s">
        <v>8</v>
      </c>
      <c r="C461" s="2">
        <v>33</v>
      </c>
      <c r="D461" s="2">
        <v>3</v>
      </c>
      <c r="E461" s="2" t="s">
        <v>12</v>
      </c>
      <c r="F461" s="2" t="s">
        <v>13</v>
      </c>
      <c r="G461" s="2">
        <v>1768.4929635925453</v>
      </c>
      <c r="H461" s="2">
        <v>2357.9906181233937</v>
      </c>
      <c r="I461" s="2">
        <v>0</v>
      </c>
      <c r="J461" s="2">
        <v>3</v>
      </c>
    </row>
    <row r="462" spans="1:10" x14ac:dyDescent="0.25">
      <c r="A462" s="2">
        <v>49</v>
      </c>
      <c r="B462" s="2" t="s">
        <v>8</v>
      </c>
      <c r="C462" s="2">
        <v>36.6</v>
      </c>
      <c r="D462" s="2">
        <v>3</v>
      </c>
      <c r="E462" s="2" t="s">
        <v>12</v>
      </c>
      <c r="F462" s="2" t="s">
        <v>13</v>
      </c>
      <c r="G462" s="2">
        <v>3315.3466718309451</v>
      </c>
      <c r="H462" s="2">
        <v>4420.4622291079268</v>
      </c>
      <c r="I462" s="2">
        <v>0</v>
      </c>
      <c r="J462" s="2">
        <v>3</v>
      </c>
    </row>
    <row r="463" spans="1:10" x14ac:dyDescent="0.25">
      <c r="A463" s="2">
        <v>42</v>
      </c>
      <c r="B463" s="2" t="s">
        <v>11</v>
      </c>
      <c r="C463" s="2">
        <v>30</v>
      </c>
      <c r="D463" s="2">
        <v>0</v>
      </c>
      <c r="E463" s="2" t="s">
        <v>9</v>
      </c>
      <c r="F463" s="2" t="s">
        <v>21</v>
      </c>
      <c r="G463" s="2">
        <v>4509.9314926939433</v>
      </c>
      <c r="H463" s="2">
        <v>4295.1728501847092</v>
      </c>
      <c r="I463" s="2">
        <v>1</v>
      </c>
      <c r="J463" s="2">
        <v>2</v>
      </c>
    </row>
    <row r="464" spans="1:10" x14ac:dyDescent="0.25">
      <c r="A464" s="2">
        <v>62</v>
      </c>
      <c r="B464" s="2" t="s">
        <v>8</v>
      </c>
      <c r="C464" s="2">
        <v>38.1</v>
      </c>
      <c r="D464" s="2">
        <v>2</v>
      </c>
      <c r="E464" s="2" t="s">
        <v>12</v>
      </c>
      <c r="F464" s="2" t="s">
        <v>15</v>
      </c>
      <c r="G464" s="2">
        <v>4722.4738184481021</v>
      </c>
      <c r="H464" s="2">
        <v>4497.5941128077184</v>
      </c>
      <c r="I464" s="2">
        <v>0</v>
      </c>
      <c r="J464" s="2">
        <v>1</v>
      </c>
    </row>
    <row r="465" spans="1:10" x14ac:dyDescent="0.25">
      <c r="A465" s="2">
        <v>56</v>
      </c>
      <c r="B465" s="2" t="s">
        <v>11</v>
      </c>
      <c r="C465" s="2">
        <v>25.9</v>
      </c>
      <c r="D465" s="2">
        <v>0</v>
      </c>
      <c r="E465" s="2" t="s">
        <v>12</v>
      </c>
      <c r="F465" s="2" t="s">
        <v>15</v>
      </c>
      <c r="G465" s="2">
        <v>5229.0241817561209</v>
      </c>
      <c r="H465" s="2">
        <v>4980.0230302439259</v>
      </c>
      <c r="I465" s="2">
        <v>0</v>
      </c>
      <c r="J465" s="2">
        <v>1</v>
      </c>
    </row>
    <row r="466" spans="1:10" x14ac:dyDescent="0.25">
      <c r="A466" s="2">
        <v>19</v>
      </c>
      <c r="B466" s="2" t="s">
        <v>11</v>
      </c>
      <c r="C466" s="2">
        <v>22.7</v>
      </c>
      <c r="D466" s="2">
        <v>0</v>
      </c>
      <c r="E466" s="2" t="s">
        <v>12</v>
      </c>
      <c r="F466" s="2" t="s">
        <v>20</v>
      </c>
      <c r="G466" s="2">
        <v>1317.6976404067618</v>
      </c>
      <c r="H466" s="2">
        <v>1550.2325181256031</v>
      </c>
      <c r="I466" s="2">
        <v>0</v>
      </c>
      <c r="J466" s="2">
        <v>0</v>
      </c>
    </row>
    <row r="467" spans="1:10" x14ac:dyDescent="0.25">
      <c r="A467" s="2">
        <v>30</v>
      </c>
      <c r="B467" s="2" t="s">
        <v>8</v>
      </c>
      <c r="C467" s="2">
        <v>20.5</v>
      </c>
      <c r="D467" s="2">
        <v>1</v>
      </c>
      <c r="E467" s="2" t="s">
        <v>9</v>
      </c>
      <c r="F467" s="2" t="s">
        <v>13</v>
      </c>
      <c r="G467" s="2">
        <v>1888.7688909101921</v>
      </c>
      <c r="H467" s="2">
        <v>2222.0810481296385</v>
      </c>
      <c r="I467" s="2">
        <v>1</v>
      </c>
      <c r="J467" s="2">
        <v>2</v>
      </c>
    </row>
    <row r="468" spans="1:10" x14ac:dyDescent="0.25">
      <c r="A468" s="2">
        <v>60</v>
      </c>
      <c r="B468" s="2" t="s">
        <v>8</v>
      </c>
      <c r="C468" s="2">
        <v>28.7</v>
      </c>
      <c r="D468" s="2">
        <v>1</v>
      </c>
      <c r="E468" s="2" t="s">
        <v>12</v>
      </c>
      <c r="F468" s="2" t="s">
        <v>21</v>
      </c>
      <c r="G468" s="2">
        <v>4330.5001969029327</v>
      </c>
      <c r="H468" s="2">
        <v>4124.285901812319</v>
      </c>
      <c r="I468" s="2">
        <v>0</v>
      </c>
      <c r="J468" s="2">
        <v>1</v>
      </c>
    </row>
    <row r="469" spans="1:10" x14ac:dyDescent="0.25">
      <c r="A469" s="2">
        <v>56</v>
      </c>
      <c r="B469" s="2" t="s">
        <v>8</v>
      </c>
      <c r="C469" s="2">
        <v>33.799999999999997</v>
      </c>
      <c r="D469" s="2">
        <v>2</v>
      </c>
      <c r="E469" s="2" t="s">
        <v>12</v>
      </c>
      <c r="F469" s="2" t="s">
        <v>20</v>
      </c>
      <c r="G469" s="2">
        <v>2730.5749782803341</v>
      </c>
      <c r="H469" s="2">
        <v>3640.7666377071123</v>
      </c>
      <c r="I469" s="2">
        <v>0</v>
      </c>
      <c r="J469" s="2">
        <v>3</v>
      </c>
    </row>
    <row r="470" spans="1:10" x14ac:dyDescent="0.25">
      <c r="A470" s="2">
        <v>28</v>
      </c>
      <c r="B470" s="2" t="s">
        <v>8</v>
      </c>
      <c r="C470" s="2">
        <v>22.6</v>
      </c>
      <c r="D470" s="2">
        <v>1</v>
      </c>
      <c r="E470" s="2" t="s">
        <v>12</v>
      </c>
      <c r="F470" s="2" t="s">
        <v>15</v>
      </c>
      <c r="G470" s="2">
        <v>2046.3675055586077</v>
      </c>
      <c r="H470" s="2">
        <v>2407.4911830101278</v>
      </c>
      <c r="I470" s="2">
        <v>0</v>
      </c>
      <c r="J470" s="2">
        <v>0</v>
      </c>
    </row>
    <row r="471" spans="1:10" x14ac:dyDescent="0.25">
      <c r="A471" s="2">
        <v>18</v>
      </c>
      <c r="B471" s="2" t="s">
        <v>8</v>
      </c>
      <c r="C471" s="2">
        <v>22.7</v>
      </c>
      <c r="D471" s="2">
        <v>1</v>
      </c>
      <c r="E471" s="2" t="s">
        <v>12</v>
      </c>
      <c r="F471" s="2" t="s">
        <v>13</v>
      </c>
      <c r="G471" s="2">
        <v>1620.0607057762252</v>
      </c>
      <c r="H471" s="2">
        <v>1905.9537715014424</v>
      </c>
      <c r="I471" s="2">
        <v>0</v>
      </c>
      <c r="J471" s="2">
        <v>0</v>
      </c>
    </row>
    <row r="472" spans="1:10" x14ac:dyDescent="0.25">
      <c r="A472" s="2">
        <v>27</v>
      </c>
      <c r="B472" s="2" t="s">
        <v>11</v>
      </c>
      <c r="C472" s="2">
        <v>23</v>
      </c>
      <c r="D472" s="2">
        <v>0</v>
      </c>
      <c r="E472" s="2" t="s">
        <v>12</v>
      </c>
      <c r="F472" s="2" t="s">
        <v>13</v>
      </c>
      <c r="G472" s="2">
        <v>1995.5831081196404</v>
      </c>
      <c r="H472" s="2">
        <v>2347.7448330819307</v>
      </c>
      <c r="I472" s="2">
        <v>0</v>
      </c>
      <c r="J472" s="2">
        <v>0</v>
      </c>
    </row>
    <row r="473" spans="1:10" x14ac:dyDescent="0.25">
      <c r="A473" s="2">
        <v>18</v>
      </c>
      <c r="B473" s="2" t="s">
        <v>8</v>
      </c>
      <c r="C473" s="2">
        <v>21.6</v>
      </c>
      <c r="D473" s="2">
        <v>0</v>
      </c>
      <c r="E473" s="2" t="s">
        <v>12</v>
      </c>
      <c r="F473" s="2" t="s">
        <v>15</v>
      </c>
      <c r="G473" s="2">
        <v>1677.0949862319594</v>
      </c>
      <c r="H473" s="2">
        <v>1973.0529249787764</v>
      </c>
      <c r="I473" s="2">
        <v>0</v>
      </c>
      <c r="J473" s="2">
        <v>0</v>
      </c>
    </row>
    <row r="474" spans="1:10" x14ac:dyDescent="0.25">
      <c r="A474" s="2">
        <v>19</v>
      </c>
      <c r="B474" s="2" t="s">
        <v>8</v>
      </c>
      <c r="C474" s="2">
        <v>21.8</v>
      </c>
      <c r="D474" s="2">
        <v>0</v>
      </c>
      <c r="E474" s="2" t="s">
        <v>12</v>
      </c>
      <c r="F474" s="2" t="s">
        <v>21</v>
      </c>
      <c r="G474" s="2">
        <v>1723.7044105316518</v>
      </c>
      <c r="H474" s="2">
        <v>2027.8875418019441</v>
      </c>
      <c r="I474" s="2">
        <v>0</v>
      </c>
      <c r="J474" s="2">
        <v>0</v>
      </c>
    </row>
    <row r="475" spans="1:10" x14ac:dyDescent="0.25">
      <c r="A475" s="2">
        <v>47</v>
      </c>
      <c r="B475" s="2" t="s">
        <v>8</v>
      </c>
      <c r="C475" s="2">
        <v>33.299999999999997</v>
      </c>
      <c r="D475" s="2">
        <v>0</v>
      </c>
      <c r="E475" s="2" t="s">
        <v>12</v>
      </c>
      <c r="F475" s="2" t="s">
        <v>15</v>
      </c>
      <c r="G475" s="2">
        <v>5747.7600741677916</v>
      </c>
      <c r="H475" s="2">
        <v>5474.0572134931363</v>
      </c>
      <c r="I475" s="2">
        <v>0</v>
      </c>
      <c r="J475" s="2">
        <v>1</v>
      </c>
    </row>
    <row r="476" spans="1:10" x14ac:dyDescent="0.25">
      <c r="A476" s="2">
        <v>54</v>
      </c>
      <c r="B476" s="2" t="s">
        <v>11</v>
      </c>
      <c r="C476" s="2">
        <v>25.1</v>
      </c>
      <c r="D476" s="2">
        <v>3</v>
      </c>
      <c r="E476" s="2" t="s">
        <v>9</v>
      </c>
      <c r="F476" s="2" t="s">
        <v>21</v>
      </c>
      <c r="G476" s="2">
        <v>2640.8233842609052</v>
      </c>
      <c r="H476" s="2">
        <v>3521.0978456812068</v>
      </c>
      <c r="I476" s="2">
        <v>1</v>
      </c>
      <c r="J476" s="2">
        <v>2</v>
      </c>
    </row>
    <row r="477" spans="1:10" x14ac:dyDescent="0.25">
      <c r="A477" s="2">
        <v>61</v>
      </c>
      <c r="B477" s="2" t="s">
        <v>11</v>
      </c>
      <c r="C477" s="2">
        <v>28.3</v>
      </c>
      <c r="D477" s="2">
        <v>1</v>
      </c>
      <c r="E477" s="2" t="s">
        <v>9</v>
      </c>
      <c r="F477" s="2" t="s">
        <v>20</v>
      </c>
      <c r="G477" s="2">
        <v>4342.002675708467</v>
      </c>
      <c r="H477" s="2">
        <v>4135.2406435318744</v>
      </c>
      <c r="I477" s="2">
        <v>1</v>
      </c>
      <c r="J477" s="2">
        <v>2</v>
      </c>
    </row>
    <row r="478" spans="1:10" x14ac:dyDescent="0.25">
      <c r="A478" s="2">
        <v>24</v>
      </c>
      <c r="B478" s="2" t="s">
        <v>11</v>
      </c>
      <c r="C478" s="2">
        <v>20.9</v>
      </c>
      <c r="D478" s="2">
        <v>0</v>
      </c>
      <c r="E478" s="2" t="s">
        <v>9</v>
      </c>
      <c r="F478" s="2" t="s">
        <v>15</v>
      </c>
      <c r="G478" s="2">
        <v>1343.2221568282862</v>
      </c>
      <c r="H478" s="2">
        <v>1580.2613609744549</v>
      </c>
      <c r="I478" s="2">
        <v>1</v>
      </c>
      <c r="J478" s="2">
        <v>2</v>
      </c>
    </row>
    <row r="479" spans="1:10" x14ac:dyDescent="0.25">
      <c r="A479" s="2">
        <v>25</v>
      </c>
      <c r="B479" s="2" t="s">
        <v>11</v>
      </c>
      <c r="C479" s="2">
        <v>22.7</v>
      </c>
      <c r="D479" s="2">
        <v>0</v>
      </c>
      <c r="E479" s="2" t="s">
        <v>12</v>
      </c>
      <c r="F479" s="2" t="s">
        <v>20</v>
      </c>
      <c r="G479" s="2">
        <v>2634.8842118422685</v>
      </c>
      <c r="H479" s="2">
        <v>3099.8637786379636</v>
      </c>
      <c r="I479" s="2">
        <v>0</v>
      </c>
      <c r="J479" s="2">
        <v>0</v>
      </c>
    </row>
    <row r="480" spans="1:10" x14ac:dyDescent="0.25">
      <c r="A480" s="2">
        <v>21</v>
      </c>
      <c r="B480" s="2" t="s">
        <v>11</v>
      </c>
      <c r="C480" s="2">
        <v>22.4</v>
      </c>
      <c r="D480" s="2">
        <v>0</v>
      </c>
      <c r="E480" s="2" t="s">
        <v>12</v>
      </c>
      <c r="F480" s="2" t="s">
        <v>13</v>
      </c>
      <c r="G480" s="2">
        <v>1442.3069651788564</v>
      </c>
      <c r="H480" s="2">
        <v>1696.8317237398321</v>
      </c>
      <c r="I480" s="2">
        <v>0</v>
      </c>
      <c r="J480" s="2">
        <v>0</v>
      </c>
    </row>
    <row r="481" spans="1:10" x14ac:dyDescent="0.25">
      <c r="A481" s="2">
        <v>23</v>
      </c>
      <c r="B481" s="2" t="s">
        <v>11</v>
      </c>
      <c r="C481" s="2">
        <v>23.9</v>
      </c>
      <c r="D481" s="2">
        <v>0</v>
      </c>
      <c r="E481" s="2" t="s">
        <v>12</v>
      </c>
      <c r="F481" s="2" t="s">
        <v>13</v>
      </c>
      <c r="G481" s="2">
        <v>1886.1531950425892</v>
      </c>
      <c r="H481" s="2">
        <v>2219.003758873635</v>
      </c>
      <c r="I481" s="2">
        <v>0</v>
      </c>
      <c r="J481" s="2">
        <v>0</v>
      </c>
    </row>
    <row r="482" spans="1:10" x14ac:dyDescent="0.25">
      <c r="A482" s="2">
        <v>63</v>
      </c>
      <c r="B482" s="2" t="s">
        <v>11</v>
      </c>
      <c r="C482" s="2">
        <v>41.3</v>
      </c>
      <c r="D482" s="2">
        <v>3</v>
      </c>
      <c r="E482" s="2" t="s">
        <v>12</v>
      </c>
      <c r="F482" s="2" t="s">
        <v>20</v>
      </c>
      <c r="G482" s="2">
        <v>2932.1508109545084</v>
      </c>
      <c r="H482" s="2">
        <v>3909.5344146060111</v>
      </c>
      <c r="I482" s="2">
        <v>0</v>
      </c>
      <c r="J482" s="2">
        <v>3</v>
      </c>
    </row>
    <row r="483" spans="1:10" x14ac:dyDescent="0.25">
      <c r="A483" s="2">
        <v>49</v>
      </c>
      <c r="B483" s="2" t="s">
        <v>11</v>
      </c>
      <c r="C483" s="2">
        <v>37.5</v>
      </c>
      <c r="D483" s="2">
        <v>2</v>
      </c>
      <c r="E483" s="2" t="s">
        <v>12</v>
      </c>
      <c r="F483" s="2" t="s">
        <v>13</v>
      </c>
      <c r="G483" s="2">
        <v>2393.9274972844137</v>
      </c>
      <c r="H483" s="2">
        <v>3191.9033297125516</v>
      </c>
      <c r="I483" s="2">
        <v>0</v>
      </c>
      <c r="J483" s="2">
        <v>3</v>
      </c>
    </row>
    <row r="484" spans="1:10" x14ac:dyDescent="0.25">
      <c r="A484" s="2">
        <v>18</v>
      </c>
      <c r="B484" s="2" t="s">
        <v>8</v>
      </c>
      <c r="C484" s="2">
        <v>24.8</v>
      </c>
      <c r="D484" s="2">
        <v>0</v>
      </c>
      <c r="E484" s="2" t="s">
        <v>12</v>
      </c>
      <c r="F484" s="2" t="s">
        <v>13</v>
      </c>
      <c r="G484" s="2">
        <v>1738.4816856374305</v>
      </c>
      <c r="H484" s="2">
        <v>2045.2725713381544</v>
      </c>
      <c r="I484" s="2">
        <v>0</v>
      </c>
      <c r="J484" s="2">
        <v>0</v>
      </c>
    </row>
    <row r="485" spans="1:10" x14ac:dyDescent="0.25">
      <c r="A485" s="2">
        <v>51</v>
      </c>
      <c r="B485" s="2" t="s">
        <v>8</v>
      </c>
      <c r="C485" s="2">
        <v>39.5</v>
      </c>
      <c r="D485" s="2">
        <v>1</v>
      </c>
      <c r="E485" s="2" t="s">
        <v>12</v>
      </c>
      <c r="F485" s="2" t="s">
        <v>21</v>
      </c>
      <c r="G485" s="2">
        <v>5590.577142910417</v>
      </c>
      <c r="H485" s="2">
        <v>5324.3591837242075</v>
      </c>
      <c r="I485" s="2">
        <v>0</v>
      </c>
      <c r="J485" s="2">
        <v>1</v>
      </c>
    </row>
    <row r="486" spans="1:10" x14ac:dyDescent="0.25">
      <c r="A486" s="2">
        <v>48</v>
      </c>
      <c r="B486" s="2" t="s">
        <v>11</v>
      </c>
      <c r="C486" s="2">
        <v>34.299999999999997</v>
      </c>
      <c r="D486" s="2">
        <v>3</v>
      </c>
      <c r="E486" s="2" t="s">
        <v>12</v>
      </c>
      <c r="F486" s="2" t="s">
        <v>21</v>
      </c>
      <c r="G486" s="2">
        <v>1622.1467095457037</v>
      </c>
      <c r="H486" s="2">
        <v>2162.8622793942718</v>
      </c>
      <c r="I486" s="2">
        <v>0</v>
      </c>
      <c r="J486" s="2">
        <v>3</v>
      </c>
    </row>
    <row r="487" spans="1:10" x14ac:dyDescent="0.25">
      <c r="A487" s="2">
        <v>31</v>
      </c>
      <c r="B487" s="2" t="s">
        <v>8</v>
      </c>
      <c r="C487" s="2">
        <v>22.2</v>
      </c>
      <c r="D487" s="2">
        <v>0</v>
      </c>
      <c r="E487" s="2" t="s">
        <v>12</v>
      </c>
      <c r="F487" s="2" t="s">
        <v>15</v>
      </c>
      <c r="G487" s="2">
        <v>1383.3499096920489</v>
      </c>
      <c r="H487" s="2">
        <v>1627.4704819906465</v>
      </c>
      <c r="I487" s="2">
        <v>0</v>
      </c>
      <c r="J487" s="2">
        <v>0</v>
      </c>
    </row>
    <row r="488" spans="1:10" x14ac:dyDescent="0.25">
      <c r="A488" s="2">
        <v>54</v>
      </c>
      <c r="B488" s="2" t="s">
        <v>8</v>
      </c>
      <c r="C488" s="2">
        <v>21.5</v>
      </c>
      <c r="D488" s="2">
        <v>3</v>
      </c>
      <c r="E488" s="2" t="s">
        <v>12</v>
      </c>
      <c r="F488" s="2" t="s">
        <v>20</v>
      </c>
      <c r="G488" s="2">
        <v>1388.8965006997869</v>
      </c>
      <c r="H488" s="2">
        <v>1851.8620009330493</v>
      </c>
      <c r="I488" s="2">
        <v>0</v>
      </c>
      <c r="J488" s="2">
        <v>3</v>
      </c>
    </row>
    <row r="489" spans="1:10" x14ac:dyDescent="0.25">
      <c r="A489" s="2">
        <v>19</v>
      </c>
      <c r="B489" s="2" t="s">
        <v>11</v>
      </c>
      <c r="C489" s="2">
        <v>24</v>
      </c>
      <c r="D489" s="2">
        <v>0</v>
      </c>
      <c r="E489" s="2" t="s">
        <v>12</v>
      </c>
      <c r="F489" s="2" t="s">
        <v>21</v>
      </c>
      <c r="G489" s="2">
        <v>1796.1185114739883</v>
      </c>
      <c r="H489" s="2">
        <v>2113.0806017341047</v>
      </c>
      <c r="I489" s="2">
        <v>0</v>
      </c>
      <c r="J489" s="2">
        <v>0</v>
      </c>
    </row>
    <row r="490" spans="1:10" x14ac:dyDescent="0.25">
      <c r="A490" s="2">
        <v>44</v>
      </c>
      <c r="B490" s="2" t="s">
        <v>8</v>
      </c>
      <c r="C490" s="2">
        <v>38.1</v>
      </c>
      <c r="D490" s="2">
        <v>0</v>
      </c>
      <c r="E490" s="2" t="s">
        <v>9</v>
      </c>
      <c r="F490" s="2" t="s">
        <v>13</v>
      </c>
      <c r="G490" s="2">
        <v>4002.1368845254865</v>
      </c>
      <c r="H490" s="2">
        <v>3811.5589376433218</v>
      </c>
      <c r="I490" s="2">
        <v>1</v>
      </c>
      <c r="J490" s="2">
        <v>2</v>
      </c>
    </row>
    <row r="491" spans="1:10" x14ac:dyDescent="0.25">
      <c r="A491" s="2">
        <v>53</v>
      </c>
      <c r="B491" s="2" t="s">
        <v>11</v>
      </c>
      <c r="C491" s="2">
        <v>31.2</v>
      </c>
      <c r="D491" s="2">
        <v>1</v>
      </c>
      <c r="E491" s="2" t="s">
        <v>12</v>
      </c>
      <c r="F491" s="2" t="s">
        <v>20</v>
      </c>
      <c r="G491" s="2">
        <v>4097.521764009537</v>
      </c>
      <c r="H491" s="2">
        <v>3902.4016800090844</v>
      </c>
      <c r="I491" s="2">
        <v>0</v>
      </c>
      <c r="J491" s="2">
        <v>1</v>
      </c>
    </row>
    <row r="492" spans="1:10" x14ac:dyDescent="0.25">
      <c r="A492" s="2">
        <v>19</v>
      </c>
      <c r="B492" s="2" t="s">
        <v>8</v>
      </c>
      <c r="C492" s="2">
        <v>23.1</v>
      </c>
      <c r="D492" s="2">
        <v>0</v>
      </c>
      <c r="E492" s="2" t="s">
        <v>12</v>
      </c>
      <c r="F492" s="2" t="s">
        <v>21</v>
      </c>
      <c r="G492" s="2">
        <v>1584.1220626450724</v>
      </c>
      <c r="H492" s="2">
        <v>1863.6730148765566</v>
      </c>
      <c r="I492" s="2">
        <v>0</v>
      </c>
      <c r="J492" s="2">
        <v>0</v>
      </c>
    </row>
    <row r="493" spans="1:10" x14ac:dyDescent="0.25">
      <c r="A493" s="2">
        <v>61</v>
      </c>
      <c r="B493" s="2" t="s">
        <v>8</v>
      </c>
      <c r="C493" s="2">
        <v>25.1</v>
      </c>
      <c r="D493" s="2">
        <v>0</v>
      </c>
      <c r="E493" s="2" t="s">
        <v>12</v>
      </c>
      <c r="F493" s="2" t="s">
        <v>13</v>
      </c>
      <c r="G493" s="2">
        <v>4387.6699702227552</v>
      </c>
      <c r="H493" s="2">
        <v>4178.7333049740537</v>
      </c>
      <c r="I493" s="2">
        <v>0</v>
      </c>
      <c r="J493" s="2">
        <v>1</v>
      </c>
    </row>
    <row r="494" spans="1:10" x14ac:dyDescent="0.25">
      <c r="A494" s="2">
        <v>18</v>
      </c>
      <c r="B494" s="2" t="s">
        <v>8</v>
      </c>
      <c r="C494" s="2">
        <v>23.9</v>
      </c>
      <c r="D494" s="2">
        <v>0</v>
      </c>
      <c r="E494" s="2" t="s">
        <v>12</v>
      </c>
      <c r="F494" s="2" t="s">
        <v>15</v>
      </c>
      <c r="G494" s="2">
        <v>1989.9991666581186</v>
      </c>
      <c r="H494" s="2">
        <v>2341.1754901860222</v>
      </c>
      <c r="I494" s="2">
        <v>0</v>
      </c>
      <c r="J494" s="2">
        <v>0</v>
      </c>
    </row>
    <row r="495" spans="1:10" x14ac:dyDescent="0.25">
      <c r="A495" s="2">
        <v>61</v>
      </c>
      <c r="B495" s="2" t="s">
        <v>11</v>
      </c>
      <c r="C495" s="2">
        <v>43.4</v>
      </c>
      <c r="D495" s="2">
        <v>0</v>
      </c>
      <c r="E495" s="2" t="s">
        <v>12</v>
      </c>
      <c r="F495" s="2" t="s">
        <v>21</v>
      </c>
      <c r="G495" s="2">
        <v>5310.1371469238056</v>
      </c>
      <c r="H495" s="2">
        <v>5057.2734732607696</v>
      </c>
      <c r="I495" s="2">
        <v>0</v>
      </c>
      <c r="J495" s="2">
        <v>1</v>
      </c>
    </row>
    <row r="496" spans="1:10" x14ac:dyDescent="0.25">
      <c r="A496" s="2">
        <v>21</v>
      </c>
      <c r="B496" s="2" t="s">
        <v>11</v>
      </c>
      <c r="C496" s="2">
        <v>25.7</v>
      </c>
      <c r="D496" s="2">
        <v>4</v>
      </c>
      <c r="E496" s="2" t="s">
        <v>9</v>
      </c>
      <c r="F496" s="2" t="s">
        <v>21</v>
      </c>
      <c r="G496" s="2">
        <v>1745.1709513499152</v>
      </c>
      <c r="H496" s="2">
        <v>2326.8946017998869</v>
      </c>
      <c r="I496" s="2">
        <v>1</v>
      </c>
      <c r="J496" s="2">
        <v>2</v>
      </c>
    </row>
    <row r="497" spans="1:10" x14ac:dyDescent="0.25">
      <c r="A497" s="2">
        <v>20</v>
      </c>
      <c r="B497" s="2" t="s">
        <v>11</v>
      </c>
      <c r="C497" s="2">
        <v>22.3</v>
      </c>
      <c r="D497" s="2">
        <v>0</v>
      </c>
      <c r="E497" s="2" t="s">
        <v>12</v>
      </c>
      <c r="F497" s="2" t="s">
        <v>15</v>
      </c>
      <c r="G497" s="2">
        <v>1888.2559479512292</v>
      </c>
      <c r="H497" s="2">
        <v>2221.4775858249768</v>
      </c>
      <c r="I497" s="2">
        <v>0</v>
      </c>
      <c r="J497" s="2">
        <v>0</v>
      </c>
    </row>
    <row r="498" spans="1:10" x14ac:dyDescent="0.25">
      <c r="A498" s="2">
        <v>31</v>
      </c>
      <c r="B498" s="2" t="s">
        <v>8</v>
      </c>
      <c r="C498" s="2">
        <v>23.6</v>
      </c>
      <c r="D498" s="2">
        <v>2</v>
      </c>
      <c r="E498" s="2" t="s">
        <v>12</v>
      </c>
      <c r="F498" s="2" t="s">
        <v>21</v>
      </c>
      <c r="G498" s="2">
        <v>1786.0312721691275</v>
      </c>
      <c r="H498" s="2">
        <v>2101.2132613754447</v>
      </c>
      <c r="I498" s="2">
        <v>0</v>
      </c>
      <c r="J498" s="2">
        <v>0</v>
      </c>
    </row>
    <row r="499" spans="1:10" x14ac:dyDescent="0.25">
      <c r="A499" s="2">
        <v>45</v>
      </c>
      <c r="B499" s="2" t="s">
        <v>11</v>
      </c>
      <c r="C499" s="2">
        <v>28.7</v>
      </c>
      <c r="D499" s="2">
        <v>2</v>
      </c>
      <c r="E499" s="2" t="s">
        <v>12</v>
      </c>
      <c r="F499" s="2" t="s">
        <v>21</v>
      </c>
      <c r="G499" s="2">
        <v>2245.0808398913714</v>
      </c>
      <c r="H499" s="2">
        <v>2993.4411198551616</v>
      </c>
      <c r="I499" s="2">
        <v>0</v>
      </c>
      <c r="J499" s="2">
        <v>3</v>
      </c>
    </row>
    <row r="500" spans="1:10" x14ac:dyDescent="0.25">
      <c r="A500" s="2">
        <v>44</v>
      </c>
      <c r="B500" s="2" t="s">
        <v>8</v>
      </c>
      <c r="C500" s="2">
        <v>24</v>
      </c>
      <c r="D500" s="2">
        <v>2</v>
      </c>
      <c r="E500" s="2" t="s">
        <v>12</v>
      </c>
      <c r="F500" s="2" t="s">
        <v>13</v>
      </c>
      <c r="G500" s="2">
        <v>1227.2931857917197</v>
      </c>
      <c r="H500" s="2">
        <v>1636.3909143889596</v>
      </c>
      <c r="I500" s="2">
        <v>0</v>
      </c>
      <c r="J500" s="2">
        <v>3</v>
      </c>
    </row>
    <row r="501" spans="1:10" x14ac:dyDescent="0.25">
      <c r="A501" s="2">
        <v>62</v>
      </c>
      <c r="B501" s="2" t="s">
        <v>8</v>
      </c>
      <c r="C501" s="2">
        <v>39.200000000000003</v>
      </c>
      <c r="D501" s="2">
        <v>0</v>
      </c>
      <c r="E501" s="2" t="s">
        <v>12</v>
      </c>
      <c r="F501" s="2" t="s">
        <v>21</v>
      </c>
      <c r="G501" s="2">
        <v>6168.2013606418204</v>
      </c>
      <c r="H501" s="2">
        <v>5874.4774863255443</v>
      </c>
      <c r="I501" s="2">
        <v>0</v>
      </c>
      <c r="J501" s="2">
        <v>1</v>
      </c>
    </row>
    <row r="502" spans="1:10" x14ac:dyDescent="0.25">
      <c r="A502" s="2">
        <v>29</v>
      </c>
      <c r="B502" s="2" t="s">
        <v>11</v>
      </c>
      <c r="C502" s="2">
        <v>20.100000000000001</v>
      </c>
      <c r="D502" s="2">
        <v>0</v>
      </c>
      <c r="E502" s="2" t="s">
        <v>9</v>
      </c>
      <c r="F502" s="2" t="s">
        <v>21</v>
      </c>
      <c r="G502" s="2">
        <v>1337.9578212217898</v>
      </c>
      <c r="H502" s="2">
        <v>1574.0680249668119</v>
      </c>
      <c r="I502" s="2">
        <v>1</v>
      </c>
      <c r="J502" s="2">
        <v>2</v>
      </c>
    </row>
    <row r="503" spans="1:10" x14ac:dyDescent="0.25">
      <c r="A503" s="2">
        <v>43</v>
      </c>
      <c r="B503" s="2" t="s">
        <v>11</v>
      </c>
      <c r="C503" s="2">
        <v>26</v>
      </c>
      <c r="D503" s="2">
        <v>0</v>
      </c>
      <c r="E503" s="2" t="s">
        <v>12</v>
      </c>
      <c r="F503" s="2" t="s">
        <v>15</v>
      </c>
      <c r="G503" s="2">
        <v>3756.7167781780759</v>
      </c>
      <c r="H503" s="2">
        <v>3577.8255030267405</v>
      </c>
      <c r="I503" s="2">
        <v>0</v>
      </c>
      <c r="J503" s="2">
        <v>1</v>
      </c>
    </row>
    <row r="504" spans="1:10" x14ac:dyDescent="0.25">
      <c r="A504" s="2">
        <v>51</v>
      </c>
      <c r="B504" s="2" t="s">
        <v>11</v>
      </c>
      <c r="C504" s="2">
        <v>23.2</v>
      </c>
      <c r="D504" s="2">
        <v>1</v>
      </c>
      <c r="E504" s="2" t="s">
        <v>9</v>
      </c>
      <c r="F504" s="2" t="s">
        <v>13</v>
      </c>
      <c r="G504" s="2">
        <v>5631.8176221398426</v>
      </c>
      <c r="H504" s="2">
        <v>5363.6358306093753</v>
      </c>
      <c r="I504" s="2">
        <v>1</v>
      </c>
      <c r="J504" s="2">
        <v>2</v>
      </c>
    </row>
    <row r="505" spans="1:10" x14ac:dyDescent="0.25">
      <c r="A505" s="2">
        <v>19</v>
      </c>
      <c r="B505" s="2" t="s">
        <v>11</v>
      </c>
      <c r="C505" s="2">
        <v>22.6</v>
      </c>
      <c r="D505" s="2">
        <v>0</v>
      </c>
      <c r="E505" s="2" t="s">
        <v>9</v>
      </c>
      <c r="F505" s="2" t="s">
        <v>13</v>
      </c>
      <c r="G505" s="2">
        <v>1936.4079371319831</v>
      </c>
      <c r="H505" s="2">
        <v>2278.1269848611569</v>
      </c>
      <c r="I505" s="2">
        <v>1</v>
      </c>
      <c r="J505" s="2">
        <v>2</v>
      </c>
    </row>
    <row r="506" spans="1:10" x14ac:dyDescent="0.25">
      <c r="A506" s="2">
        <v>38</v>
      </c>
      <c r="B506" s="2" t="s">
        <v>8</v>
      </c>
      <c r="C506" s="2">
        <v>21.6</v>
      </c>
      <c r="D506" s="2">
        <v>1</v>
      </c>
      <c r="E506" s="2" t="s">
        <v>12</v>
      </c>
      <c r="F506" s="2" t="s">
        <v>13</v>
      </c>
      <c r="G506" s="2">
        <v>1768.4746985156994</v>
      </c>
      <c r="H506" s="2">
        <v>2080.5584688419999</v>
      </c>
      <c r="I506" s="2">
        <v>0</v>
      </c>
      <c r="J506" s="2">
        <v>0</v>
      </c>
    </row>
    <row r="507" spans="1:10" x14ac:dyDescent="0.25">
      <c r="A507" s="2">
        <v>37</v>
      </c>
      <c r="B507" s="2" t="s">
        <v>11</v>
      </c>
      <c r="C507" s="2">
        <v>30.9</v>
      </c>
      <c r="D507" s="2">
        <v>3</v>
      </c>
      <c r="E507" s="2" t="s">
        <v>12</v>
      </c>
      <c r="F507" s="2" t="s">
        <v>20</v>
      </c>
      <c r="G507" s="2">
        <v>2682.6525386248545</v>
      </c>
      <c r="H507" s="2">
        <v>3576.8700514998059</v>
      </c>
      <c r="I507" s="2">
        <v>0</v>
      </c>
      <c r="J507" s="2">
        <v>3</v>
      </c>
    </row>
    <row r="508" spans="1:10" x14ac:dyDescent="0.25">
      <c r="A508" s="2">
        <v>22</v>
      </c>
      <c r="B508" s="2" t="s">
        <v>11</v>
      </c>
      <c r="C508" s="2">
        <v>20.2</v>
      </c>
      <c r="D508" s="2">
        <v>1</v>
      </c>
      <c r="E508" s="2" t="s">
        <v>12</v>
      </c>
      <c r="F508" s="2" t="s">
        <v>20</v>
      </c>
      <c r="G508" s="2">
        <v>1536.0162378935877</v>
      </c>
      <c r="H508" s="2">
        <v>1807.0779269336335</v>
      </c>
      <c r="I508" s="2">
        <v>0</v>
      </c>
      <c r="J508" s="2">
        <v>0</v>
      </c>
    </row>
    <row r="509" spans="1:10" x14ac:dyDescent="0.25">
      <c r="A509" s="2">
        <v>21</v>
      </c>
      <c r="B509" s="2" t="s">
        <v>11</v>
      </c>
      <c r="C509" s="2">
        <v>22.5</v>
      </c>
      <c r="D509" s="2">
        <v>2</v>
      </c>
      <c r="E509" s="2" t="s">
        <v>12</v>
      </c>
      <c r="F509" s="2" t="s">
        <v>20</v>
      </c>
      <c r="G509" s="2">
        <v>2329.1636619968713</v>
      </c>
      <c r="H509" s="2">
        <v>2740.1925435257313</v>
      </c>
      <c r="I509" s="2">
        <v>0</v>
      </c>
      <c r="J509" s="2">
        <v>0</v>
      </c>
    </row>
    <row r="510" spans="1:10" x14ac:dyDescent="0.25">
      <c r="A510" s="2">
        <v>24</v>
      </c>
      <c r="B510" s="2" t="s">
        <v>8</v>
      </c>
      <c r="C510" s="2">
        <v>20.2</v>
      </c>
      <c r="D510" s="2">
        <v>0</v>
      </c>
      <c r="E510" s="2" t="s">
        <v>12</v>
      </c>
      <c r="F510" s="2" t="s">
        <v>15</v>
      </c>
      <c r="G510" s="2">
        <v>1943.7571164739311</v>
      </c>
      <c r="H510" s="2">
        <v>2286.7730782046256</v>
      </c>
      <c r="I510" s="2">
        <v>0</v>
      </c>
      <c r="J510" s="2">
        <v>0</v>
      </c>
    </row>
    <row r="511" spans="1:10" x14ac:dyDescent="0.25">
      <c r="A511" s="2">
        <v>57</v>
      </c>
      <c r="B511" s="2" t="s">
        <v>8</v>
      </c>
      <c r="C511" s="2">
        <v>28.7</v>
      </c>
      <c r="D511" s="2">
        <v>0</v>
      </c>
      <c r="E511" s="2" t="s">
        <v>12</v>
      </c>
      <c r="F511" s="2" t="s">
        <v>21</v>
      </c>
      <c r="G511" s="2">
        <v>5025.5580692983685</v>
      </c>
      <c r="H511" s="2">
        <v>4786.2457802841618</v>
      </c>
      <c r="I511" s="2">
        <v>0</v>
      </c>
      <c r="J511" s="2">
        <v>1</v>
      </c>
    </row>
    <row r="512" spans="1:10" x14ac:dyDescent="0.25">
      <c r="A512" s="2">
        <v>56</v>
      </c>
      <c r="B512" s="2" t="s">
        <v>11</v>
      </c>
      <c r="C512" s="2">
        <v>32.1</v>
      </c>
      <c r="D512" s="2">
        <v>1</v>
      </c>
      <c r="E512" s="2" t="s">
        <v>12</v>
      </c>
      <c r="F512" s="2" t="s">
        <v>15</v>
      </c>
      <c r="G512" s="2">
        <v>6063.4353786418051</v>
      </c>
      <c r="H512" s="2">
        <v>5774.7003606112448</v>
      </c>
      <c r="I512" s="2">
        <v>0</v>
      </c>
      <c r="J512" s="2">
        <v>1</v>
      </c>
    </row>
    <row r="513" spans="1:10" x14ac:dyDescent="0.25">
      <c r="A513" s="2">
        <v>27</v>
      </c>
      <c r="B513" s="2" t="s">
        <v>11</v>
      </c>
      <c r="C513" s="2">
        <v>21.2</v>
      </c>
      <c r="D513" s="2">
        <v>0</v>
      </c>
      <c r="E513" s="2" t="s">
        <v>12</v>
      </c>
      <c r="F513" s="2" t="s">
        <v>13</v>
      </c>
      <c r="G513" s="2">
        <v>1432.9797377299371</v>
      </c>
      <c r="H513" s="2">
        <v>1685.8585149763976</v>
      </c>
      <c r="I513" s="2">
        <v>0</v>
      </c>
      <c r="J513" s="2">
        <v>0</v>
      </c>
    </row>
    <row r="514" spans="1:10" x14ac:dyDescent="0.25">
      <c r="A514" s="2">
        <v>51</v>
      </c>
      <c r="B514" s="2" t="s">
        <v>11</v>
      </c>
      <c r="C514" s="2">
        <v>22.4</v>
      </c>
      <c r="D514" s="2">
        <v>0</v>
      </c>
      <c r="E514" s="2" t="s">
        <v>12</v>
      </c>
      <c r="F514" s="2" t="s">
        <v>15</v>
      </c>
      <c r="G514" s="2">
        <v>5088.8506533933705</v>
      </c>
      <c r="H514" s="2">
        <v>4846.5244318032119</v>
      </c>
      <c r="I514" s="2">
        <v>0</v>
      </c>
      <c r="J514" s="2">
        <v>1</v>
      </c>
    </row>
    <row r="515" spans="1:10" x14ac:dyDescent="0.25">
      <c r="A515" s="2">
        <v>19</v>
      </c>
      <c r="B515" s="2" t="s">
        <v>11</v>
      </c>
      <c r="C515" s="2">
        <v>21.8</v>
      </c>
      <c r="D515" s="2">
        <v>0</v>
      </c>
      <c r="E515" s="2" t="s">
        <v>12</v>
      </c>
      <c r="F515" s="2" t="s">
        <v>21</v>
      </c>
      <c r="G515" s="2">
        <v>1479.2219071066434</v>
      </c>
      <c r="H515" s="2">
        <v>1740.2610671842872</v>
      </c>
      <c r="I515" s="2">
        <v>0</v>
      </c>
      <c r="J515" s="2">
        <v>0</v>
      </c>
    </row>
    <row r="516" spans="1:10" x14ac:dyDescent="0.25">
      <c r="A516" s="2">
        <v>39</v>
      </c>
      <c r="B516" s="2" t="s">
        <v>11</v>
      </c>
      <c r="C516" s="2">
        <v>21.6</v>
      </c>
      <c r="D516" s="2">
        <v>1</v>
      </c>
      <c r="E516" s="2" t="s">
        <v>9</v>
      </c>
      <c r="F516" s="2" t="s">
        <v>21</v>
      </c>
      <c r="G516" s="2">
        <v>1397.6273745838403</v>
      </c>
      <c r="H516" s="2">
        <v>1644.267499510401</v>
      </c>
      <c r="I516" s="2">
        <v>1</v>
      </c>
      <c r="J516" s="2">
        <v>2</v>
      </c>
    </row>
    <row r="517" spans="1:10" x14ac:dyDescent="0.25">
      <c r="A517" s="2">
        <v>58</v>
      </c>
      <c r="B517" s="2" t="s">
        <v>11</v>
      </c>
      <c r="C517" s="2">
        <v>35.700000000000003</v>
      </c>
      <c r="D517" s="2">
        <v>0</v>
      </c>
      <c r="E517" s="2" t="s">
        <v>12</v>
      </c>
      <c r="F517" s="2" t="s">
        <v>21</v>
      </c>
      <c r="G517" s="2">
        <v>5622.3306521329914</v>
      </c>
      <c r="H517" s="2">
        <v>5354.600621079042</v>
      </c>
      <c r="I517" s="2">
        <v>0</v>
      </c>
      <c r="J517" s="2">
        <v>1</v>
      </c>
    </row>
    <row r="518" spans="1:10" x14ac:dyDescent="0.25">
      <c r="A518" s="2">
        <v>20</v>
      </c>
      <c r="B518" s="2" t="s">
        <v>11</v>
      </c>
      <c r="C518" s="2">
        <v>25.3</v>
      </c>
      <c r="D518" s="2">
        <v>1</v>
      </c>
      <c r="E518" s="2" t="s">
        <v>12</v>
      </c>
      <c r="F518" s="2" t="s">
        <v>13</v>
      </c>
      <c r="G518" s="2">
        <v>2408.398053476044</v>
      </c>
      <c r="H518" s="2">
        <v>2833.4094746776991</v>
      </c>
      <c r="I518" s="2">
        <v>0</v>
      </c>
      <c r="J518" s="2">
        <v>0</v>
      </c>
    </row>
    <row r="519" spans="1:10" x14ac:dyDescent="0.25">
      <c r="A519" s="2">
        <v>45</v>
      </c>
      <c r="B519" s="2" t="s">
        <v>11</v>
      </c>
      <c r="C519" s="2">
        <v>30.5</v>
      </c>
      <c r="D519" s="2">
        <v>2</v>
      </c>
      <c r="E519" s="2" t="s">
        <v>12</v>
      </c>
      <c r="F519" s="2" t="s">
        <v>20</v>
      </c>
      <c r="G519" s="2">
        <v>1803.0635348309684</v>
      </c>
      <c r="H519" s="2">
        <v>2404.0847131079577</v>
      </c>
      <c r="I519" s="2">
        <v>0</v>
      </c>
      <c r="J519" s="2">
        <v>3</v>
      </c>
    </row>
    <row r="520" spans="1:10" x14ac:dyDescent="0.25">
      <c r="A520" s="2">
        <v>35</v>
      </c>
      <c r="B520" s="2" t="s">
        <v>8</v>
      </c>
      <c r="C520" s="2">
        <v>23.1</v>
      </c>
      <c r="D520" s="2">
        <v>1</v>
      </c>
      <c r="E520" s="2" t="s">
        <v>12</v>
      </c>
      <c r="F520" s="2" t="s">
        <v>21</v>
      </c>
      <c r="G520" s="2">
        <v>2487.1312699541559</v>
      </c>
      <c r="H520" s="2">
        <v>2926.0367881813609</v>
      </c>
      <c r="I520" s="2">
        <v>0</v>
      </c>
      <c r="J520" s="2">
        <v>0</v>
      </c>
    </row>
    <row r="521" spans="1:10" x14ac:dyDescent="0.25">
      <c r="A521" s="2">
        <v>31</v>
      </c>
      <c r="B521" s="2" t="s">
        <v>11</v>
      </c>
      <c r="C521" s="2">
        <v>24.5</v>
      </c>
      <c r="D521" s="2">
        <v>0</v>
      </c>
      <c r="E521" s="2" t="s">
        <v>12</v>
      </c>
      <c r="F521" s="2" t="s">
        <v>15</v>
      </c>
      <c r="G521" s="2">
        <v>1489.0638569890186</v>
      </c>
      <c r="H521" s="2">
        <v>1751.8398317517874</v>
      </c>
      <c r="I521" s="2">
        <v>0</v>
      </c>
      <c r="J521" s="2">
        <v>0</v>
      </c>
    </row>
    <row r="522" spans="1:10" x14ac:dyDescent="0.25">
      <c r="A522" s="2">
        <v>50</v>
      </c>
      <c r="B522" s="2" t="s">
        <v>8</v>
      </c>
      <c r="C522" s="2">
        <v>27.4</v>
      </c>
      <c r="D522" s="2">
        <v>0</v>
      </c>
      <c r="E522" s="2" t="s">
        <v>12</v>
      </c>
      <c r="F522" s="2" t="s">
        <v>15</v>
      </c>
      <c r="G522" s="2">
        <v>5469.0676480045749</v>
      </c>
      <c r="H522" s="2">
        <v>5208.6358552424535</v>
      </c>
      <c r="I522" s="2">
        <v>0</v>
      </c>
      <c r="J522" s="2">
        <v>1</v>
      </c>
    </row>
    <row r="523" spans="1:10" x14ac:dyDescent="0.25">
      <c r="A523" s="2">
        <v>32</v>
      </c>
      <c r="B523" s="2" t="s">
        <v>8</v>
      </c>
      <c r="C523" s="2">
        <v>24.1</v>
      </c>
      <c r="D523" s="2">
        <v>0</v>
      </c>
      <c r="E523" s="2" t="s">
        <v>12</v>
      </c>
      <c r="F523" s="2" t="s">
        <v>13</v>
      </c>
      <c r="G523" s="2">
        <v>1531.6509901579836</v>
      </c>
      <c r="H523" s="2">
        <v>1801.9423413623344</v>
      </c>
      <c r="I523" s="2">
        <v>0</v>
      </c>
      <c r="J523" s="2">
        <v>0</v>
      </c>
    </row>
    <row r="524" spans="1:10" x14ac:dyDescent="0.25">
      <c r="A524" s="2">
        <v>51</v>
      </c>
      <c r="B524" s="2" t="s">
        <v>8</v>
      </c>
      <c r="C524" s="2">
        <v>33.9</v>
      </c>
      <c r="D524" s="2">
        <v>0</v>
      </c>
      <c r="E524" s="2" t="s">
        <v>12</v>
      </c>
      <c r="F524" s="2" t="s">
        <v>15</v>
      </c>
      <c r="G524" s="2">
        <v>4887.1819086940086</v>
      </c>
      <c r="H524" s="2">
        <v>4654.4589606609625</v>
      </c>
      <c r="I524" s="2">
        <v>0</v>
      </c>
      <c r="J524" s="2">
        <v>1</v>
      </c>
    </row>
    <row r="525" spans="1:10" x14ac:dyDescent="0.25">
      <c r="A525" s="2">
        <v>38</v>
      </c>
      <c r="B525" s="2" t="s">
        <v>8</v>
      </c>
      <c r="C525" s="2">
        <v>37.700000000000003</v>
      </c>
      <c r="D525" s="2">
        <v>0</v>
      </c>
      <c r="E525" s="2" t="s">
        <v>12</v>
      </c>
      <c r="F525" s="2" t="s">
        <v>13</v>
      </c>
      <c r="G525" s="2">
        <v>4403.5336112441209</v>
      </c>
      <c r="H525" s="2">
        <v>4193.8415345182129</v>
      </c>
      <c r="I525" s="2">
        <v>0</v>
      </c>
      <c r="J525" s="2">
        <v>1</v>
      </c>
    </row>
    <row r="526" spans="1:10" x14ac:dyDescent="0.25">
      <c r="A526" s="2">
        <v>42</v>
      </c>
      <c r="B526" s="2" t="s">
        <v>11</v>
      </c>
      <c r="C526" s="2">
        <v>26.1</v>
      </c>
      <c r="D526" s="2">
        <v>1</v>
      </c>
      <c r="E526" s="2" t="s">
        <v>9</v>
      </c>
      <c r="F526" s="2" t="s">
        <v>13</v>
      </c>
      <c r="G526" s="2">
        <v>1924.9017004795855</v>
      </c>
      <c r="H526" s="2">
        <v>2264.5902358583367</v>
      </c>
      <c r="I526" s="2">
        <v>1</v>
      </c>
      <c r="J526" s="2">
        <v>2</v>
      </c>
    </row>
    <row r="527" spans="1:10" x14ac:dyDescent="0.25">
      <c r="A527" s="2">
        <v>18</v>
      </c>
      <c r="B527" s="2" t="s">
        <v>8</v>
      </c>
      <c r="C527" s="2">
        <v>21.5</v>
      </c>
      <c r="D527" s="2">
        <v>0</v>
      </c>
      <c r="E527" s="2" t="s">
        <v>12</v>
      </c>
      <c r="F527" s="2" t="s">
        <v>13</v>
      </c>
      <c r="G527" s="2">
        <v>1917.2382416386206</v>
      </c>
      <c r="H527" s="2">
        <v>2255.5744019277895</v>
      </c>
      <c r="I527" s="2">
        <v>0</v>
      </c>
      <c r="J527" s="2">
        <v>0</v>
      </c>
    </row>
    <row r="528" spans="1:10" x14ac:dyDescent="0.25">
      <c r="A528" s="2">
        <v>19</v>
      </c>
      <c r="B528" s="2" t="s">
        <v>8</v>
      </c>
      <c r="C528" s="2">
        <v>24.9</v>
      </c>
      <c r="D528" s="2">
        <v>2</v>
      </c>
      <c r="E528" s="2" t="s">
        <v>12</v>
      </c>
      <c r="F528" s="2" t="s">
        <v>20</v>
      </c>
      <c r="G528" s="2">
        <v>2368.0662929867731</v>
      </c>
      <c r="H528" s="2">
        <v>2785.9603446903216</v>
      </c>
      <c r="I528" s="2">
        <v>0</v>
      </c>
      <c r="J528" s="2">
        <v>0</v>
      </c>
    </row>
    <row r="529" spans="1:10" x14ac:dyDescent="0.25">
      <c r="A529" s="2">
        <v>51</v>
      </c>
      <c r="B529" s="2" t="s">
        <v>8</v>
      </c>
      <c r="C529" s="2">
        <v>25.8</v>
      </c>
      <c r="D529" s="2">
        <v>1</v>
      </c>
      <c r="E529" s="2" t="s">
        <v>12</v>
      </c>
      <c r="F529" s="2" t="s">
        <v>21</v>
      </c>
      <c r="G529" s="2">
        <v>4631.6930105639885</v>
      </c>
      <c r="H529" s="2">
        <v>4411.1362005371338</v>
      </c>
      <c r="I529" s="2">
        <v>0</v>
      </c>
      <c r="J529" s="2">
        <v>1</v>
      </c>
    </row>
    <row r="530" spans="1:10" x14ac:dyDescent="0.25">
      <c r="A530" s="2">
        <v>46</v>
      </c>
      <c r="B530" s="2" t="s">
        <v>11</v>
      </c>
      <c r="C530" s="2">
        <v>39.4</v>
      </c>
      <c r="D530" s="2">
        <v>1</v>
      </c>
      <c r="E530" s="2" t="s">
        <v>12</v>
      </c>
      <c r="F530" s="2" t="s">
        <v>15</v>
      </c>
      <c r="G530" s="2">
        <v>4879.3707775311568</v>
      </c>
      <c r="H530" s="2">
        <v>4647.0197881249123</v>
      </c>
      <c r="I530" s="2">
        <v>0</v>
      </c>
      <c r="J530" s="2">
        <v>1</v>
      </c>
    </row>
    <row r="531" spans="1:10" x14ac:dyDescent="0.25">
      <c r="A531" s="2">
        <v>18</v>
      </c>
      <c r="B531" s="2" t="s">
        <v>11</v>
      </c>
      <c r="C531" s="2">
        <v>21.2</v>
      </c>
      <c r="D531" s="2">
        <v>0</v>
      </c>
      <c r="E531" s="2" t="s">
        <v>12</v>
      </c>
      <c r="F531" s="2" t="s">
        <v>15</v>
      </c>
      <c r="G531" s="2">
        <v>1313.0553822931756</v>
      </c>
      <c r="H531" s="2">
        <v>1544.7710379919718</v>
      </c>
      <c r="I531" s="2">
        <v>0</v>
      </c>
      <c r="J531" s="2">
        <v>0</v>
      </c>
    </row>
    <row r="532" spans="1:10" x14ac:dyDescent="0.25">
      <c r="A532" s="2">
        <v>57</v>
      </c>
      <c r="B532" s="2" t="s">
        <v>11</v>
      </c>
      <c r="C532" s="2">
        <v>42.1</v>
      </c>
      <c r="D532" s="2">
        <v>1</v>
      </c>
      <c r="E532" s="2" t="s">
        <v>9</v>
      </c>
      <c r="F532" s="2" t="s">
        <v>13</v>
      </c>
      <c r="G532" s="2">
        <v>4731.6593000401826</v>
      </c>
      <c r="H532" s="2">
        <v>4506.3421905144605</v>
      </c>
      <c r="I532" s="2">
        <v>1</v>
      </c>
      <c r="J532" s="2">
        <v>2</v>
      </c>
    </row>
    <row r="533" spans="1:10" x14ac:dyDescent="0.25">
      <c r="A533" s="2">
        <v>62</v>
      </c>
      <c r="B533" s="2" t="s">
        <v>8</v>
      </c>
      <c r="C533" s="2">
        <v>31.7</v>
      </c>
      <c r="D533" s="2">
        <v>0</v>
      </c>
      <c r="E533" s="2" t="s">
        <v>12</v>
      </c>
      <c r="F533" s="2" t="s">
        <v>15</v>
      </c>
      <c r="G533" s="2">
        <v>5260.3042843775938</v>
      </c>
      <c r="H533" s="2">
        <v>5009.8136041691378</v>
      </c>
      <c r="I533" s="2">
        <v>0</v>
      </c>
      <c r="J533" s="2">
        <v>1</v>
      </c>
    </row>
    <row r="534" spans="1:10" x14ac:dyDescent="0.25">
      <c r="A534" s="2">
        <v>59</v>
      </c>
      <c r="B534" s="2" t="s">
        <v>11</v>
      </c>
      <c r="C534" s="2">
        <v>29.7</v>
      </c>
      <c r="D534" s="2">
        <v>2</v>
      </c>
      <c r="E534" s="2" t="s">
        <v>12</v>
      </c>
      <c r="F534" s="2" t="s">
        <v>13</v>
      </c>
      <c r="G534" s="2">
        <v>1298.8075552014959</v>
      </c>
      <c r="H534" s="2">
        <v>1731.7434069353278</v>
      </c>
      <c r="I534" s="2">
        <v>0</v>
      </c>
      <c r="J534" s="2">
        <v>3</v>
      </c>
    </row>
    <row r="535" spans="1:10" x14ac:dyDescent="0.25">
      <c r="A535" s="2">
        <v>37</v>
      </c>
      <c r="B535" s="2" t="s">
        <v>11</v>
      </c>
      <c r="C535" s="2">
        <v>36.200000000000003</v>
      </c>
      <c r="D535" s="2">
        <v>0</v>
      </c>
      <c r="E535" s="2" t="s">
        <v>12</v>
      </c>
      <c r="F535" s="2" t="s">
        <v>13</v>
      </c>
      <c r="G535" s="2">
        <v>4944.9609849017552</v>
      </c>
      <c r="H535" s="2">
        <v>4709.4866522873881</v>
      </c>
      <c r="I535" s="2">
        <v>0</v>
      </c>
      <c r="J535" s="2">
        <v>1</v>
      </c>
    </row>
    <row r="536" spans="1:10" x14ac:dyDescent="0.25">
      <c r="A536" s="2">
        <v>64</v>
      </c>
      <c r="B536" s="2" t="s">
        <v>11</v>
      </c>
      <c r="C536" s="2">
        <v>40.5</v>
      </c>
      <c r="D536" s="2">
        <v>0</v>
      </c>
      <c r="E536" s="2" t="s">
        <v>12</v>
      </c>
      <c r="F536" s="2" t="s">
        <v>13</v>
      </c>
      <c r="G536" s="2">
        <v>4068.1550629180911</v>
      </c>
      <c r="H536" s="2">
        <v>3874.4333932553263</v>
      </c>
      <c r="I536" s="2">
        <v>0</v>
      </c>
      <c r="J536" s="2">
        <v>1</v>
      </c>
    </row>
    <row r="537" spans="1:10" x14ac:dyDescent="0.25">
      <c r="A537" s="2">
        <v>38</v>
      </c>
      <c r="B537" s="2" t="s">
        <v>11</v>
      </c>
      <c r="C537" s="2">
        <v>24.3</v>
      </c>
      <c r="D537" s="2">
        <v>1</v>
      </c>
      <c r="E537" s="2" t="s">
        <v>12</v>
      </c>
      <c r="F537" s="2" t="s">
        <v>15</v>
      </c>
      <c r="G537" s="2">
        <v>2012.3569720725907</v>
      </c>
      <c r="H537" s="2">
        <v>2367.4787906736369</v>
      </c>
      <c r="I537" s="2">
        <v>0</v>
      </c>
      <c r="J537" s="2">
        <v>0</v>
      </c>
    </row>
    <row r="538" spans="1:10" x14ac:dyDescent="0.25">
      <c r="A538" s="2">
        <v>33</v>
      </c>
      <c r="B538" s="2" t="s">
        <v>8</v>
      </c>
      <c r="C538" s="2">
        <v>38.9</v>
      </c>
      <c r="D538" s="2">
        <v>3</v>
      </c>
      <c r="E538" s="2" t="s">
        <v>12</v>
      </c>
      <c r="F538" s="2" t="s">
        <v>21</v>
      </c>
      <c r="G538" s="2">
        <v>1462.912558334323</v>
      </c>
      <c r="H538" s="2">
        <v>1950.5500777790974</v>
      </c>
      <c r="I538" s="2">
        <v>0</v>
      </c>
      <c r="J538" s="2">
        <v>3</v>
      </c>
    </row>
    <row r="539" spans="1:10" x14ac:dyDescent="0.25">
      <c r="A539" s="2">
        <v>46</v>
      </c>
      <c r="B539" s="2" t="s">
        <v>8</v>
      </c>
      <c r="C539" s="2">
        <v>30.2</v>
      </c>
      <c r="D539" s="2">
        <v>2</v>
      </c>
      <c r="E539" s="2" t="s">
        <v>12</v>
      </c>
      <c r="F539" s="2" t="s">
        <v>21</v>
      </c>
      <c r="G539" s="2">
        <v>2959.1838072092605</v>
      </c>
      <c r="H539" s="2">
        <v>3945.5784096123475</v>
      </c>
      <c r="I539" s="2">
        <v>0</v>
      </c>
      <c r="J539" s="2">
        <v>3</v>
      </c>
    </row>
    <row r="540" spans="1:10" x14ac:dyDescent="0.25">
      <c r="A540" s="2">
        <v>46</v>
      </c>
      <c r="B540" s="2" t="s">
        <v>8</v>
      </c>
      <c r="C540" s="2">
        <v>28.1</v>
      </c>
      <c r="D540" s="2">
        <v>1</v>
      </c>
      <c r="E540" s="2" t="s">
        <v>12</v>
      </c>
      <c r="F540" s="2" t="s">
        <v>13</v>
      </c>
      <c r="G540" s="2">
        <v>5125.1052021576506</v>
      </c>
      <c r="H540" s="2">
        <v>4881.0525734834773</v>
      </c>
      <c r="I540" s="2">
        <v>0</v>
      </c>
      <c r="J540" s="2">
        <v>1</v>
      </c>
    </row>
    <row r="541" spans="1:10" x14ac:dyDescent="0.25">
      <c r="A541" s="2">
        <v>53</v>
      </c>
      <c r="B541" s="2" t="s">
        <v>11</v>
      </c>
      <c r="C541" s="2">
        <v>31.4</v>
      </c>
      <c r="D541" s="2">
        <v>0</v>
      </c>
      <c r="E541" s="2" t="s">
        <v>12</v>
      </c>
      <c r="F541" s="2" t="s">
        <v>13</v>
      </c>
      <c r="G541" s="2">
        <v>5835.8353615855067</v>
      </c>
      <c r="H541" s="2">
        <v>5557.9384396052455</v>
      </c>
      <c r="I541" s="2">
        <v>0</v>
      </c>
      <c r="J541" s="2">
        <v>1</v>
      </c>
    </row>
    <row r="542" spans="1:10" x14ac:dyDescent="0.25">
      <c r="A542" s="2">
        <v>34</v>
      </c>
      <c r="B542" s="2" t="s">
        <v>8</v>
      </c>
      <c r="C542" s="2">
        <v>38</v>
      </c>
      <c r="D542" s="2">
        <v>3</v>
      </c>
      <c r="E542" s="2" t="s">
        <v>12</v>
      </c>
      <c r="F542" s="2" t="s">
        <v>21</v>
      </c>
      <c r="G542" s="2">
        <v>2098.2119331128706</v>
      </c>
      <c r="H542" s="2">
        <v>2797.6159108171605</v>
      </c>
      <c r="I542" s="2">
        <v>0</v>
      </c>
      <c r="J542" s="2">
        <v>3</v>
      </c>
    </row>
    <row r="543" spans="1:10" x14ac:dyDescent="0.25">
      <c r="A543" s="2">
        <v>20</v>
      </c>
      <c r="B543" s="2" t="s">
        <v>8</v>
      </c>
      <c r="C543" s="2">
        <v>20.100000000000001</v>
      </c>
      <c r="D543" s="2">
        <v>2</v>
      </c>
      <c r="E543" s="2" t="s">
        <v>12</v>
      </c>
      <c r="F543" s="2" t="s">
        <v>13</v>
      </c>
      <c r="G543" s="2">
        <v>1974.2904877846277</v>
      </c>
      <c r="H543" s="2">
        <v>2322.6946915113272</v>
      </c>
      <c r="I543" s="2">
        <v>0</v>
      </c>
      <c r="J543" s="2">
        <v>0</v>
      </c>
    </row>
    <row r="544" spans="1:10" x14ac:dyDescent="0.25">
      <c r="A544" s="2">
        <v>63</v>
      </c>
      <c r="B544" s="2" t="s">
        <v>8</v>
      </c>
      <c r="C544" s="2">
        <v>36.299999999999997</v>
      </c>
      <c r="D544" s="2">
        <v>0</v>
      </c>
      <c r="E544" s="2" t="s">
        <v>12</v>
      </c>
      <c r="F544" s="2" t="s">
        <v>13</v>
      </c>
      <c r="G544" s="2">
        <v>5073.3037248618493</v>
      </c>
      <c r="H544" s="2">
        <v>4831.7178332017629</v>
      </c>
      <c r="I544" s="2">
        <v>0</v>
      </c>
      <c r="J544" s="2">
        <v>1</v>
      </c>
    </row>
    <row r="545" spans="1:10" x14ac:dyDescent="0.25">
      <c r="A545" s="2">
        <v>54</v>
      </c>
      <c r="B545" s="2" t="s">
        <v>8</v>
      </c>
      <c r="C545" s="2">
        <v>47.4</v>
      </c>
      <c r="D545" s="2">
        <v>0</v>
      </c>
      <c r="E545" s="2" t="s">
        <v>9</v>
      </c>
      <c r="F545" s="2" t="s">
        <v>13</v>
      </c>
      <c r="G545" s="2">
        <v>4105.0233810427062</v>
      </c>
      <c r="H545" s="2">
        <v>3909.5460771835315</v>
      </c>
      <c r="I545" s="2">
        <v>1</v>
      </c>
      <c r="J545" s="2">
        <v>2</v>
      </c>
    </row>
    <row r="546" spans="1:10" x14ac:dyDescent="0.25">
      <c r="A546" s="2">
        <v>54</v>
      </c>
      <c r="B546" s="2" t="s">
        <v>11</v>
      </c>
      <c r="C546" s="2">
        <v>30.2</v>
      </c>
      <c r="D546" s="2">
        <v>0</v>
      </c>
      <c r="E546" s="2" t="s">
        <v>12</v>
      </c>
      <c r="F546" s="2" t="s">
        <v>20</v>
      </c>
      <c r="G546" s="2">
        <v>5707.5287729528636</v>
      </c>
      <c r="H546" s="2">
        <v>5435.7416885265384</v>
      </c>
      <c r="I546" s="2">
        <v>0</v>
      </c>
      <c r="J546" s="2">
        <v>1</v>
      </c>
    </row>
    <row r="547" spans="1:10" x14ac:dyDescent="0.25">
      <c r="A547" s="2">
        <v>49</v>
      </c>
      <c r="B547" s="2" t="s">
        <v>11</v>
      </c>
      <c r="C547" s="2">
        <v>25.8</v>
      </c>
      <c r="D547" s="2">
        <v>2</v>
      </c>
      <c r="E547" s="2" t="s">
        <v>9</v>
      </c>
      <c r="F547" s="2" t="s">
        <v>20</v>
      </c>
      <c r="G547" s="2">
        <v>1608.7560391981515</v>
      </c>
      <c r="H547" s="2">
        <v>2145.008052264202</v>
      </c>
      <c r="I547" s="2">
        <v>1</v>
      </c>
      <c r="J547" s="2">
        <v>2</v>
      </c>
    </row>
    <row r="548" spans="1:10" x14ac:dyDescent="0.25">
      <c r="A548" s="2">
        <v>28</v>
      </c>
      <c r="B548" s="2" t="s">
        <v>11</v>
      </c>
      <c r="C548" s="2">
        <v>21.7</v>
      </c>
      <c r="D548" s="2">
        <v>0</v>
      </c>
      <c r="E548" s="2" t="s">
        <v>12</v>
      </c>
      <c r="F548" s="2" t="s">
        <v>15</v>
      </c>
      <c r="G548" s="2">
        <v>1923.6280597381574</v>
      </c>
      <c r="H548" s="2">
        <v>2263.0918349860685</v>
      </c>
      <c r="I548" s="2">
        <v>0</v>
      </c>
      <c r="J548" s="2">
        <v>0</v>
      </c>
    </row>
    <row r="549" spans="1:10" x14ac:dyDescent="0.25">
      <c r="A549" s="2">
        <v>54</v>
      </c>
      <c r="B549" s="2" t="s">
        <v>8</v>
      </c>
      <c r="C549" s="2">
        <v>46.7</v>
      </c>
      <c r="D549" s="2">
        <v>2</v>
      </c>
      <c r="E549" s="2" t="s">
        <v>12</v>
      </c>
      <c r="F549" s="2" t="s">
        <v>21</v>
      </c>
      <c r="G549" s="2">
        <v>1823.2315869750892</v>
      </c>
      <c r="H549" s="2">
        <v>2430.9754493001187</v>
      </c>
      <c r="I549" s="2">
        <v>0</v>
      </c>
      <c r="J549" s="2">
        <v>3</v>
      </c>
    </row>
    <row r="550" spans="1:10" x14ac:dyDescent="0.25">
      <c r="A550" s="2">
        <v>25</v>
      </c>
      <c r="B550" s="2" t="s">
        <v>8</v>
      </c>
      <c r="C550" s="2">
        <v>24.1</v>
      </c>
      <c r="D550" s="2">
        <v>0</v>
      </c>
      <c r="E550" s="2" t="s">
        <v>12</v>
      </c>
      <c r="F550" s="2" t="s">
        <v>15</v>
      </c>
      <c r="G550" s="2">
        <v>1639.0517662020854</v>
      </c>
      <c r="H550" s="2">
        <v>1928.2961955318658</v>
      </c>
      <c r="I550" s="2">
        <v>0</v>
      </c>
      <c r="J550" s="2">
        <v>0</v>
      </c>
    </row>
    <row r="551" spans="1:10" x14ac:dyDescent="0.25">
      <c r="A551" s="2">
        <v>43</v>
      </c>
      <c r="B551" s="2" t="s">
        <v>8</v>
      </c>
      <c r="C551" s="2">
        <v>46.2</v>
      </c>
      <c r="D551" s="2">
        <v>0</v>
      </c>
      <c r="E551" s="2" t="s">
        <v>9</v>
      </c>
      <c r="F551" s="2" t="s">
        <v>13</v>
      </c>
      <c r="G551" s="2">
        <v>5598.7674051799913</v>
      </c>
      <c r="H551" s="2">
        <v>5332.1594335047548</v>
      </c>
      <c r="I551" s="2">
        <v>1</v>
      </c>
      <c r="J551" s="2">
        <v>2</v>
      </c>
    </row>
    <row r="552" spans="1:10" x14ac:dyDescent="0.25">
      <c r="A552" s="2">
        <v>63</v>
      </c>
      <c r="B552" s="2" t="s">
        <v>11</v>
      </c>
      <c r="C552" s="2">
        <v>30.8</v>
      </c>
      <c r="D552" s="2">
        <v>0</v>
      </c>
      <c r="E552" s="2" t="s">
        <v>12</v>
      </c>
      <c r="F552" s="2" t="s">
        <v>21</v>
      </c>
      <c r="G552" s="2">
        <v>5443.3660314796916</v>
      </c>
      <c r="H552" s="2">
        <v>5184.1581252187552</v>
      </c>
      <c r="I552" s="2">
        <v>0</v>
      </c>
      <c r="J552" s="2">
        <v>1</v>
      </c>
    </row>
    <row r="553" spans="1:10" x14ac:dyDescent="0.25">
      <c r="A553" s="2">
        <v>32</v>
      </c>
      <c r="B553" s="2" t="s">
        <v>8</v>
      </c>
      <c r="C553" s="2">
        <v>24</v>
      </c>
      <c r="D553" s="2">
        <v>0</v>
      </c>
      <c r="E553" s="2" t="s">
        <v>12</v>
      </c>
      <c r="F553" s="2" t="s">
        <v>13</v>
      </c>
      <c r="G553" s="2">
        <v>1609.4625500703328</v>
      </c>
      <c r="H553" s="2">
        <v>1893.4853530239216</v>
      </c>
      <c r="I553" s="2">
        <v>0</v>
      </c>
      <c r="J553" s="2">
        <v>0</v>
      </c>
    </row>
    <row r="554" spans="1:10" x14ac:dyDescent="0.25">
      <c r="A554" s="2">
        <v>62</v>
      </c>
      <c r="B554" s="2" t="s">
        <v>11</v>
      </c>
      <c r="C554" s="2">
        <v>21.4</v>
      </c>
      <c r="D554" s="2">
        <v>0</v>
      </c>
      <c r="E554" s="2" t="s">
        <v>12</v>
      </c>
      <c r="F554" s="2" t="s">
        <v>21</v>
      </c>
      <c r="G554" s="2">
        <v>5055.4769764123503</v>
      </c>
      <c r="H554" s="2">
        <v>4814.7399775355734</v>
      </c>
      <c r="I554" s="2">
        <v>0</v>
      </c>
      <c r="J554" s="2">
        <v>1</v>
      </c>
    </row>
    <row r="555" spans="1:10" x14ac:dyDescent="0.25">
      <c r="A555" s="2">
        <v>52</v>
      </c>
      <c r="B555" s="2" t="s">
        <v>8</v>
      </c>
      <c r="C555" s="2">
        <v>31.7</v>
      </c>
      <c r="D555" s="2">
        <v>2</v>
      </c>
      <c r="E555" s="2" t="s">
        <v>12</v>
      </c>
      <c r="F555" s="2" t="s">
        <v>20</v>
      </c>
      <c r="G555" s="2">
        <v>1777.7011694368007</v>
      </c>
      <c r="H555" s="2">
        <v>2370.2682259157341</v>
      </c>
      <c r="I555" s="2">
        <v>0</v>
      </c>
      <c r="J555" s="2">
        <v>3</v>
      </c>
    </row>
    <row r="556" spans="1:10" x14ac:dyDescent="0.25">
      <c r="A556" s="2">
        <v>25</v>
      </c>
      <c r="B556" s="2" t="s">
        <v>8</v>
      </c>
      <c r="C556" s="2">
        <v>23.7</v>
      </c>
      <c r="D556" s="2">
        <v>0</v>
      </c>
      <c r="E556" s="2" t="s">
        <v>12</v>
      </c>
      <c r="F556" s="2" t="s">
        <v>15</v>
      </c>
      <c r="G556" s="2">
        <v>1935.2027128063837</v>
      </c>
      <c r="H556" s="2">
        <v>2276.7090738898642</v>
      </c>
      <c r="I556" s="2">
        <v>0</v>
      </c>
      <c r="J556" s="2">
        <v>0</v>
      </c>
    </row>
    <row r="557" spans="1:10" x14ac:dyDescent="0.25">
      <c r="A557" s="2">
        <v>28</v>
      </c>
      <c r="B557" s="2" t="s">
        <v>11</v>
      </c>
      <c r="C557" s="2">
        <v>23.8</v>
      </c>
      <c r="D557" s="2">
        <v>2</v>
      </c>
      <c r="E557" s="2" t="s">
        <v>12</v>
      </c>
      <c r="F557" s="2" t="s">
        <v>21</v>
      </c>
      <c r="G557" s="2">
        <v>2081.0114346383666</v>
      </c>
      <c r="H557" s="2">
        <v>2448.2487466333732</v>
      </c>
      <c r="I557" s="2">
        <v>0</v>
      </c>
      <c r="J557" s="2">
        <v>0</v>
      </c>
    </row>
    <row r="558" spans="1:10" x14ac:dyDescent="0.25">
      <c r="A558" s="2">
        <v>46</v>
      </c>
      <c r="B558" s="2" t="s">
        <v>11</v>
      </c>
      <c r="C558" s="2">
        <v>33.4</v>
      </c>
      <c r="D558" s="2">
        <v>1</v>
      </c>
      <c r="E558" s="2" t="s">
        <v>12</v>
      </c>
      <c r="F558" s="2" t="s">
        <v>15</v>
      </c>
      <c r="G558" s="2">
        <v>4182.938333456158</v>
      </c>
      <c r="H558" s="2">
        <v>3983.750793767771</v>
      </c>
      <c r="I558" s="2">
        <v>0</v>
      </c>
      <c r="J558" s="2">
        <v>1</v>
      </c>
    </row>
    <row r="559" spans="1:10" x14ac:dyDescent="0.25">
      <c r="A559" s="2">
        <v>34</v>
      </c>
      <c r="B559" s="2" t="s">
        <v>11</v>
      </c>
      <c r="C559" s="2">
        <v>20.5</v>
      </c>
      <c r="D559" s="2">
        <v>0</v>
      </c>
      <c r="E559" s="2" t="s">
        <v>12</v>
      </c>
      <c r="F559" s="2" t="s">
        <v>13</v>
      </c>
      <c r="G559" s="2">
        <v>1884.824043671578</v>
      </c>
      <c r="H559" s="2">
        <v>2217.4400513783276</v>
      </c>
      <c r="I559" s="2">
        <v>0</v>
      </c>
      <c r="J559" s="2">
        <v>0</v>
      </c>
    </row>
    <row r="560" spans="1:10" x14ac:dyDescent="0.25">
      <c r="A560" s="2">
        <v>35</v>
      </c>
      <c r="B560" s="2" t="s">
        <v>8</v>
      </c>
      <c r="C560" s="2">
        <v>34.1</v>
      </c>
      <c r="D560" s="2">
        <v>3</v>
      </c>
      <c r="E560" s="2" t="s">
        <v>9</v>
      </c>
      <c r="F560" s="2" t="s">
        <v>20</v>
      </c>
      <c r="G560" s="2">
        <v>1978.5161380342347</v>
      </c>
      <c r="H560" s="2">
        <v>2638.0215173789798</v>
      </c>
      <c r="I560" s="2">
        <v>1</v>
      </c>
      <c r="J560" s="2">
        <v>2</v>
      </c>
    </row>
    <row r="561" spans="1:10" x14ac:dyDescent="0.25">
      <c r="A561" s="2">
        <v>19</v>
      </c>
      <c r="B561" s="2" t="s">
        <v>11</v>
      </c>
      <c r="C561" s="2">
        <v>22.9</v>
      </c>
      <c r="D561" s="2">
        <v>0</v>
      </c>
      <c r="E561" s="2" t="s">
        <v>12</v>
      </c>
      <c r="F561" s="2" t="s">
        <v>20</v>
      </c>
      <c r="G561" s="2">
        <v>1653.1807737838576</v>
      </c>
      <c r="H561" s="2">
        <v>1944.9185573927743</v>
      </c>
      <c r="I561" s="2">
        <v>0</v>
      </c>
      <c r="J561" s="2">
        <v>0</v>
      </c>
    </row>
    <row r="562" spans="1:10" x14ac:dyDescent="0.25">
      <c r="A562" s="2">
        <v>46</v>
      </c>
      <c r="B562" s="2" t="s">
        <v>8</v>
      </c>
      <c r="C562" s="2">
        <v>20</v>
      </c>
      <c r="D562" s="2">
        <v>2</v>
      </c>
      <c r="E562" s="2" t="s">
        <v>12</v>
      </c>
      <c r="F562" s="2" t="s">
        <v>20</v>
      </c>
      <c r="G562" s="2">
        <v>2115.6016308451535</v>
      </c>
      <c r="H562" s="2">
        <v>2488.9430951119461</v>
      </c>
      <c r="I562" s="2">
        <v>0</v>
      </c>
      <c r="J562" s="2">
        <v>0</v>
      </c>
    </row>
    <row r="563" spans="1:10" x14ac:dyDescent="0.25">
      <c r="A563" s="2">
        <v>54</v>
      </c>
      <c r="B563" s="2" t="s">
        <v>8</v>
      </c>
      <c r="C563" s="2">
        <v>32.700000000000003</v>
      </c>
      <c r="D563" s="2">
        <v>0</v>
      </c>
      <c r="E563" s="2" t="s">
        <v>12</v>
      </c>
      <c r="F563" s="2" t="s">
        <v>15</v>
      </c>
      <c r="G563" s="2">
        <v>3716.1636483710668</v>
      </c>
      <c r="H563" s="2">
        <v>3539.2034746391128</v>
      </c>
      <c r="I563" s="2">
        <v>0</v>
      </c>
      <c r="J563" s="2">
        <v>1</v>
      </c>
    </row>
    <row r="564" spans="1:10" x14ac:dyDescent="0.25">
      <c r="A564" s="2">
        <v>27</v>
      </c>
      <c r="B564" s="2" t="s">
        <v>11</v>
      </c>
      <c r="C564" s="2">
        <v>21.2</v>
      </c>
      <c r="D564" s="2">
        <v>0</v>
      </c>
      <c r="E564" s="2" t="s">
        <v>12</v>
      </c>
      <c r="F564" s="2" t="s">
        <v>21</v>
      </c>
      <c r="G564" s="2">
        <v>2460.3349772898255</v>
      </c>
      <c r="H564" s="2">
        <v>2894.5117379880303</v>
      </c>
      <c r="I564" s="2">
        <v>0</v>
      </c>
      <c r="J564" s="2">
        <v>0</v>
      </c>
    </row>
    <row r="565" spans="1:10" x14ac:dyDescent="0.25">
      <c r="A565" s="2">
        <v>50</v>
      </c>
      <c r="B565" s="2" t="s">
        <v>11</v>
      </c>
      <c r="C565" s="2">
        <v>44.8</v>
      </c>
      <c r="D565" s="2">
        <v>1</v>
      </c>
      <c r="E565" s="2" t="s">
        <v>12</v>
      </c>
      <c r="F565" s="2" t="s">
        <v>13</v>
      </c>
      <c r="G565" s="2">
        <v>5480.5071970922691</v>
      </c>
      <c r="H565" s="2">
        <v>5219.5306638973998</v>
      </c>
      <c r="I565" s="2">
        <v>0</v>
      </c>
      <c r="J565" s="2">
        <v>1</v>
      </c>
    </row>
    <row r="566" spans="1:10" x14ac:dyDescent="0.25">
      <c r="A566" s="2">
        <v>18</v>
      </c>
      <c r="B566" s="2" t="s">
        <v>8</v>
      </c>
      <c r="C566" s="2">
        <v>22.5</v>
      </c>
      <c r="D566" s="2">
        <v>2</v>
      </c>
      <c r="E566" s="2" t="s">
        <v>12</v>
      </c>
      <c r="F566" s="2" t="s">
        <v>13</v>
      </c>
      <c r="G566" s="2">
        <v>1998.331836822505</v>
      </c>
      <c r="H566" s="2">
        <v>2350.9786315558886</v>
      </c>
      <c r="I566" s="2">
        <v>0</v>
      </c>
      <c r="J566" s="2">
        <v>0</v>
      </c>
    </row>
    <row r="567" spans="1:10" x14ac:dyDescent="0.25">
      <c r="A567" s="2">
        <v>19</v>
      </c>
      <c r="B567" s="2" t="s">
        <v>8</v>
      </c>
      <c r="C567" s="2">
        <v>22.1</v>
      </c>
      <c r="D567" s="2">
        <v>0</v>
      </c>
      <c r="E567" s="2" t="s">
        <v>12</v>
      </c>
      <c r="F567" s="2" t="s">
        <v>20</v>
      </c>
      <c r="G567" s="2">
        <v>1811.4664754230878</v>
      </c>
      <c r="H567" s="2">
        <v>2131.1370299095161</v>
      </c>
      <c r="I567" s="2">
        <v>0</v>
      </c>
      <c r="J567" s="2">
        <v>0</v>
      </c>
    </row>
    <row r="568" spans="1:10" x14ac:dyDescent="0.25">
      <c r="A568" s="2">
        <v>38</v>
      </c>
      <c r="B568" s="2" t="s">
        <v>8</v>
      </c>
      <c r="C568" s="2">
        <v>40.6</v>
      </c>
      <c r="D568" s="2">
        <v>1</v>
      </c>
      <c r="E568" s="2" t="s">
        <v>12</v>
      </c>
      <c r="F568" s="2" t="s">
        <v>20</v>
      </c>
      <c r="G568" s="2">
        <v>5343.1060860769576</v>
      </c>
      <c r="H568" s="2">
        <v>5088.6724629304372</v>
      </c>
      <c r="I568" s="2">
        <v>0</v>
      </c>
      <c r="J568" s="2">
        <v>1</v>
      </c>
    </row>
    <row r="569" spans="1:10" x14ac:dyDescent="0.25">
      <c r="A569" s="2">
        <v>41</v>
      </c>
      <c r="B569" s="2" t="s">
        <v>11</v>
      </c>
      <c r="C569" s="2">
        <v>30.6</v>
      </c>
      <c r="D569" s="2">
        <v>2</v>
      </c>
      <c r="E569" s="2" t="s">
        <v>12</v>
      </c>
      <c r="F569" s="2" t="s">
        <v>20</v>
      </c>
      <c r="G569" s="2">
        <v>1213.4208954993014</v>
      </c>
      <c r="H569" s="2">
        <v>1617.8945273324018</v>
      </c>
      <c r="I569" s="2">
        <v>0</v>
      </c>
      <c r="J569" s="2">
        <v>3</v>
      </c>
    </row>
    <row r="570" spans="1:10" x14ac:dyDescent="0.25">
      <c r="A570" s="2">
        <v>49</v>
      </c>
      <c r="B570" s="2" t="s">
        <v>8</v>
      </c>
      <c r="C570" s="2">
        <v>31.9</v>
      </c>
      <c r="D570" s="2">
        <v>5</v>
      </c>
      <c r="E570" s="2" t="s">
        <v>12</v>
      </c>
      <c r="F570" s="2" t="s">
        <v>21</v>
      </c>
      <c r="G570" s="2">
        <v>2749.1183002808143</v>
      </c>
      <c r="H570" s="2">
        <v>3665.4910670410859</v>
      </c>
      <c r="I570" s="2">
        <v>0</v>
      </c>
      <c r="J570" s="2">
        <v>3</v>
      </c>
    </row>
    <row r="571" spans="1:10" x14ac:dyDescent="0.25">
      <c r="A571" s="2">
        <v>48</v>
      </c>
      <c r="B571" s="2" t="s">
        <v>11</v>
      </c>
      <c r="C571" s="2">
        <v>40.6</v>
      </c>
      <c r="D571" s="2">
        <v>2</v>
      </c>
      <c r="E571" s="2" t="s">
        <v>9</v>
      </c>
      <c r="F571" s="2" t="s">
        <v>20</v>
      </c>
      <c r="G571" s="2">
        <v>2593.5177436091317</v>
      </c>
      <c r="H571" s="2">
        <v>3458.0236581455092</v>
      </c>
      <c r="I571" s="2">
        <v>1</v>
      </c>
      <c r="J571" s="2">
        <v>2</v>
      </c>
    </row>
    <row r="572" spans="1:10" x14ac:dyDescent="0.25">
      <c r="A572" s="2">
        <v>31</v>
      </c>
      <c r="B572" s="2" t="s">
        <v>8</v>
      </c>
      <c r="C572" s="2">
        <v>23.1</v>
      </c>
      <c r="D572" s="2">
        <v>0</v>
      </c>
      <c r="E572" s="2" t="s">
        <v>12</v>
      </c>
      <c r="F572" s="2" t="s">
        <v>21</v>
      </c>
      <c r="G572" s="2">
        <v>1984.9053451460311</v>
      </c>
      <c r="H572" s="2">
        <v>2335.1827589953318</v>
      </c>
      <c r="I572" s="2">
        <v>0</v>
      </c>
      <c r="J572" s="2">
        <v>0</v>
      </c>
    </row>
    <row r="573" spans="1:10" x14ac:dyDescent="0.25">
      <c r="A573" s="2">
        <v>18</v>
      </c>
      <c r="B573" s="2" t="s">
        <v>8</v>
      </c>
      <c r="C573" s="2">
        <v>22.4</v>
      </c>
      <c r="D573" s="2">
        <v>1</v>
      </c>
      <c r="E573" s="2" t="s">
        <v>12</v>
      </c>
      <c r="F573" s="2" t="s">
        <v>13</v>
      </c>
      <c r="G573" s="2">
        <v>2392.0949160267037</v>
      </c>
      <c r="H573" s="2">
        <v>2814.2293129725931</v>
      </c>
      <c r="I573" s="2">
        <v>0</v>
      </c>
      <c r="J573" s="2">
        <v>0</v>
      </c>
    </row>
    <row r="574" spans="1:10" x14ac:dyDescent="0.25">
      <c r="A574" s="2">
        <v>30</v>
      </c>
      <c r="B574" s="2" t="s">
        <v>8</v>
      </c>
      <c r="C574" s="2">
        <v>43.1</v>
      </c>
      <c r="D574" s="2">
        <v>2</v>
      </c>
      <c r="E574" s="2" t="s">
        <v>12</v>
      </c>
      <c r="F574" s="2" t="s">
        <v>13</v>
      </c>
      <c r="G574" s="2">
        <v>3004.674973472801</v>
      </c>
      <c r="H574" s="2">
        <v>4006.2332979637349</v>
      </c>
      <c r="I574" s="2">
        <v>0</v>
      </c>
      <c r="J574" s="2">
        <v>3</v>
      </c>
    </row>
    <row r="575" spans="1:10" x14ac:dyDescent="0.25">
      <c r="A575" s="2">
        <v>62</v>
      </c>
      <c r="B575" s="2" t="s">
        <v>8</v>
      </c>
      <c r="C575" s="2">
        <v>36.9</v>
      </c>
      <c r="D575" s="2">
        <v>1</v>
      </c>
      <c r="E575" s="2" t="s">
        <v>12</v>
      </c>
      <c r="F575" s="2" t="s">
        <v>15</v>
      </c>
      <c r="G575" s="2">
        <v>6220.86640899539</v>
      </c>
      <c r="H575" s="2">
        <v>5924.6346752337067</v>
      </c>
      <c r="I575" s="2">
        <v>0</v>
      </c>
      <c r="J575" s="2">
        <v>1</v>
      </c>
    </row>
    <row r="576" spans="1:10" x14ac:dyDescent="0.25">
      <c r="A576" s="2">
        <v>57</v>
      </c>
      <c r="B576" s="2" t="s">
        <v>8</v>
      </c>
      <c r="C576" s="2">
        <v>34.299999999999997</v>
      </c>
      <c r="D576" s="2">
        <v>2</v>
      </c>
      <c r="E576" s="2" t="s">
        <v>12</v>
      </c>
      <c r="F576" s="2" t="s">
        <v>15</v>
      </c>
      <c r="G576" s="2">
        <v>1805.5186453498293</v>
      </c>
      <c r="H576" s="2">
        <v>2407.3581937997724</v>
      </c>
      <c r="I576" s="2">
        <v>0</v>
      </c>
      <c r="J576" s="2">
        <v>3</v>
      </c>
    </row>
    <row r="577" spans="1:10" x14ac:dyDescent="0.25">
      <c r="A577" s="2">
        <v>58</v>
      </c>
      <c r="B577" s="2" t="s">
        <v>8</v>
      </c>
      <c r="C577" s="2">
        <v>27.2</v>
      </c>
      <c r="D577" s="2">
        <v>0</v>
      </c>
      <c r="E577" s="2" t="s">
        <v>12</v>
      </c>
      <c r="F577" s="2" t="s">
        <v>20</v>
      </c>
      <c r="G577" s="2">
        <v>4400.8256123175779</v>
      </c>
      <c r="H577" s="2">
        <v>4191.2624879215045</v>
      </c>
      <c r="I577" s="2">
        <v>0</v>
      </c>
      <c r="J577" s="2">
        <v>1</v>
      </c>
    </row>
    <row r="578" spans="1:10" x14ac:dyDescent="0.25">
      <c r="A578" s="2">
        <v>22</v>
      </c>
      <c r="B578" s="2" t="s">
        <v>11</v>
      </c>
      <c r="C578" s="2">
        <v>20.6</v>
      </c>
      <c r="D578" s="2">
        <v>0</v>
      </c>
      <c r="E578" s="2" t="s">
        <v>12</v>
      </c>
      <c r="F578" s="2" t="s">
        <v>13</v>
      </c>
      <c r="G578" s="2">
        <v>1768.7903005542937</v>
      </c>
      <c r="H578" s="2">
        <v>2080.9297653579933</v>
      </c>
      <c r="I578" s="2">
        <v>0</v>
      </c>
      <c r="J578" s="2">
        <v>0</v>
      </c>
    </row>
    <row r="579" spans="1:10" x14ac:dyDescent="0.25">
      <c r="A579" s="2">
        <v>31</v>
      </c>
      <c r="B579" s="2" t="s">
        <v>8</v>
      </c>
      <c r="C579" s="2">
        <v>24.3</v>
      </c>
      <c r="D579" s="2">
        <v>1</v>
      </c>
      <c r="E579" s="2" t="s">
        <v>9</v>
      </c>
      <c r="F579" s="2" t="s">
        <v>15</v>
      </c>
      <c r="G579" s="2">
        <v>1384.0812768289024</v>
      </c>
      <c r="H579" s="2">
        <v>1628.3309139163566</v>
      </c>
      <c r="I579" s="2">
        <v>1</v>
      </c>
      <c r="J579" s="2">
        <v>2</v>
      </c>
    </row>
    <row r="580" spans="1:10" x14ac:dyDescent="0.25">
      <c r="A580" s="2">
        <v>52</v>
      </c>
      <c r="B580" s="2" t="s">
        <v>11</v>
      </c>
      <c r="C580" s="2">
        <v>30.2</v>
      </c>
      <c r="D580" s="2">
        <v>1</v>
      </c>
      <c r="E580" s="2" t="s">
        <v>12</v>
      </c>
      <c r="F580" s="2" t="s">
        <v>21</v>
      </c>
      <c r="G580" s="2">
        <v>5293.9159791797429</v>
      </c>
      <c r="H580" s="2">
        <v>5041.8247420759471</v>
      </c>
      <c r="I580" s="2">
        <v>0</v>
      </c>
      <c r="J580" s="2">
        <v>1</v>
      </c>
    </row>
    <row r="581" spans="1:10" x14ac:dyDescent="0.25">
      <c r="A581" s="2">
        <v>25</v>
      </c>
      <c r="B581" s="2" t="s">
        <v>8</v>
      </c>
      <c r="C581" s="2">
        <v>23.4</v>
      </c>
      <c r="D581" s="2">
        <v>0</v>
      </c>
      <c r="E581" s="2" t="s">
        <v>12</v>
      </c>
      <c r="F581" s="2" t="s">
        <v>15</v>
      </c>
      <c r="G581" s="2">
        <v>2370.6727129681703</v>
      </c>
      <c r="H581" s="2">
        <v>2789.0267211390246</v>
      </c>
      <c r="I581" s="2">
        <v>0</v>
      </c>
      <c r="J581" s="2">
        <v>0</v>
      </c>
    </row>
    <row r="582" spans="1:10" x14ac:dyDescent="0.25">
      <c r="A582" s="2">
        <v>59</v>
      </c>
      <c r="B582" s="2" t="s">
        <v>11</v>
      </c>
      <c r="C582" s="2">
        <v>25.5</v>
      </c>
      <c r="D582" s="2">
        <v>1</v>
      </c>
      <c r="E582" s="2" t="s">
        <v>12</v>
      </c>
      <c r="F582" s="2" t="s">
        <v>15</v>
      </c>
      <c r="G582" s="2">
        <v>4910.3464001060838</v>
      </c>
      <c r="H582" s="2">
        <v>4676.5203810534149</v>
      </c>
      <c r="I582" s="2">
        <v>0</v>
      </c>
      <c r="J582" s="2">
        <v>1</v>
      </c>
    </row>
    <row r="583" spans="1:10" x14ac:dyDescent="0.25">
      <c r="A583" s="2">
        <v>19</v>
      </c>
      <c r="B583" s="2" t="s">
        <v>11</v>
      </c>
      <c r="C583" s="2">
        <v>23.8</v>
      </c>
      <c r="D583" s="2">
        <v>0</v>
      </c>
      <c r="E583" s="2" t="s">
        <v>12</v>
      </c>
      <c r="F583" s="2" t="s">
        <v>20</v>
      </c>
      <c r="G583" s="2">
        <v>1834.7355568127025</v>
      </c>
      <c r="H583" s="2">
        <v>2158.5124197796508</v>
      </c>
      <c r="I583" s="2">
        <v>0</v>
      </c>
      <c r="J583" s="2">
        <v>0</v>
      </c>
    </row>
    <row r="584" spans="1:10" x14ac:dyDescent="0.25">
      <c r="A584" s="2">
        <v>39</v>
      </c>
      <c r="B584" s="2" t="s">
        <v>11</v>
      </c>
      <c r="C584" s="2">
        <v>45.4</v>
      </c>
      <c r="D584" s="2">
        <v>2</v>
      </c>
      <c r="E584" s="2" t="s">
        <v>12</v>
      </c>
      <c r="F584" s="2" t="s">
        <v>13</v>
      </c>
      <c r="G584" s="2">
        <v>1897.0441296953029</v>
      </c>
      <c r="H584" s="2">
        <v>2529.3921729270705</v>
      </c>
      <c r="I584" s="2">
        <v>0</v>
      </c>
      <c r="J584" s="2">
        <v>3</v>
      </c>
    </row>
    <row r="585" spans="1:10" x14ac:dyDescent="0.25">
      <c r="A585" s="2">
        <v>32</v>
      </c>
      <c r="B585" s="2" t="s">
        <v>8</v>
      </c>
      <c r="C585" s="2">
        <v>23.9</v>
      </c>
      <c r="D585" s="2">
        <v>1</v>
      </c>
      <c r="E585" s="2" t="s">
        <v>12</v>
      </c>
      <c r="F585" s="2" t="s">
        <v>13</v>
      </c>
      <c r="G585" s="2">
        <v>2099.8662246822582</v>
      </c>
      <c r="H585" s="2">
        <v>2470.4308525673632</v>
      </c>
      <c r="I585" s="2">
        <v>0</v>
      </c>
      <c r="J585" s="2">
        <v>0</v>
      </c>
    </row>
    <row r="586" spans="1:10" x14ac:dyDescent="0.25">
      <c r="A586" s="2">
        <v>19</v>
      </c>
      <c r="B586" s="2" t="s">
        <v>11</v>
      </c>
      <c r="C586" s="2">
        <v>25.7</v>
      </c>
      <c r="D586" s="2">
        <v>0</v>
      </c>
      <c r="E586" s="2" t="s">
        <v>12</v>
      </c>
      <c r="F586" s="2" t="s">
        <v>21</v>
      </c>
      <c r="G586" s="2">
        <v>1681.5847379542856</v>
      </c>
      <c r="H586" s="2">
        <v>1978.3349858285724</v>
      </c>
      <c r="I586" s="2">
        <v>0</v>
      </c>
      <c r="J586" s="2">
        <v>0</v>
      </c>
    </row>
    <row r="587" spans="1:10" x14ac:dyDescent="0.25">
      <c r="A587" s="2">
        <v>33</v>
      </c>
      <c r="B587" s="2" t="s">
        <v>8</v>
      </c>
      <c r="C587" s="2">
        <v>22</v>
      </c>
      <c r="D587" s="2">
        <v>1</v>
      </c>
      <c r="E587" s="2" t="s">
        <v>12</v>
      </c>
      <c r="F587" s="2" t="s">
        <v>13</v>
      </c>
      <c r="G587" s="2">
        <v>1685.2574309685183</v>
      </c>
      <c r="H587" s="2">
        <v>1982.6558011394341</v>
      </c>
      <c r="I587" s="2">
        <v>0</v>
      </c>
      <c r="J587" s="2">
        <v>0</v>
      </c>
    </row>
    <row r="588" spans="1:10" x14ac:dyDescent="0.25">
      <c r="A588" s="2">
        <v>21</v>
      </c>
      <c r="B588" s="2" t="s">
        <v>11</v>
      </c>
      <c r="C588" s="2">
        <v>20.2</v>
      </c>
      <c r="D588" s="2">
        <v>3</v>
      </c>
      <c r="E588" s="2" t="s">
        <v>12</v>
      </c>
      <c r="F588" s="2" t="s">
        <v>15</v>
      </c>
      <c r="G588" s="2">
        <v>2063.7641495595362</v>
      </c>
      <c r="H588" s="2">
        <v>2427.9578230112197</v>
      </c>
      <c r="I588" s="2">
        <v>0</v>
      </c>
      <c r="J588" s="2">
        <v>0</v>
      </c>
    </row>
    <row r="589" spans="1:10" x14ac:dyDescent="0.25">
      <c r="A589" s="2">
        <v>34</v>
      </c>
      <c r="B589" s="2" t="s">
        <v>8</v>
      </c>
      <c r="C589" s="2">
        <v>22</v>
      </c>
      <c r="D589" s="2">
        <v>1</v>
      </c>
      <c r="E589" s="2" t="s">
        <v>9</v>
      </c>
      <c r="F589" s="2" t="s">
        <v>20</v>
      </c>
      <c r="G589" s="2">
        <v>1791.4747216057369</v>
      </c>
      <c r="H589" s="2">
        <v>2107.6173195361616</v>
      </c>
      <c r="I589" s="2">
        <v>1</v>
      </c>
      <c r="J589" s="2">
        <v>2</v>
      </c>
    </row>
    <row r="590" spans="1:10" x14ac:dyDescent="0.25">
      <c r="A590" s="2">
        <v>61</v>
      </c>
      <c r="B590" s="2" t="s">
        <v>8</v>
      </c>
      <c r="C590" s="2">
        <v>35.9</v>
      </c>
      <c r="D590" s="2">
        <v>0</v>
      </c>
      <c r="E590" s="2" t="s">
        <v>12</v>
      </c>
      <c r="F590" s="2" t="s">
        <v>15</v>
      </c>
      <c r="G590" s="2">
        <v>5940.2416485247122</v>
      </c>
      <c r="H590" s="2">
        <v>5657.3729985949658</v>
      </c>
      <c r="I590" s="2">
        <v>0</v>
      </c>
      <c r="J590" s="2">
        <v>1</v>
      </c>
    </row>
    <row r="591" spans="1:10" x14ac:dyDescent="0.25">
      <c r="A591" s="2">
        <v>38</v>
      </c>
      <c r="B591" s="2" t="s">
        <v>8</v>
      </c>
      <c r="C591" s="2">
        <v>24.4</v>
      </c>
      <c r="D591" s="2">
        <v>1</v>
      </c>
      <c r="E591" s="2" t="s">
        <v>12</v>
      </c>
      <c r="F591" s="2" t="s">
        <v>13</v>
      </c>
      <c r="G591" s="2">
        <v>2233.555700474868</v>
      </c>
      <c r="H591" s="2">
        <v>2627.7125887939628</v>
      </c>
      <c r="I591" s="2">
        <v>0</v>
      </c>
      <c r="J591" s="2">
        <v>0</v>
      </c>
    </row>
    <row r="592" spans="1:10" x14ac:dyDescent="0.25">
      <c r="A592" s="2">
        <v>58</v>
      </c>
      <c r="B592" s="2" t="s">
        <v>8</v>
      </c>
      <c r="C592" s="2">
        <v>29</v>
      </c>
      <c r="D592" s="2">
        <v>0</v>
      </c>
      <c r="E592" s="2" t="s">
        <v>12</v>
      </c>
      <c r="F592" s="2" t="s">
        <v>21</v>
      </c>
      <c r="G592" s="2">
        <v>4735.2220676847974</v>
      </c>
      <c r="H592" s="2">
        <v>4509.7353025569519</v>
      </c>
      <c r="I592" s="2">
        <v>0</v>
      </c>
      <c r="J592" s="2">
        <v>1</v>
      </c>
    </row>
    <row r="593" spans="1:10" x14ac:dyDescent="0.25">
      <c r="A593" s="2">
        <v>47</v>
      </c>
      <c r="B593" s="2" t="s">
        <v>11</v>
      </c>
      <c r="C593" s="2">
        <v>19.600000000000001</v>
      </c>
      <c r="D593" s="2">
        <v>1</v>
      </c>
      <c r="E593" s="2" t="s">
        <v>12</v>
      </c>
      <c r="F593" s="2" t="s">
        <v>20</v>
      </c>
      <c r="G593" s="2">
        <v>3116.9242060213965</v>
      </c>
      <c r="H593" s="2">
        <v>3666.9696541428193</v>
      </c>
      <c r="I593" s="2">
        <v>0</v>
      </c>
      <c r="J593" s="2">
        <v>0</v>
      </c>
    </row>
    <row r="594" spans="1:10" x14ac:dyDescent="0.25">
      <c r="A594" s="2">
        <v>20</v>
      </c>
      <c r="B594" s="2" t="s">
        <v>11</v>
      </c>
      <c r="C594" s="2">
        <v>25.8</v>
      </c>
      <c r="D594" s="2">
        <v>2</v>
      </c>
      <c r="E594" s="2" t="s">
        <v>12</v>
      </c>
      <c r="F594" s="2" t="s">
        <v>13</v>
      </c>
      <c r="G594" s="2">
        <v>1477.8294788013925</v>
      </c>
      <c r="H594" s="2">
        <v>1738.6229162369327</v>
      </c>
      <c r="I594" s="2">
        <v>0</v>
      </c>
      <c r="J594" s="2">
        <v>0</v>
      </c>
    </row>
    <row r="595" spans="1:10" x14ac:dyDescent="0.25">
      <c r="A595" s="2">
        <v>21</v>
      </c>
      <c r="B595" s="2" t="s">
        <v>8</v>
      </c>
      <c r="C595" s="2">
        <v>22.1</v>
      </c>
      <c r="D595" s="2">
        <v>1</v>
      </c>
      <c r="E595" s="2" t="s">
        <v>9</v>
      </c>
      <c r="F595" s="2" t="s">
        <v>15</v>
      </c>
      <c r="G595" s="2">
        <v>1383.2050614901254</v>
      </c>
      <c r="H595" s="2">
        <v>1627.3000723413249</v>
      </c>
      <c r="I595" s="2">
        <v>1</v>
      </c>
      <c r="J595" s="2">
        <v>2</v>
      </c>
    </row>
    <row r="596" spans="1:10" x14ac:dyDescent="0.25">
      <c r="A596" s="2">
        <v>41</v>
      </c>
      <c r="B596" s="2" t="s">
        <v>11</v>
      </c>
      <c r="C596" s="2">
        <v>40.299999999999997</v>
      </c>
      <c r="D596" s="2">
        <v>0</v>
      </c>
      <c r="E596" s="2" t="s">
        <v>12</v>
      </c>
      <c r="F596" s="2" t="s">
        <v>13</v>
      </c>
      <c r="G596" s="2">
        <v>5049.7598353601752</v>
      </c>
      <c r="H596" s="2">
        <v>4809.2950812954059</v>
      </c>
      <c r="I596" s="2">
        <v>0</v>
      </c>
      <c r="J596" s="2">
        <v>1</v>
      </c>
    </row>
    <row r="597" spans="1:10" x14ac:dyDescent="0.25">
      <c r="A597" s="2">
        <v>46</v>
      </c>
      <c r="B597" s="2" t="s">
        <v>8</v>
      </c>
      <c r="C597" s="2">
        <v>33.700000000000003</v>
      </c>
      <c r="D597" s="2">
        <v>1</v>
      </c>
      <c r="E597" s="2" t="s">
        <v>12</v>
      </c>
      <c r="F597" s="2" t="s">
        <v>15</v>
      </c>
      <c r="G597" s="2">
        <v>5725.4478643275679</v>
      </c>
      <c r="H597" s="2">
        <v>5452.8074898357809</v>
      </c>
      <c r="I597" s="2">
        <v>0</v>
      </c>
      <c r="J597" s="2">
        <v>1</v>
      </c>
    </row>
    <row r="598" spans="1:10" x14ac:dyDescent="0.25">
      <c r="A598" s="2">
        <v>42</v>
      </c>
      <c r="B598" s="2" t="s">
        <v>8</v>
      </c>
      <c r="C598" s="2">
        <v>29.5</v>
      </c>
      <c r="D598" s="2">
        <v>2</v>
      </c>
      <c r="E598" s="2" t="s">
        <v>12</v>
      </c>
      <c r="F598" s="2" t="s">
        <v>13</v>
      </c>
      <c r="G598" s="2">
        <v>2764.0353056310023</v>
      </c>
      <c r="H598" s="2">
        <v>3685.3804075080029</v>
      </c>
      <c r="I598" s="2">
        <v>0</v>
      </c>
      <c r="J598" s="2">
        <v>3</v>
      </c>
    </row>
    <row r="599" spans="1:10" x14ac:dyDescent="0.25">
      <c r="A599" s="2">
        <v>34</v>
      </c>
      <c r="B599" s="2" t="s">
        <v>8</v>
      </c>
      <c r="C599" s="2">
        <v>25.5</v>
      </c>
      <c r="D599" s="2">
        <v>1</v>
      </c>
      <c r="E599" s="2" t="s">
        <v>12</v>
      </c>
      <c r="F599" s="2" t="s">
        <v>15</v>
      </c>
      <c r="G599" s="2">
        <v>2358.6086293950611</v>
      </c>
      <c r="H599" s="2">
        <v>2774.8336816412498</v>
      </c>
      <c r="I599" s="2">
        <v>0</v>
      </c>
      <c r="J599" s="2">
        <v>0</v>
      </c>
    </row>
    <row r="600" spans="1:10" x14ac:dyDescent="0.25">
      <c r="A600" s="2">
        <v>43</v>
      </c>
      <c r="B600" s="2" t="s">
        <v>11</v>
      </c>
      <c r="C600" s="2">
        <v>32.6</v>
      </c>
      <c r="D600" s="2">
        <v>2</v>
      </c>
      <c r="E600" s="2" t="s">
        <v>12</v>
      </c>
      <c r="F600" s="2" t="s">
        <v>21</v>
      </c>
      <c r="G600" s="2">
        <v>1348.1358485529938</v>
      </c>
      <c r="H600" s="2">
        <v>1797.5144647373252</v>
      </c>
      <c r="I600" s="2">
        <v>0</v>
      </c>
      <c r="J600" s="2">
        <v>3</v>
      </c>
    </row>
    <row r="601" spans="1:10" x14ac:dyDescent="0.25">
      <c r="A601" s="2">
        <v>52</v>
      </c>
      <c r="B601" s="2" t="s">
        <v>8</v>
      </c>
      <c r="C601" s="2">
        <v>37.5</v>
      </c>
      <c r="D601" s="2">
        <v>2</v>
      </c>
      <c r="E601" s="2" t="s">
        <v>12</v>
      </c>
      <c r="F601" s="2" t="s">
        <v>20</v>
      </c>
      <c r="G601" s="2">
        <v>2000.7932749540109</v>
      </c>
      <c r="H601" s="2">
        <v>2667.7243666053478</v>
      </c>
      <c r="I601" s="2">
        <v>0</v>
      </c>
      <c r="J601" s="2">
        <v>3</v>
      </c>
    </row>
    <row r="602" spans="1:10" x14ac:dyDescent="0.25">
      <c r="A602" s="2">
        <v>18</v>
      </c>
      <c r="B602" s="2" t="s">
        <v>8</v>
      </c>
      <c r="C602" s="2">
        <v>25</v>
      </c>
      <c r="D602" s="2">
        <v>0</v>
      </c>
      <c r="E602" s="2" t="s">
        <v>12</v>
      </c>
      <c r="F602" s="2" t="s">
        <v>13</v>
      </c>
      <c r="G602" s="2">
        <v>1305.4955750745098</v>
      </c>
      <c r="H602" s="2">
        <v>1535.8771471464831</v>
      </c>
      <c r="I602" s="2">
        <v>0</v>
      </c>
      <c r="J602" s="2">
        <v>0</v>
      </c>
    </row>
    <row r="603" spans="1:10" x14ac:dyDescent="0.25">
      <c r="A603" s="2">
        <v>51</v>
      </c>
      <c r="B603" s="2" t="s">
        <v>11</v>
      </c>
      <c r="C603" s="2">
        <v>31.6</v>
      </c>
      <c r="D603" s="2">
        <v>0</v>
      </c>
      <c r="E603" s="2" t="s">
        <v>12</v>
      </c>
      <c r="F603" s="2" t="s">
        <v>20</v>
      </c>
      <c r="G603" s="2">
        <v>4425.0231355034166</v>
      </c>
      <c r="H603" s="2">
        <v>4214.3077480984939</v>
      </c>
      <c r="I603" s="2">
        <v>0</v>
      </c>
      <c r="J603" s="2">
        <v>1</v>
      </c>
    </row>
    <row r="604" spans="1:10" x14ac:dyDescent="0.25">
      <c r="A604" s="2">
        <v>56</v>
      </c>
      <c r="B604" s="2" t="s">
        <v>8</v>
      </c>
      <c r="C604" s="2">
        <v>25.3</v>
      </c>
      <c r="D604" s="2">
        <v>0</v>
      </c>
      <c r="E604" s="2" t="s">
        <v>12</v>
      </c>
      <c r="F604" s="2" t="s">
        <v>21</v>
      </c>
      <c r="G604" s="2">
        <v>5275.407380657839</v>
      </c>
      <c r="H604" s="2">
        <v>5024.1975053884198</v>
      </c>
      <c r="I604" s="2">
        <v>0</v>
      </c>
      <c r="J604" s="2">
        <v>1</v>
      </c>
    </row>
    <row r="605" spans="1:10" x14ac:dyDescent="0.25">
      <c r="A605" s="2">
        <v>64</v>
      </c>
      <c r="B605" s="2" t="s">
        <v>8</v>
      </c>
      <c r="C605" s="2">
        <v>39.1</v>
      </c>
      <c r="D605" s="2">
        <v>3</v>
      </c>
      <c r="E605" s="2" t="s">
        <v>12</v>
      </c>
      <c r="F605" s="2" t="s">
        <v>13</v>
      </c>
      <c r="G605" s="2">
        <v>3838.2899887584472</v>
      </c>
      <c r="H605" s="2">
        <v>5117.7199850112629</v>
      </c>
      <c r="I605" s="2">
        <v>0</v>
      </c>
      <c r="J605" s="2">
        <v>3</v>
      </c>
    </row>
    <row r="606" spans="1:10" x14ac:dyDescent="0.25">
      <c r="A606" s="2">
        <v>19</v>
      </c>
      <c r="B606" s="2" t="s">
        <v>8</v>
      </c>
      <c r="C606" s="2">
        <v>21.9</v>
      </c>
      <c r="D606" s="2">
        <v>0</v>
      </c>
      <c r="E606" s="2" t="s">
        <v>9</v>
      </c>
      <c r="F606" s="2" t="s">
        <v>20</v>
      </c>
      <c r="G606" s="2">
        <v>1665.8445764481464</v>
      </c>
      <c r="H606" s="2">
        <v>1959.8171487625261</v>
      </c>
      <c r="I606" s="2">
        <v>1</v>
      </c>
      <c r="J606" s="2">
        <v>2</v>
      </c>
    </row>
    <row r="607" spans="1:10" x14ac:dyDescent="0.25">
      <c r="A607" s="2">
        <v>51</v>
      </c>
      <c r="B607" s="2" t="s">
        <v>8</v>
      </c>
      <c r="C607" s="2">
        <v>34.1</v>
      </c>
      <c r="D607" s="2">
        <v>0</v>
      </c>
      <c r="E607" s="2" t="s">
        <v>12</v>
      </c>
      <c r="F607" s="2" t="s">
        <v>13</v>
      </c>
      <c r="G607" s="2">
        <v>6116.9566426234087</v>
      </c>
      <c r="H607" s="2">
        <v>5825.6729929746771</v>
      </c>
      <c r="I607" s="2">
        <v>0</v>
      </c>
      <c r="J607" s="2">
        <v>1</v>
      </c>
    </row>
    <row r="608" spans="1:10" x14ac:dyDescent="0.25">
      <c r="A608" s="2">
        <v>27</v>
      </c>
      <c r="B608" s="2" t="s">
        <v>8</v>
      </c>
      <c r="C608" s="2">
        <v>24.3</v>
      </c>
      <c r="D608" s="2">
        <v>0</v>
      </c>
      <c r="E608" s="2" t="s">
        <v>12</v>
      </c>
      <c r="F608" s="2" t="s">
        <v>15</v>
      </c>
      <c r="G608" s="2">
        <v>2218.2129265548365</v>
      </c>
      <c r="H608" s="2">
        <v>2609.6622665351024</v>
      </c>
      <c r="I608" s="2">
        <v>0</v>
      </c>
      <c r="J608" s="2">
        <v>0</v>
      </c>
    </row>
    <row r="609" spans="1:10" x14ac:dyDescent="0.25">
      <c r="A609" s="2">
        <v>59</v>
      </c>
      <c r="B609" s="2" t="s">
        <v>8</v>
      </c>
      <c r="C609" s="2">
        <v>23.7</v>
      </c>
      <c r="D609" s="2">
        <v>0</v>
      </c>
      <c r="E609" s="2" t="s">
        <v>9</v>
      </c>
      <c r="F609" s="2" t="s">
        <v>20</v>
      </c>
      <c r="G609" s="2">
        <v>4693.2136902764169</v>
      </c>
      <c r="H609" s="2">
        <v>4469.7273240727791</v>
      </c>
      <c r="I609" s="2">
        <v>1</v>
      </c>
      <c r="J609" s="2">
        <v>2</v>
      </c>
    </row>
    <row r="610" spans="1:10" x14ac:dyDescent="0.25">
      <c r="A610" s="2">
        <v>28</v>
      </c>
      <c r="B610" s="2" t="s">
        <v>11</v>
      </c>
      <c r="C610" s="2">
        <v>27</v>
      </c>
      <c r="D610" s="2">
        <v>2</v>
      </c>
      <c r="E610" s="2" t="s">
        <v>12</v>
      </c>
      <c r="F610" s="2" t="s">
        <v>15</v>
      </c>
      <c r="G610" s="2">
        <v>1844.7524265510669</v>
      </c>
      <c r="H610" s="2">
        <v>2459.6699020680894</v>
      </c>
      <c r="I610" s="2">
        <v>0</v>
      </c>
      <c r="J610" s="2">
        <v>3</v>
      </c>
    </row>
    <row r="611" spans="1:10" x14ac:dyDescent="0.25">
      <c r="A611" s="2">
        <v>30</v>
      </c>
      <c r="B611" s="2" t="s">
        <v>11</v>
      </c>
      <c r="C611" s="2">
        <v>37.799999999999997</v>
      </c>
      <c r="D611" s="2">
        <v>2</v>
      </c>
      <c r="E611" s="2" t="s">
        <v>9</v>
      </c>
      <c r="F611" s="2" t="s">
        <v>21</v>
      </c>
      <c r="G611" s="2">
        <v>1102.8832814910741</v>
      </c>
      <c r="H611" s="2">
        <v>1470.5110419880987</v>
      </c>
      <c r="I611" s="2">
        <v>1</v>
      </c>
      <c r="J611" s="2">
        <v>2</v>
      </c>
    </row>
    <row r="612" spans="1:10" x14ac:dyDescent="0.25">
      <c r="A612" s="2">
        <v>47</v>
      </c>
      <c r="B612" s="2" t="s">
        <v>8</v>
      </c>
      <c r="C612" s="2">
        <v>29.4</v>
      </c>
      <c r="D612" s="2">
        <v>1</v>
      </c>
      <c r="E612" s="2" t="s">
        <v>12</v>
      </c>
      <c r="F612" s="2" t="s">
        <v>13</v>
      </c>
      <c r="G612" s="2">
        <v>4926.3394939243235</v>
      </c>
      <c r="H612" s="2">
        <v>4691.7518989755472</v>
      </c>
      <c r="I612" s="2">
        <v>0</v>
      </c>
      <c r="J612" s="2">
        <v>1</v>
      </c>
    </row>
    <row r="613" spans="1:10" x14ac:dyDescent="0.25">
      <c r="A613" s="2">
        <v>38</v>
      </c>
      <c r="B613" s="2" t="s">
        <v>8</v>
      </c>
      <c r="C613" s="2">
        <v>34.799999999999997</v>
      </c>
      <c r="D613" s="2">
        <v>2</v>
      </c>
      <c r="E613" s="2" t="s">
        <v>12</v>
      </c>
      <c r="F613" s="2" t="s">
        <v>21</v>
      </c>
      <c r="G613" s="2">
        <v>1874.3692452083774</v>
      </c>
      <c r="H613" s="2">
        <v>2499.15899361117</v>
      </c>
      <c r="I613" s="2">
        <v>0</v>
      </c>
      <c r="J613" s="2">
        <v>3</v>
      </c>
    </row>
    <row r="614" spans="1:10" x14ac:dyDescent="0.25">
      <c r="A614" s="2">
        <v>18</v>
      </c>
      <c r="B614" s="2" t="s">
        <v>8</v>
      </c>
      <c r="C614" s="2">
        <v>21.3</v>
      </c>
      <c r="D614" s="2">
        <v>0</v>
      </c>
      <c r="E614" s="2" t="s">
        <v>12</v>
      </c>
      <c r="F614" s="2" t="s">
        <v>15</v>
      </c>
      <c r="G614" s="2">
        <v>2164.2012005940646</v>
      </c>
      <c r="H614" s="2">
        <v>2546.1190595224298</v>
      </c>
      <c r="I614" s="2">
        <v>0</v>
      </c>
      <c r="J614" s="2">
        <v>0</v>
      </c>
    </row>
    <row r="615" spans="1:10" x14ac:dyDescent="0.25">
      <c r="A615" s="2">
        <v>34</v>
      </c>
      <c r="B615" s="2" t="s">
        <v>8</v>
      </c>
      <c r="C615" s="2">
        <v>19</v>
      </c>
      <c r="D615" s="2">
        <v>3</v>
      </c>
      <c r="E615" s="2" t="s">
        <v>12</v>
      </c>
      <c r="F615" s="2" t="s">
        <v>15</v>
      </c>
      <c r="G615" s="2">
        <v>1577.6532186706208</v>
      </c>
      <c r="H615" s="2">
        <v>2103.5376248941611</v>
      </c>
      <c r="I615" s="2">
        <v>0</v>
      </c>
      <c r="J615" s="2">
        <v>3</v>
      </c>
    </row>
    <row r="616" spans="1:10" x14ac:dyDescent="0.25">
      <c r="A616" s="2">
        <v>20</v>
      </c>
      <c r="B616" s="2" t="s">
        <v>8</v>
      </c>
      <c r="C616" s="2">
        <v>25.7</v>
      </c>
      <c r="D616" s="2">
        <v>0</v>
      </c>
      <c r="E616" s="2" t="s">
        <v>12</v>
      </c>
      <c r="F616" s="2" t="s">
        <v>13</v>
      </c>
      <c r="G616" s="2">
        <v>2354.9971340573775</v>
      </c>
      <c r="H616" s="2">
        <v>2770.5848635969155</v>
      </c>
      <c r="I616" s="2">
        <v>0</v>
      </c>
      <c r="J616" s="2">
        <v>0</v>
      </c>
    </row>
    <row r="617" spans="1:10" x14ac:dyDescent="0.25">
      <c r="A617" s="2">
        <v>47</v>
      </c>
      <c r="B617" s="2" t="s">
        <v>8</v>
      </c>
      <c r="C617" s="2">
        <v>36.6</v>
      </c>
      <c r="D617" s="2">
        <v>1</v>
      </c>
      <c r="E617" s="2" t="s">
        <v>9</v>
      </c>
      <c r="F617" s="2" t="s">
        <v>13</v>
      </c>
      <c r="G617" s="2">
        <v>3499.0189233002525</v>
      </c>
      <c r="H617" s="2">
        <v>3332.3989745716708</v>
      </c>
      <c r="I617" s="2">
        <v>1</v>
      </c>
      <c r="J617" s="2">
        <v>2</v>
      </c>
    </row>
    <row r="618" spans="1:10" x14ac:dyDescent="0.25">
      <c r="A618" s="2">
        <v>56</v>
      </c>
      <c r="B618" s="2" t="s">
        <v>8</v>
      </c>
      <c r="C618" s="2">
        <v>28.6</v>
      </c>
      <c r="D618" s="2">
        <v>0</v>
      </c>
      <c r="E618" s="2" t="s">
        <v>12</v>
      </c>
      <c r="F618" s="2" t="s">
        <v>15</v>
      </c>
      <c r="G618" s="2">
        <v>5548.9753155497419</v>
      </c>
      <c r="H618" s="2">
        <v>5284.7383957616603</v>
      </c>
      <c r="I618" s="2">
        <v>0</v>
      </c>
      <c r="J618" s="2">
        <v>1</v>
      </c>
    </row>
    <row r="619" spans="1:10" x14ac:dyDescent="0.25">
      <c r="A619" s="2">
        <v>49</v>
      </c>
      <c r="B619" s="2" t="s">
        <v>11</v>
      </c>
      <c r="C619" s="2">
        <v>25.6</v>
      </c>
      <c r="D619" s="2">
        <v>2</v>
      </c>
      <c r="E619" s="2" t="s">
        <v>9</v>
      </c>
      <c r="F619" s="2" t="s">
        <v>21</v>
      </c>
      <c r="G619" s="2">
        <v>2065.9364433993483</v>
      </c>
      <c r="H619" s="2">
        <v>2754.5819245324642</v>
      </c>
      <c r="I619" s="2">
        <v>1</v>
      </c>
      <c r="J619" s="2">
        <v>2</v>
      </c>
    </row>
    <row r="620" spans="1:10" x14ac:dyDescent="0.25">
      <c r="A620" s="2">
        <v>19</v>
      </c>
      <c r="B620" s="2" t="s">
        <v>8</v>
      </c>
      <c r="C620" s="2">
        <v>20.8</v>
      </c>
      <c r="D620" s="2">
        <v>0</v>
      </c>
      <c r="E620" s="2" t="s">
        <v>9</v>
      </c>
      <c r="F620" s="2" t="s">
        <v>13</v>
      </c>
      <c r="G620" s="2">
        <v>1562.6560235672694</v>
      </c>
      <c r="H620" s="2">
        <v>1838.4188512556118</v>
      </c>
      <c r="I620" s="2">
        <v>1</v>
      </c>
      <c r="J620" s="2">
        <v>2</v>
      </c>
    </row>
    <row r="621" spans="1:10" x14ac:dyDescent="0.25">
      <c r="A621" s="2">
        <v>55</v>
      </c>
      <c r="B621" s="2" t="s">
        <v>8</v>
      </c>
      <c r="C621" s="2">
        <v>37.1</v>
      </c>
      <c r="D621" s="2">
        <v>0</v>
      </c>
      <c r="E621" s="2" t="s">
        <v>12</v>
      </c>
      <c r="F621" s="2" t="s">
        <v>21</v>
      </c>
      <c r="G621" s="2">
        <v>4856.0236924531964</v>
      </c>
      <c r="H621" s="2">
        <v>4624.7844690030452</v>
      </c>
      <c r="I621" s="2">
        <v>0</v>
      </c>
      <c r="J621" s="2">
        <v>1</v>
      </c>
    </row>
    <row r="622" spans="1:10" x14ac:dyDescent="0.25">
      <c r="A622" s="2">
        <v>30</v>
      </c>
      <c r="B622" s="2" t="s">
        <v>11</v>
      </c>
      <c r="C622" s="2">
        <v>21</v>
      </c>
      <c r="D622" s="2">
        <v>1</v>
      </c>
      <c r="E622" s="2" t="s">
        <v>12</v>
      </c>
      <c r="F622" s="2" t="s">
        <v>21</v>
      </c>
      <c r="G622" s="2">
        <v>2038.9735054897963</v>
      </c>
      <c r="H622" s="2">
        <v>2398.7923593997612</v>
      </c>
      <c r="I622" s="2">
        <v>0</v>
      </c>
      <c r="J622" s="2">
        <v>0</v>
      </c>
    </row>
    <row r="623" spans="1:10" x14ac:dyDescent="0.25">
      <c r="A623" s="2">
        <v>37</v>
      </c>
      <c r="B623" s="2" t="s">
        <v>11</v>
      </c>
      <c r="C623" s="2">
        <v>34.1</v>
      </c>
      <c r="D623" s="2">
        <v>4</v>
      </c>
      <c r="E623" s="2" t="s">
        <v>9</v>
      </c>
      <c r="F623" s="2" t="s">
        <v>21</v>
      </c>
      <c r="G623" s="2">
        <v>3294.5250846796571</v>
      </c>
      <c r="H623" s="2">
        <v>4392.7001129062091</v>
      </c>
      <c r="I623" s="2">
        <v>1</v>
      </c>
      <c r="J623" s="2">
        <v>2</v>
      </c>
    </row>
    <row r="624" spans="1:10" x14ac:dyDescent="0.25">
      <c r="A624" s="2">
        <v>49</v>
      </c>
      <c r="B624" s="2" t="s">
        <v>8</v>
      </c>
      <c r="C624" s="2">
        <v>21.3</v>
      </c>
      <c r="D624" s="2">
        <v>1</v>
      </c>
      <c r="E624" s="2" t="s">
        <v>12</v>
      </c>
      <c r="F624" s="2" t="s">
        <v>21</v>
      </c>
      <c r="G624" s="2">
        <v>2151.8406429623342</v>
      </c>
      <c r="H624" s="2">
        <v>2531.5772270145112</v>
      </c>
      <c r="I624" s="2">
        <v>0</v>
      </c>
      <c r="J624" s="2">
        <v>0</v>
      </c>
    </row>
    <row r="625" spans="1:10" x14ac:dyDescent="0.25">
      <c r="A625" s="2">
        <v>18</v>
      </c>
      <c r="B625" s="2" t="s">
        <v>11</v>
      </c>
      <c r="C625" s="2">
        <v>22.5</v>
      </c>
      <c r="D625" s="2">
        <v>0</v>
      </c>
      <c r="E625" s="2" t="s">
        <v>9</v>
      </c>
      <c r="F625" s="2" t="s">
        <v>15</v>
      </c>
      <c r="G625" s="2">
        <v>1341.5124779361101</v>
      </c>
      <c r="H625" s="2">
        <v>1578.2499740424832</v>
      </c>
      <c r="I625" s="2">
        <v>1</v>
      </c>
      <c r="J625" s="2">
        <v>2</v>
      </c>
    </row>
    <row r="626" spans="1:10" x14ac:dyDescent="0.25">
      <c r="A626" s="2">
        <v>59</v>
      </c>
      <c r="B626" s="2" t="s">
        <v>11</v>
      </c>
      <c r="C626" s="2">
        <v>28.8</v>
      </c>
      <c r="D626" s="2">
        <v>0</v>
      </c>
      <c r="E626" s="2" t="s">
        <v>12</v>
      </c>
      <c r="F626" s="2" t="s">
        <v>20</v>
      </c>
      <c r="G626" s="2">
        <v>3665.049254457494</v>
      </c>
      <c r="H626" s="2">
        <v>3490.5230994833291</v>
      </c>
      <c r="I626" s="2">
        <v>0</v>
      </c>
      <c r="J626" s="2">
        <v>1</v>
      </c>
    </row>
    <row r="627" spans="1:10" x14ac:dyDescent="0.25">
      <c r="A627" s="2">
        <v>29</v>
      </c>
      <c r="B627" s="2" t="s">
        <v>8</v>
      </c>
      <c r="C627" s="2">
        <v>20.8</v>
      </c>
      <c r="D627" s="2">
        <v>0</v>
      </c>
      <c r="E627" s="2" t="s">
        <v>12</v>
      </c>
      <c r="F627" s="2" t="s">
        <v>20</v>
      </c>
      <c r="G627" s="2">
        <v>1543.9984290536881</v>
      </c>
      <c r="H627" s="2">
        <v>1816.4687400631633</v>
      </c>
      <c r="I627" s="2">
        <v>0</v>
      </c>
      <c r="J627" s="2">
        <v>0</v>
      </c>
    </row>
    <row r="628" spans="1:10" x14ac:dyDescent="0.25">
      <c r="A628" s="2">
        <v>36</v>
      </c>
      <c r="B628" s="2" t="s">
        <v>11</v>
      </c>
      <c r="C628" s="2">
        <v>28.9</v>
      </c>
      <c r="D628" s="2">
        <v>3</v>
      </c>
      <c r="E628" s="2" t="s">
        <v>12</v>
      </c>
      <c r="F628" s="2" t="s">
        <v>15</v>
      </c>
      <c r="G628" s="2">
        <v>2639.0889686902506</v>
      </c>
      <c r="H628" s="2">
        <v>3518.7852915870008</v>
      </c>
      <c r="I628" s="2">
        <v>0</v>
      </c>
      <c r="J628" s="2">
        <v>3</v>
      </c>
    </row>
    <row r="629" spans="1:10" x14ac:dyDescent="0.25">
      <c r="A629" s="2">
        <v>33</v>
      </c>
      <c r="B629" s="2" t="s">
        <v>11</v>
      </c>
      <c r="C629" s="2">
        <v>24.2</v>
      </c>
      <c r="D629" s="2">
        <v>1</v>
      </c>
      <c r="E629" s="2" t="s">
        <v>12</v>
      </c>
      <c r="F629" s="2" t="s">
        <v>13</v>
      </c>
      <c r="G629" s="2">
        <v>2391.4792659348532</v>
      </c>
      <c r="H629" s="2">
        <v>2813.505018746886</v>
      </c>
      <c r="I629" s="2">
        <v>0</v>
      </c>
      <c r="J629" s="2">
        <v>0</v>
      </c>
    </row>
    <row r="630" spans="1:10" x14ac:dyDescent="0.25">
      <c r="A630" s="2">
        <v>58</v>
      </c>
      <c r="B630" s="2" t="s">
        <v>11</v>
      </c>
      <c r="C630" s="2">
        <v>38</v>
      </c>
      <c r="D630" s="2">
        <v>0</v>
      </c>
      <c r="E630" s="2" t="s">
        <v>12</v>
      </c>
      <c r="F630" s="2" t="s">
        <v>21</v>
      </c>
      <c r="G630" s="2">
        <v>3817.7252095097551</v>
      </c>
      <c r="H630" s="2">
        <v>3635.9287709616733</v>
      </c>
      <c r="I630" s="2">
        <v>0</v>
      </c>
      <c r="J630" s="2">
        <v>1</v>
      </c>
    </row>
    <row r="631" spans="1:10" x14ac:dyDescent="0.25">
      <c r="A631" s="2">
        <v>44</v>
      </c>
      <c r="B631" s="2" t="s">
        <v>8</v>
      </c>
      <c r="C631" s="2">
        <v>39</v>
      </c>
      <c r="D631" s="2">
        <v>0</v>
      </c>
      <c r="E631" s="2" t="s">
        <v>9</v>
      </c>
      <c r="F631" s="2" t="s">
        <v>20</v>
      </c>
      <c r="G631" s="2">
        <v>4435.7217638136035</v>
      </c>
      <c r="H631" s="2">
        <v>4224.4969179177187</v>
      </c>
      <c r="I631" s="2">
        <v>1</v>
      </c>
      <c r="J631" s="2">
        <v>2</v>
      </c>
    </row>
    <row r="632" spans="1:10" x14ac:dyDescent="0.25">
      <c r="A632" s="2">
        <v>53</v>
      </c>
      <c r="B632" s="2" t="s">
        <v>11</v>
      </c>
      <c r="C632" s="2">
        <v>36.1</v>
      </c>
      <c r="D632" s="2">
        <v>1</v>
      </c>
      <c r="E632" s="2" t="s">
        <v>12</v>
      </c>
      <c r="F632" s="2" t="s">
        <v>21</v>
      </c>
      <c r="G632" s="2">
        <v>5417.9451972951065</v>
      </c>
      <c r="H632" s="2">
        <v>5159.9478069477218</v>
      </c>
      <c r="I632" s="2">
        <v>0</v>
      </c>
      <c r="J632" s="2">
        <v>1</v>
      </c>
    </row>
    <row r="633" spans="1:10" x14ac:dyDescent="0.25">
      <c r="A633" s="2">
        <v>24</v>
      </c>
      <c r="B633" s="2" t="s">
        <v>11</v>
      </c>
      <c r="C633" s="2">
        <v>20.399999999999999</v>
      </c>
      <c r="D633" s="2">
        <v>0</v>
      </c>
      <c r="E633" s="2" t="s">
        <v>12</v>
      </c>
      <c r="F633" s="2" t="s">
        <v>21</v>
      </c>
      <c r="G633" s="2">
        <v>2262.8795208706229</v>
      </c>
      <c r="H633" s="2">
        <v>2662.2112010242627</v>
      </c>
      <c r="I633" s="2">
        <v>0</v>
      </c>
      <c r="J633" s="2">
        <v>0</v>
      </c>
    </row>
    <row r="634" spans="1:10" x14ac:dyDescent="0.25">
      <c r="A634" s="2">
        <v>29</v>
      </c>
      <c r="B634" s="2" t="s">
        <v>8</v>
      </c>
      <c r="C634" s="2">
        <v>20.399999999999999</v>
      </c>
      <c r="D634" s="2">
        <v>0</v>
      </c>
      <c r="E634" s="2" t="s">
        <v>12</v>
      </c>
      <c r="F634" s="2" t="s">
        <v>13</v>
      </c>
      <c r="G634" s="2">
        <v>2502.3545483004018</v>
      </c>
      <c r="H634" s="2">
        <v>2943.9465274122385</v>
      </c>
      <c r="I634" s="2">
        <v>0</v>
      </c>
      <c r="J634" s="2">
        <v>0</v>
      </c>
    </row>
    <row r="635" spans="1:10" x14ac:dyDescent="0.25">
      <c r="A635" s="2">
        <v>40</v>
      </c>
      <c r="B635" s="2" t="s">
        <v>11</v>
      </c>
      <c r="C635" s="2">
        <v>22.7</v>
      </c>
      <c r="D635" s="2">
        <v>2</v>
      </c>
      <c r="E635" s="2" t="s">
        <v>12</v>
      </c>
      <c r="F635" s="2" t="s">
        <v>15</v>
      </c>
      <c r="G635" s="2">
        <v>2340.4815816127302</v>
      </c>
      <c r="H635" s="2">
        <v>3120.6421088169736</v>
      </c>
      <c r="I635" s="2">
        <v>0</v>
      </c>
      <c r="J635" s="2">
        <v>3</v>
      </c>
    </row>
    <row r="636" spans="1:10" x14ac:dyDescent="0.25">
      <c r="A636" s="2">
        <v>51</v>
      </c>
      <c r="B636" s="2" t="s">
        <v>11</v>
      </c>
      <c r="C636" s="2">
        <v>39.700000000000003</v>
      </c>
      <c r="D636" s="2">
        <v>1</v>
      </c>
      <c r="E636" s="2" t="s">
        <v>12</v>
      </c>
      <c r="F636" s="2" t="s">
        <v>21</v>
      </c>
      <c r="G636" s="2">
        <v>4653.602528925293</v>
      </c>
      <c r="H636" s="2">
        <v>4432.0024085002806</v>
      </c>
      <c r="I636" s="2">
        <v>0</v>
      </c>
      <c r="J636" s="2">
        <v>1</v>
      </c>
    </row>
    <row r="637" spans="1:10" x14ac:dyDescent="0.25">
      <c r="A637" s="2">
        <v>64</v>
      </c>
      <c r="B637" s="2" t="s">
        <v>11</v>
      </c>
      <c r="C637" s="2">
        <v>38.200000000000003</v>
      </c>
      <c r="D637" s="2">
        <v>0</v>
      </c>
      <c r="E637" s="2" t="s">
        <v>12</v>
      </c>
      <c r="F637" s="2" t="s">
        <v>15</v>
      </c>
      <c r="G637" s="2">
        <v>4526.177396157248</v>
      </c>
      <c r="H637" s="2">
        <v>4310.6451391973806</v>
      </c>
      <c r="I637" s="2">
        <v>0</v>
      </c>
      <c r="J637" s="2">
        <v>1</v>
      </c>
    </row>
    <row r="638" spans="1:10" x14ac:dyDescent="0.25">
      <c r="A638" s="2">
        <v>19</v>
      </c>
      <c r="B638" s="2" t="s">
        <v>8</v>
      </c>
      <c r="C638" s="2">
        <v>24.5</v>
      </c>
      <c r="D638" s="2">
        <v>1</v>
      </c>
      <c r="E638" s="2" t="s">
        <v>12</v>
      </c>
      <c r="F638" s="2" t="s">
        <v>20</v>
      </c>
      <c r="G638" s="2">
        <v>1995.3193817865022</v>
      </c>
      <c r="H638" s="2">
        <v>2347.4345668076508</v>
      </c>
      <c r="I638" s="2">
        <v>0</v>
      </c>
      <c r="J638" s="2">
        <v>0</v>
      </c>
    </row>
    <row r="639" spans="1:10" x14ac:dyDescent="0.25">
      <c r="A639" s="2">
        <v>35</v>
      </c>
      <c r="B639" s="2" t="s">
        <v>8</v>
      </c>
      <c r="C639" s="2">
        <v>38.1</v>
      </c>
      <c r="D639" s="2">
        <v>2</v>
      </c>
      <c r="E639" s="2" t="s">
        <v>12</v>
      </c>
      <c r="F639" s="2" t="s">
        <v>15</v>
      </c>
      <c r="G639" s="2">
        <v>1537.0756877884346</v>
      </c>
      <c r="H639" s="2">
        <v>2049.4342503845796</v>
      </c>
      <c r="I639" s="2">
        <v>0</v>
      </c>
      <c r="J639" s="2">
        <v>3</v>
      </c>
    </row>
    <row r="640" spans="1:10" x14ac:dyDescent="0.25">
      <c r="A640" s="2">
        <v>39</v>
      </c>
      <c r="B640" s="2" t="s">
        <v>11</v>
      </c>
      <c r="C640" s="2">
        <v>21</v>
      </c>
      <c r="D640" s="2">
        <v>0</v>
      </c>
      <c r="E640" s="2" t="s">
        <v>9</v>
      </c>
      <c r="F640" s="2" t="s">
        <v>15</v>
      </c>
      <c r="G640" s="2">
        <v>2158.5271865007826</v>
      </c>
      <c r="H640" s="2">
        <v>2539.4437488244507</v>
      </c>
      <c r="I640" s="2">
        <v>1</v>
      </c>
      <c r="J640" s="2">
        <v>2</v>
      </c>
    </row>
    <row r="641" spans="1:10" x14ac:dyDescent="0.25">
      <c r="A641" s="2">
        <v>56</v>
      </c>
      <c r="B641" s="2" t="s">
        <v>11</v>
      </c>
      <c r="C641" s="2">
        <v>33.700000000000003</v>
      </c>
      <c r="D641" s="2">
        <v>4</v>
      </c>
      <c r="E641" s="2" t="s">
        <v>12</v>
      </c>
      <c r="F641" s="2" t="s">
        <v>13</v>
      </c>
      <c r="G641" s="2">
        <v>2456.1091586444518</v>
      </c>
      <c r="H641" s="2">
        <v>3274.8122115259357</v>
      </c>
      <c r="I641" s="2">
        <v>0</v>
      </c>
      <c r="J641" s="2">
        <v>3</v>
      </c>
    </row>
    <row r="642" spans="1:10" x14ac:dyDescent="0.25">
      <c r="A642" s="2">
        <v>33</v>
      </c>
      <c r="B642" s="2" t="s">
        <v>11</v>
      </c>
      <c r="C642" s="2">
        <v>42.4</v>
      </c>
      <c r="D642" s="2">
        <v>5</v>
      </c>
      <c r="E642" s="2" t="s">
        <v>12</v>
      </c>
      <c r="F642" s="2" t="s">
        <v>21</v>
      </c>
      <c r="G642" s="2">
        <v>3226.8722842962188</v>
      </c>
      <c r="H642" s="2">
        <v>4302.4963790616248</v>
      </c>
      <c r="I642" s="2">
        <v>0</v>
      </c>
      <c r="J642" s="2">
        <v>3</v>
      </c>
    </row>
    <row r="643" spans="1:10" x14ac:dyDescent="0.25">
      <c r="A643" s="2">
        <v>42</v>
      </c>
      <c r="B643" s="2" t="s">
        <v>11</v>
      </c>
      <c r="C643" s="2">
        <v>28.3</v>
      </c>
      <c r="D643" s="2">
        <v>3</v>
      </c>
      <c r="E643" s="2" t="s">
        <v>9</v>
      </c>
      <c r="F643" s="2" t="s">
        <v>20</v>
      </c>
      <c r="G643" s="2">
        <v>2266.8127467072813</v>
      </c>
      <c r="H643" s="2">
        <v>3022.4169956097085</v>
      </c>
      <c r="I643" s="2">
        <v>1</v>
      </c>
      <c r="J643" s="2">
        <v>2</v>
      </c>
    </row>
    <row r="644" spans="1:10" x14ac:dyDescent="0.25">
      <c r="A644" s="2">
        <v>61</v>
      </c>
      <c r="B644" s="2" t="s">
        <v>11</v>
      </c>
      <c r="C644" s="2">
        <v>33.9</v>
      </c>
      <c r="D644" s="2">
        <v>0</v>
      </c>
      <c r="E644" s="2" t="s">
        <v>12</v>
      </c>
      <c r="F644" s="2" t="s">
        <v>15</v>
      </c>
      <c r="G644" s="2">
        <v>4943.805121690646</v>
      </c>
      <c r="H644" s="2">
        <v>4708.3858301815699</v>
      </c>
      <c r="I644" s="2">
        <v>0</v>
      </c>
      <c r="J644" s="2">
        <v>1</v>
      </c>
    </row>
    <row r="645" spans="1:10" x14ac:dyDescent="0.25">
      <c r="A645" s="2">
        <v>23</v>
      </c>
      <c r="B645" s="2" t="s">
        <v>8</v>
      </c>
      <c r="C645" s="2">
        <v>35</v>
      </c>
      <c r="D645" s="2">
        <v>3</v>
      </c>
      <c r="E645" s="2" t="s">
        <v>12</v>
      </c>
      <c r="F645" s="2" t="s">
        <v>20</v>
      </c>
      <c r="G645" s="2">
        <v>1396.9194641230911</v>
      </c>
      <c r="H645" s="2">
        <v>1862.5592854974548</v>
      </c>
      <c r="I645" s="2">
        <v>0</v>
      </c>
      <c r="J645" s="2">
        <v>3</v>
      </c>
    </row>
    <row r="646" spans="1:10" x14ac:dyDescent="0.25">
      <c r="A646" s="2">
        <v>43</v>
      </c>
      <c r="B646" s="2" t="s">
        <v>11</v>
      </c>
      <c r="C646" s="2">
        <v>35.299999999999997</v>
      </c>
      <c r="D646" s="2">
        <v>2</v>
      </c>
      <c r="E646" s="2" t="s">
        <v>12</v>
      </c>
      <c r="F646" s="2" t="s">
        <v>13</v>
      </c>
      <c r="G646" s="2">
        <v>2751.3993007591334</v>
      </c>
      <c r="H646" s="2">
        <v>3668.5324010121781</v>
      </c>
      <c r="I646" s="2">
        <v>0</v>
      </c>
      <c r="J646" s="2">
        <v>3</v>
      </c>
    </row>
    <row r="647" spans="1:10" x14ac:dyDescent="0.25">
      <c r="A647" s="2">
        <v>48</v>
      </c>
      <c r="B647" s="2" t="s">
        <v>11</v>
      </c>
      <c r="C647" s="2">
        <v>30.8</v>
      </c>
      <c r="D647" s="2">
        <v>3</v>
      </c>
      <c r="E647" s="2" t="s">
        <v>12</v>
      </c>
      <c r="F647" s="2" t="s">
        <v>15</v>
      </c>
      <c r="G647" s="2">
        <v>2491.646109276332</v>
      </c>
      <c r="H647" s="2">
        <v>3322.1948123684429</v>
      </c>
      <c r="I647" s="2">
        <v>0</v>
      </c>
      <c r="J647" s="2">
        <v>3</v>
      </c>
    </row>
    <row r="648" spans="1:10" x14ac:dyDescent="0.25">
      <c r="A648" s="2">
        <v>39</v>
      </c>
      <c r="B648" s="2" t="s">
        <v>11</v>
      </c>
      <c r="C648" s="2">
        <v>24.4</v>
      </c>
      <c r="D648" s="2">
        <v>1</v>
      </c>
      <c r="E648" s="2" t="s">
        <v>12</v>
      </c>
      <c r="F648" s="2" t="s">
        <v>20</v>
      </c>
      <c r="G648" s="2">
        <v>1500.9600551444748</v>
      </c>
      <c r="H648" s="2">
        <v>1765.8353589935007</v>
      </c>
      <c r="I648" s="2">
        <v>0</v>
      </c>
      <c r="J648" s="2">
        <v>0</v>
      </c>
    </row>
    <row r="649" spans="1:10" x14ac:dyDescent="0.25">
      <c r="A649" s="2">
        <v>40</v>
      </c>
      <c r="B649" s="2" t="s">
        <v>8</v>
      </c>
      <c r="C649" s="2">
        <v>23.4</v>
      </c>
      <c r="D649" s="2">
        <v>3</v>
      </c>
      <c r="E649" s="2" t="s">
        <v>12</v>
      </c>
      <c r="F649" s="2" t="s">
        <v>15</v>
      </c>
      <c r="G649" s="2">
        <v>1927.1926771981418</v>
      </c>
      <c r="H649" s="2">
        <v>2569.5902362641891</v>
      </c>
      <c r="I649" s="2">
        <v>0</v>
      </c>
      <c r="J649" s="2">
        <v>3</v>
      </c>
    </row>
    <row r="650" spans="1:10" x14ac:dyDescent="0.25">
      <c r="A650" s="2">
        <v>18</v>
      </c>
      <c r="B650" s="2" t="s">
        <v>11</v>
      </c>
      <c r="C650" s="2">
        <v>22.7</v>
      </c>
      <c r="D650" s="2">
        <v>0</v>
      </c>
      <c r="E650" s="2" t="s">
        <v>12</v>
      </c>
      <c r="F650" s="2" t="s">
        <v>15</v>
      </c>
      <c r="G650" s="2">
        <v>1948.3062408612454</v>
      </c>
      <c r="H650" s="2">
        <v>2292.1249892485248</v>
      </c>
      <c r="I650" s="2">
        <v>0</v>
      </c>
      <c r="J650" s="2">
        <v>0</v>
      </c>
    </row>
    <row r="651" spans="1:10" x14ac:dyDescent="0.25">
      <c r="A651" s="2">
        <v>58</v>
      </c>
      <c r="B651" s="2" t="s">
        <v>8</v>
      </c>
      <c r="C651" s="2">
        <v>33</v>
      </c>
      <c r="D651" s="2">
        <v>0</v>
      </c>
      <c r="E651" s="2" t="s">
        <v>12</v>
      </c>
      <c r="F651" s="2" t="s">
        <v>15</v>
      </c>
      <c r="G651" s="2">
        <v>3687.7849785616354</v>
      </c>
      <c r="H651" s="2">
        <v>3512.1761700587022</v>
      </c>
      <c r="I651" s="2">
        <v>0</v>
      </c>
      <c r="J651" s="2">
        <v>1</v>
      </c>
    </row>
    <row r="652" spans="1:10" x14ac:dyDescent="0.25">
      <c r="A652" s="2">
        <v>49</v>
      </c>
      <c r="B652" s="2" t="s">
        <v>8</v>
      </c>
      <c r="C652" s="2">
        <v>42.7</v>
      </c>
      <c r="D652" s="2">
        <v>2</v>
      </c>
      <c r="E652" s="2" t="s">
        <v>12</v>
      </c>
      <c r="F652" s="2" t="s">
        <v>13</v>
      </c>
      <c r="G652" s="2">
        <v>3534.9513471137298</v>
      </c>
      <c r="H652" s="2">
        <v>4713.268462818306</v>
      </c>
      <c r="I652" s="2">
        <v>0</v>
      </c>
      <c r="J652" s="2">
        <v>3</v>
      </c>
    </row>
    <row r="653" spans="1:10" x14ac:dyDescent="0.25">
      <c r="A653" s="2">
        <v>53</v>
      </c>
      <c r="B653" s="2" t="s">
        <v>8</v>
      </c>
      <c r="C653" s="2">
        <v>39.6</v>
      </c>
      <c r="D653" s="2">
        <v>1</v>
      </c>
      <c r="E653" s="2" t="s">
        <v>12</v>
      </c>
      <c r="F653" s="2" t="s">
        <v>13</v>
      </c>
      <c r="G653" s="2">
        <v>4483.1482350054139</v>
      </c>
      <c r="H653" s="2">
        <v>4269.6649857194425</v>
      </c>
      <c r="I653" s="2">
        <v>0</v>
      </c>
      <c r="J653" s="2">
        <v>1</v>
      </c>
    </row>
    <row r="654" spans="1:10" x14ac:dyDescent="0.25">
      <c r="A654" s="2">
        <v>48</v>
      </c>
      <c r="B654" s="2" t="s">
        <v>8</v>
      </c>
      <c r="C654" s="2">
        <v>31.1</v>
      </c>
      <c r="D654" s="2">
        <v>0</v>
      </c>
      <c r="E654" s="2" t="s">
        <v>12</v>
      </c>
      <c r="F654" s="2" t="s">
        <v>13</v>
      </c>
      <c r="G654" s="2">
        <v>5019.2326633054263</v>
      </c>
      <c r="H654" s="2">
        <v>4780.2215841004072</v>
      </c>
      <c r="I654" s="2">
        <v>0</v>
      </c>
      <c r="J654" s="2">
        <v>1</v>
      </c>
    </row>
    <row r="655" spans="1:10" x14ac:dyDescent="0.25">
      <c r="A655" s="2">
        <v>45</v>
      </c>
      <c r="B655" s="2" t="s">
        <v>8</v>
      </c>
      <c r="C655" s="2">
        <v>36.299999999999997</v>
      </c>
      <c r="D655" s="2">
        <v>2</v>
      </c>
      <c r="E655" s="2" t="s">
        <v>12</v>
      </c>
      <c r="F655" s="2" t="s">
        <v>13</v>
      </c>
      <c r="G655" s="2">
        <v>1434.0410477806849</v>
      </c>
      <c r="H655" s="2">
        <v>1912.0547303742467</v>
      </c>
      <c r="I655" s="2">
        <v>0</v>
      </c>
      <c r="J655" s="2">
        <v>3</v>
      </c>
    </row>
    <row r="656" spans="1:10" x14ac:dyDescent="0.25">
      <c r="A656" s="2">
        <v>59</v>
      </c>
      <c r="B656" s="2" t="s">
        <v>8</v>
      </c>
      <c r="C656" s="2">
        <v>35.200000000000003</v>
      </c>
      <c r="D656" s="2">
        <v>0</v>
      </c>
      <c r="E656" s="2" t="s">
        <v>12</v>
      </c>
      <c r="F656" s="2" t="s">
        <v>13</v>
      </c>
      <c r="G656" s="2">
        <v>4061.3840591493527</v>
      </c>
      <c r="H656" s="2">
        <v>3867.9848182374799</v>
      </c>
      <c r="I656" s="2">
        <v>0</v>
      </c>
      <c r="J656" s="2">
        <v>1</v>
      </c>
    </row>
    <row r="657" spans="1:10" x14ac:dyDescent="0.25">
      <c r="A657" s="2">
        <v>52</v>
      </c>
      <c r="B657" s="2" t="s">
        <v>8</v>
      </c>
      <c r="C657" s="2">
        <v>25.3</v>
      </c>
      <c r="D657" s="2">
        <v>2</v>
      </c>
      <c r="E657" s="2" t="s">
        <v>9</v>
      </c>
      <c r="F657" s="2" t="s">
        <v>13</v>
      </c>
      <c r="G657" s="2">
        <v>2257.8293332627177</v>
      </c>
      <c r="H657" s="2">
        <v>3010.4391110169568</v>
      </c>
      <c r="I657" s="2">
        <v>1</v>
      </c>
      <c r="J657" s="2">
        <v>2</v>
      </c>
    </row>
    <row r="658" spans="1:10" x14ac:dyDescent="0.25">
      <c r="A658" s="2">
        <v>26</v>
      </c>
      <c r="B658" s="2" t="s">
        <v>8</v>
      </c>
      <c r="C658" s="2">
        <v>21.6</v>
      </c>
      <c r="D658" s="2">
        <v>1</v>
      </c>
      <c r="E658" s="2" t="s">
        <v>12</v>
      </c>
      <c r="F658" s="2" t="s">
        <v>21</v>
      </c>
      <c r="G658" s="2">
        <v>2112.2281685852954</v>
      </c>
      <c r="H658" s="2">
        <v>2484.9743159827012</v>
      </c>
      <c r="I658" s="2">
        <v>0</v>
      </c>
      <c r="J658" s="2">
        <v>0</v>
      </c>
    </row>
    <row r="659" spans="1:10" x14ac:dyDescent="0.25">
      <c r="A659" s="2">
        <v>27</v>
      </c>
      <c r="B659" s="2" t="s">
        <v>11</v>
      </c>
      <c r="C659" s="2">
        <v>33.200000000000003</v>
      </c>
      <c r="D659" s="2">
        <v>2</v>
      </c>
      <c r="E659" s="2" t="s">
        <v>12</v>
      </c>
      <c r="F659" s="2" t="s">
        <v>20</v>
      </c>
      <c r="G659" s="2">
        <v>2772.9202048182906</v>
      </c>
      <c r="H659" s="2">
        <v>3697.2269397577206</v>
      </c>
      <c r="I659" s="2">
        <v>0</v>
      </c>
      <c r="J659" s="2">
        <v>3</v>
      </c>
    </row>
    <row r="660" spans="1:10" x14ac:dyDescent="0.25">
      <c r="A660" s="2">
        <v>48</v>
      </c>
      <c r="B660" s="2" t="s">
        <v>8</v>
      </c>
      <c r="C660" s="2">
        <v>35.9</v>
      </c>
      <c r="D660" s="2">
        <v>1</v>
      </c>
      <c r="E660" s="2" t="s">
        <v>12</v>
      </c>
      <c r="F660" s="2" t="s">
        <v>15</v>
      </c>
      <c r="G660" s="2">
        <v>4702.4598316809916</v>
      </c>
      <c r="H660" s="2">
        <v>4478.5331730295175</v>
      </c>
      <c r="I660" s="2">
        <v>0</v>
      </c>
      <c r="J660" s="2">
        <v>1</v>
      </c>
    </row>
    <row r="661" spans="1:10" x14ac:dyDescent="0.25">
      <c r="A661" s="2">
        <v>57</v>
      </c>
      <c r="B661" s="2" t="s">
        <v>8</v>
      </c>
      <c r="C661" s="2">
        <v>28.8</v>
      </c>
      <c r="D661" s="2">
        <v>4</v>
      </c>
      <c r="E661" s="2" t="s">
        <v>12</v>
      </c>
      <c r="F661" s="2" t="s">
        <v>15</v>
      </c>
      <c r="G661" s="2">
        <v>1671.2900483543576</v>
      </c>
      <c r="H661" s="2">
        <v>2228.3867311391436</v>
      </c>
      <c r="I661" s="2">
        <v>0</v>
      </c>
      <c r="J661" s="2">
        <v>3</v>
      </c>
    </row>
    <row r="662" spans="1:10" x14ac:dyDescent="0.25">
      <c r="A662" s="2">
        <v>37</v>
      </c>
      <c r="B662" s="2" t="s">
        <v>11</v>
      </c>
      <c r="C662" s="2">
        <v>46.5</v>
      </c>
      <c r="D662" s="2">
        <v>3</v>
      </c>
      <c r="E662" s="2" t="s">
        <v>12</v>
      </c>
      <c r="F662" s="2" t="s">
        <v>13</v>
      </c>
      <c r="G662" s="2">
        <v>3340.6868153749415</v>
      </c>
      <c r="H662" s="2">
        <v>4454.2490871665887</v>
      </c>
      <c r="I662" s="2">
        <v>0</v>
      </c>
      <c r="J662" s="2">
        <v>3</v>
      </c>
    </row>
    <row r="663" spans="1:10" x14ac:dyDescent="0.25">
      <c r="A663" s="2">
        <v>57</v>
      </c>
      <c r="B663" s="2" t="s">
        <v>8</v>
      </c>
      <c r="C663" s="2">
        <v>24</v>
      </c>
      <c r="D663" s="2">
        <v>1</v>
      </c>
      <c r="E663" s="2" t="s">
        <v>12</v>
      </c>
      <c r="F663" s="2" t="s">
        <v>13</v>
      </c>
      <c r="G663" s="2">
        <v>4779.3148038992585</v>
      </c>
      <c r="H663" s="2">
        <v>4551.7283846659611</v>
      </c>
      <c r="I663" s="2">
        <v>0</v>
      </c>
      <c r="J663" s="2">
        <v>1</v>
      </c>
    </row>
    <row r="664" spans="1:10" x14ac:dyDescent="0.25">
      <c r="A664" s="2">
        <v>32</v>
      </c>
      <c r="B664" s="2" t="s">
        <v>8</v>
      </c>
      <c r="C664" s="2">
        <v>21.2</v>
      </c>
      <c r="D664" s="2">
        <v>1</v>
      </c>
      <c r="E664" s="2" t="s">
        <v>12</v>
      </c>
      <c r="F664" s="2" t="s">
        <v>15</v>
      </c>
      <c r="G664" s="2">
        <v>2022.3545064918821</v>
      </c>
      <c r="H664" s="2">
        <v>2379.2405958728032</v>
      </c>
      <c r="I664" s="2">
        <v>0</v>
      </c>
      <c r="J664" s="2">
        <v>0</v>
      </c>
    </row>
    <row r="665" spans="1:10" x14ac:dyDescent="0.25">
      <c r="A665" s="2">
        <v>18</v>
      </c>
      <c r="B665" s="2" t="s">
        <v>11</v>
      </c>
      <c r="C665" s="2">
        <v>20.5</v>
      </c>
      <c r="D665" s="2">
        <v>0</v>
      </c>
      <c r="E665" s="2" t="s">
        <v>12</v>
      </c>
      <c r="F665" s="2" t="s">
        <v>13</v>
      </c>
      <c r="G665" s="2">
        <v>1412.0581536922566</v>
      </c>
      <c r="H665" s="2">
        <v>1661.2448866967734</v>
      </c>
      <c r="I665" s="2">
        <v>0</v>
      </c>
      <c r="J665" s="2">
        <v>0</v>
      </c>
    </row>
    <row r="666" spans="1:10" x14ac:dyDescent="0.25">
      <c r="A666" s="2">
        <v>64</v>
      </c>
      <c r="B666" s="2" t="s">
        <v>8</v>
      </c>
      <c r="C666" s="2">
        <v>23</v>
      </c>
      <c r="D666" s="2">
        <v>0</v>
      </c>
      <c r="E666" s="2" t="s">
        <v>9</v>
      </c>
      <c r="F666" s="2" t="s">
        <v>13</v>
      </c>
      <c r="G666" s="2">
        <v>4651.6946411434465</v>
      </c>
      <c r="H666" s="2">
        <v>4430.1853725175697</v>
      </c>
      <c r="I666" s="2">
        <v>1</v>
      </c>
      <c r="J666" s="2">
        <v>2</v>
      </c>
    </row>
    <row r="667" spans="1:10" x14ac:dyDescent="0.25">
      <c r="A667" s="2">
        <v>43</v>
      </c>
      <c r="B667" s="2" t="s">
        <v>11</v>
      </c>
      <c r="C667" s="2">
        <v>38.1</v>
      </c>
      <c r="D667" s="2">
        <v>2</v>
      </c>
      <c r="E667" s="2" t="s">
        <v>9</v>
      </c>
      <c r="F667" s="2" t="s">
        <v>13</v>
      </c>
      <c r="G667" s="2">
        <v>2871.7488507611888</v>
      </c>
      <c r="H667" s="2">
        <v>3828.9984676815848</v>
      </c>
      <c r="I667" s="2">
        <v>1</v>
      </c>
      <c r="J667" s="2">
        <v>2</v>
      </c>
    </row>
    <row r="668" spans="1:10" x14ac:dyDescent="0.25">
      <c r="A668" s="2">
        <v>49</v>
      </c>
      <c r="B668" s="2" t="s">
        <v>11</v>
      </c>
      <c r="C668" s="2">
        <v>28.7</v>
      </c>
      <c r="D668" s="2">
        <v>1</v>
      </c>
      <c r="E668" s="2" t="s">
        <v>12</v>
      </c>
      <c r="F668" s="2" t="s">
        <v>21</v>
      </c>
      <c r="G668" s="2">
        <v>4750.1687035122341</v>
      </c>
      <c r="H668" s="2">
        <v>4523.9701938211765</v>
      </c>
      <c r="I668" s="2">
        <v>0</v>
      </c>
      <c r="J668" s="2">
        <v>1</v>
      </c>
    </row>
    <row r="669" spans="1:10" x14ac:dyDescent="0.25">
      <c r="A669" s="2">
        <v>40</v>
      </c>
      <c r="B669" s="2" t="s">
        <v>8</v>
      </c>
      <c r="C669" s="2">
        <v>32.799999999999997</v>
      </c>
      <c r="D669" s="2">
        <v>2</v>
      </c>
      <c r="E669" s="2" t="s">
        <v>9</v>
      </c>
      <c r="F669" s="2" t="s">
        <v>20</v>
      </c>
      <c r="G669" s="2">
        <v>1273.4736501329107</v>
      </c>
      <c r="H669" s="2">
        <v>1697.9648668438811</v>
      </c>
      <c r="I669" s="2">
        <v>1</v>
      </c>
      <c r="J669" s="2">
        <v>2</v>
      </c>
    </row>
    <row r="670" spans="1:10" x14ac:dyDescent="0.25">
      <c r="A670" s="2">
        <v>62</v>
      </c>
      <c r="B670" s="2" t="s">
        <v>11</v>
      </c>
      <c r="C670" s="2">
        <v>32</v>
      </c>
      <c r="D670" s="2">
        <v>0</v>
      </c>
      <c r="E670" s="2" t="s">
        <v>9</v>
      </c>
      <c r="F670" s="2" t="s">
        <v>15</v>
      </c>
      <c r="G670" s="2">
        <v>5089.6832323934977</v>
      </c>
      <c r="H670" s="2">
        <v>4847.3173641842841</v>
      </c>
      <c r="I670" s="2">
        <v>1</v>
      </c>
      <c r="J670" s="2">
        <v>2</v>
      </c>
    </row>
    <row r="671" spans="1:10" x14ac:dyDescent="0.25">
      <c r="A671" s="2">
        <v>40</v>
      </c>
      <c r="B671" s="2" t="s">
        <v>8</v>
      </c>
      <c r="C671" s="2">
        <v>29.8</v>
      </c>
      <c r="D671" s="2">
        <v>1</v>
      </c>
      <c r="E671" s="2" t="s">
        <v>12</v>
      </c>
      <c r="F671" s="2" t="s">
        <v>13</v>
      </c>
      <c r="G671" s="2">
        <v>4165.8651047938265</v>
      </c>
      <c r="H671" s="2">
        <v>3967.4905759941221</v>
      </c>
      <c r="I671" s="2">
        <v>0</v>
      </c>
      <c r="J671" s="2">
        <v>1</v>
      </c>
    </row>
    <row r="672" spans="1:10" x14ac:dyDescent="0.25">
      <c r="A672" s="2">
        <v>30</v>
      </c>
      <c r="B672" s="2" t="s">
        <v>11</v>
      </c>
      <c r="C672" s="2">
        <v>31.6</v>
      </c>
      <c r="D672" s="2">
        <v>3</v>
      </c>
      <c r="E672" s="2" t="s">
        <v>12</v>
      </c>
      <c r="F672" s="2" t="s">
        <v>13</v>
      </c>
      <c r="G672" s="2">
        <v>1539.8009993466717</v>
      </c>
      <c r="H672" s="2">
        <v>2053.0679991288957</v>
      </c>
      <c r="I672" s="2">
        <v>0</v>
      </c>
      <c r="J672" s="2">
        <v>3</v>
      </c>
    </row>
    <row r="673" spans="1:10" x14ac:dyDescent="0.25">
      <c r="A673" s="2">
        <v>29</v>
      </c>
      <c r="B673" s="2" t="s">
        <v>8</v>
      </c>
      <c r="C673" s="2">
        <v>20.100000000000001</v>
      </c>
      <c r="D673" s="2">
        <v>0</v>
      </c>
      <c r="E673" s="2" t="s">
        <v>12</v>
      </c>
      <c r="F673" s="2" t="s">
        <v>15</v>
      </c>
      <c r="G673" s="2">
        <v>1506.2785878603386</v>
      </c>
      <c r="H673" s="2">
        <v>1772.0924563062813</v>
      </c>
      <c r="I673" s="2">
        <v>0</v>
      </c>
      <c r="J673" s="2">
        <v>0</v>
      </c>
    </row>
    <row r="674" spans="1:10" x14ac:dyDescent="0.25">
      <c r="A674" s="2">
        <v>36</v>
      </c>
      <c r="B674" s="2" t="s">
        <v>11</v>
      </c>
      <c r="C674" s="2">
        <v>22.7</v>
      </c>
      <c r="D674" s="2">
        <v>0</v>
      </c>
      <c r="E674" s="2" t="s">
        <v>12</v>
      </c>
      <c r="F674" s="2" t="s">
        <v>13</v>
      </c>
      <c r="G674" s="2">
        <v>2197.0328811895147</v>
      </c>
      <c r="H674" s="2">
        <v>2584.7445661053121</v>
      </c>
      <c r="I674" s="2">
        <v>0</v>
      </c>
      <c r="J674" s="2">
        <v>0</v>
      </c>
    </row>
    <row r="675" spans="1:10" x14ac:dyDescent="0.25">
      <c r="A675" s="2">
        <v>41</v>
      </c>
      <c r="B675" s="2" t="s">
        <v>8</v>
      </c>
      <c r="C675" s="2">
        <v>31</v>
      </c>
      <c r="D675" s="2">
        <v>0</v>
      </c>
      <c r="E675" s="2" t="s">
        <v>12</v>
      </c>
      <c r="F675" s="2" t="s">
        <v>13</v>
      </c>
      <c r="G675" s="2">
        <v>5445.1691794785202</v>
      </c>
      <c r="H675" s="2">
        <v>5185.8754090271632</v>
      </c>
      <c r="I675" s="2">
        <v>0</v>
      </c>
      <c r="J675" s="2">
        <v>1</v>
      </c>
    </row>
    <row r="676" spans="1:10" x14ac:dyDescent="0.25">
      <c r="A676" s="2">
        <v>44</v>
      </c>
      <c r="B676" s="2" t="s">
        <v>8</v>
      </c>
      <c r="C676" s="2">
        <v>43.9</v>
      </c>
      <c r="D676" s="2">
        <v>2</v>
      </c>
      <c r="E676" s="2" t="s">
        <v>9</v>
      </c>
      <c r="F676" s="2" t="s">
        <v>13</v>
      </c>
      <c r="G676" s="2">
        <v>2625.3795750677555</v>
      </c>
      <c r="H676" s="2">
        <v>3500.5061000903406</v>
      </c>
      <c r="I676" s="2">
        <v>1</v>
      </c>
      <c r="J676" s="2">
        <v>2</v>
      </c>
    </row>
    <row r="677" spans="1:10" x14ac:dyDescent="0.25">
      <c r="A677" s="2">
        <v>45</v>
      </c>
      <c r="B677" s="2" t="s">
        <v>11</v>
      </c>
      <c r="C677" s="2">
        <v>21.4</v>
      </c>
      <c r="D677" s="2">
        <v>0</v>
      </c>
      <c r="E677" s="2" t="s">
        <v>12</v>
      </c>
      <c r="F677" s="2" t="s">
        <v>20</v>
      </c>
      <c r="G677" s="2">
        <v>1656.8186750326204</v>
      </c>
      <c r="H677" s="2">
        <v>1949.1984412148483</v>
      </c>
      <c r="I677" s="2">
        <v>0</v>
      </c>
      <c r="J677" s="2">
        <v>0</v>
      </c>
    </row>
    <row r="678" spans="1:10" x14ac:dyDescent="0.25">
      <c r="A678" s="2">
        <v>55</v>
      </c>
      <c r="B678" s="2" t="s">
        <v>8</v>
      </c>
      <c r="C678" s="2">
        <v>40.799999999999997</v>
      </c>
      <c r="D678" s="2">
        <v>3</v>
      </c>
      <c r="E678" s="2" t="s">
        <v>12</v>
      </c>
      <c r="F678" s="2" t="s">
        <v>13</v>
      </c>
      <c r="G678" s="2">
        <v>2626.6702309839743</v>
      </c>
      <c r="H678" s="2">
        <v>3502.2269746452989</v>
      </c>
      <c r="I678" s="2">
        <v>0</v>
      </c>
      <c r="J678" s="2">
        <v>3</v>
      </c>
    </row>
    <row r="679" spans="1:10" x14ac:dyDescent="0.25">
      <c r="A679" s="2">
        <v>60</v>
      </c>
      <c r="B679" s="2" t="s">
        <v>11</v>
      </c>
      <c r="C679" s="2">
        <v>31.4</v>
      </c>
      <c r="D679" s="2">
        <v>3</v>
      </c>
      <c r="E679" s="2" t="s">
        <v>9</v>
      </c>
      <c r="F679" s="2" t="s">
        <v>20</v>
      </c>
      <c r="G679" s="2">
        <v>1974.0543804972513</v>
      </c>
      <c r="H679" s="2">
        <v>2632.0725073296685</v>
      </c>
      <c r="I679" s="2">
        <v>1</v>
      </c>
      <c r="J679" s="2">
        <v>2</v>
      </c>
    </row>
    <row r="680" spans="1:10" x14ac:dyDescent="0.25">
      <c r="A680" s="2">
        <v>56</v>
      </c>
      <c r="B680" s="2" t="s">
        <v>11</v>
      </c>
      <c r="C680" s="2">
        <v>36.1</v>
      </c>
      <c r="D680" s="2">
        <v>3</v>
      </c>
      <c r="E680" s="2" t="s">
        <v>12</v>
      </c>
      <c r="F680" s="2" t="s">
        <v>21</v>
      </c>
      <c r="G680" s="2">
        <v>3316.4730945056453</v>
      </c>
      <c r="H680" s="2">
        <v>4421.9641260075268</v>
      </c>
      <c r="I680" s="2">
        <v>0</v>
      </c>
      <c r="J680" s="2">
        <v>3</v>
      </c>
    </row>
    <row r="681" spans="1:10" x14ac:dyDescent="0.25">
      <c r="A681" s="2">
        <v>49</v>
      </c>
      <c r="B681" s="2" t="s">
        <v>8</v>
      </c>
      <c r="C681" s="2">
        <v>23.2</v>
      </c>
      <c r="D681" s="2">
        <v>2</v>
      </c>
      <c r="E681" s="2" t="s">
        <v>12</v>
      </c>
      <c r="F681" s="2" t="s">
        <v>20</v>
      </c>
      <c r="G681" s="2">
        <v>1372.8948754845981</v>
      </c>
      <c r="H681" s="2">
        <v>1830.5265006461307</v>
      </c>
      <c r="I681" s="2">
        <v>0</v>
      </c>
      <c r="J681" s="2">
        <v>3</v>
      </c>
    </row>
    <row r="682" spans="1:10" x14ac:dyDescent="0.25">
      <c r="A682" s="2">
        <v>21</v>
      </c>
      <c r="B682" s="2" t="s">
        <v>8</v>
      </c>
      <c r="C682" s="2">
        <v>23.4</v>
      </c>
      <c r="D682" s="2">
        <v>1</v>
      </c>
      <c r="E682" s="2" t="s">
        <v>12</v>
      </c>
      <c r="F682" s="2" t="s">
        <v>21</v>
      </c>
      <c r="G682" s="2">
        <v>1568.6906554465752</v>
      </c>
      <c r="H682" s="2">
        <v>1845.5184181724421</v>
      </c>
      <c r="I682" s="2">
        <v>0</v>
      </c>
      <c r="J682" s="2">
        <v>0</v>
      </c>
    </row>
    <row r="683" spans="1:10" x14ac:dyDescent="0.25">
      <c r="A683" s="2">
        <v>19</v>
      </c>
      <c r="B683" s="2" t="s">
        <v>11</v>
      </c>
      <c r="C683" s="2">
        <v>22.3</v>
      </c>
      <c r="D683" s="2">
        <v>0</v>
      </c>
      <c r="E683" s="2" t="s">
        <v>12</v>
      </c>
      <c r="F683" s="2" t="s">
        <v>21</v>
      </c>
      <c r="G683" s="2">
        <v>1733.5486286636458</v>
      </c>
      <c r="H683" s="2">
        <v>2039.4689748984076</v>
      </c>
      <c r="I683" s="2">
        <v>0</v>
      </c>
      <c r="J683" s="2">
        <v>0</v>
      </c>
    </row>
    <row r="684" spans="1:10" x14ac:dyDescent="0.25">
      <c r="A684" s="2">
        <v>39</v>
      </c>
      <c r="B684" s="2" t="s">
        <v>11</v>
      </c>
      <c r="C684" s="2">
        <v>35.299999999999997</v>
      </c>
      <c r="D684" s="2">
        <v>2</v>
      </c>
      <c r="E684" s="2" t="s">
        <v>9</v>
      </c>
      <c r="F684" s="2" t="s">
        <v>21</v>
      </c>
      <c r="G684" s="2">
        <v>2153.5483816852593</v>
      </c>
      <c r="H684" s="2">
        <v>2871.3978422470122</v>
      </c>
      <c r="I684" s="2">
        <v>1</v>
      </c>
      <c r="J684" s="2">
        <v>2</v>
      </c>
    </row>
    <row r="685" spans="1:10" x14ac:dyDescent="0.25">
      <c r="A685" s="2">
        <v>53</v>
      </c>
      <c r="B685" s="2" t="s">
        <v>11</v>
      </c>
      <c r="C685" s="2">
        <v>24.3</v>
      </c>
      <c r="D685" s="2">
        <v>0</v>
      </c>
      <c r="E685" s="2" t="s">
        <v>12</v>
      </c>
      <c r="F685" s="2" t="s">
        <v>20</v>
      </c>
      <c r="G685" s="2">
        <v>5393.7170944179979</v>
      </c>
      <c r="H685" s="2">
        <v>5136.8734232552379</v>
      </c>
      <c r="I685" s="2">
        <v>0</v>
      </c>
      <c r="J685" s="2">
        <v>1</v>
      </c>
    </row>
    <row r="686" spans="1:10" x14ac:dyDescent="0.25">
      <c r="A686" s="2">
        <v>33</v>
      </c>
      <c r="B686" s="2" t="s">
        <v>8</v>
      </c>
      <c r="C686" s="2">
        <v>20.100000000000001</v>
      </c>
      <c r="D686" s="2">
        <v>1</v>
      </c>
      <c r="E686" s="2" t="s">
        <v>12</v>
      </c>
      <c r="F686" s="2" t="s">
        <v>21</v>
      </c>
      <c r="G686" s="2">
        <v>2131.3221780323274</v>
      </c>
      <c r="H686" s="2">
        <v>2507.4378565086213</v>
      </c>
      <c r="I686" s="2">
        <v>0</v>
      </c>
      <c r="J686" s="2">
        <v>0</v>
      </c>
    </row>
    <row r="687" spans="1:10" x14ac:dyDescent="0.25">
      <c r="A687" s="2">
        <v>53</v>
      </c>
      <c r="B687" s="2" t="s">
        <v>11</v>
      </c>
      <c r="C687" s="2">
        <v>26.4</v>
      </c>
      <c r="D687" s="2">
        <v>2</v>
      </c>
      <c r="E687" s="2" t="s">
        <v>12</v>
      </c>
      <c r="F687" s="2" t="s">
        <v>15</v>
      </c>
      <c r="G687" s="2">
        <v>1588.7215779880826</v>
      </c>
      <c r="H687" s="2">
        <v>2118.2954373174434</v>
      </c>
      <c r="I687" s="2">
        <v>0</v>
      </c>
      <c r="J687" s="2">
        <v>3</v>
      </c>
    </row>
    <row r="688" spans="1:10" x14ac:dyDescent="0.25">
      <c r="A688" s="2">
        <v>42</v>
      </c>
      <c r="B688" s="2" t="s">
        <v>11</v>
      </c>
      <c r="C688" s="2">
        <v>26.1</v>
      </c>
      <c r="D688" s="2">
        <v>2</v>
      </c>
      <c r="E688" s="2" t="s">
        <v>12</v>
      </c>
      <c r="F688" s="2" t="s">
        <v>15</v>
      </c>
      <c r="G688" s="2">
        <v>2680.6926280047969</v>
      </c>
      <c r="H688" s="2">
        <v>3574.2568373397294</v>
      </c>
      <c r="I688" s="2">
        <v>0</v>
      </c>
      <c r="J688" s="2">
        <v>3</v>
      </c>
    </row>
    <row r="689" spans="1:10" x14ac:dyDescent="0.25">
      <c r="A689" s="2">
        <v>40</v>
      </c>
      <c r="B689" s="2" t="s">
        <v>11</v>
      </c>
      <c r="C689" s="2">
        <v>41.7</v>
      </c>
      <c r="D689" s="2">
        <v>0</v>
      </c>
      <c r="E689" s="2" t="s">
        <v>12</v>
      </c>
      <c r="F689" s="2" t="s">
        <v>13</v>
      </c>
      <c r="G689" s="2">
        <v>4801.3123979522143</v>
      </c>
      <c r="H689" s="2">
        <v>4572.6784742402051</v>
      </c>
      <c r="I689" s="2">
        <v>0</v>
      </c>
      <c r="J689" s="2">
        <v>1</v>
      </c>
    </row>
    <row r="690" spans="1:10" x14ac:dyDescent="0.25">
      <c r="A690" s="2">
        <v>47</v>
      </c>
      <c r="B690" s="2" t="s">
        <v>8</v>
      </c>
      <c r="C690" s="2">
        <v>24.1</v>
      </c>
      <c r="D690" s="2">
        <v>1</v>
      </c>
      <c r="E690" s="2" t="s">
        <v>12</v>
      </c>
      <c r="F690" s="2" t="s">
        <v>21</v>
      </c>
      <c r="G690" s="2">
        <v>4333.6408516638166</v>
      </c>
      <c r="H690" s="2">
        <v>4127.277001584589</v>
      </c>
      <c r="I690" s="2">
        <v>0</v>
      </c>
      <c r="J690" s="2">
        <v>1</v>
      </c>
    </row>
    <row r="691" spans="1:10" x14ac:dyDescent="0.25">
      <c r="A691" s="2">
        <v>27</v>
      </c>
      <c r="B691" s="2" t="s">
        <v>11</v>
      </c>
      <c r="C691" s="2">
        <v>24.3</v>
      </c>
      <c r="D691" s="2">
        <v>1</v>
      </c>
      <c r="E691" s="2" t="s">
        <v>9</v>
      </c>
      <c r="F691" s="2" t="s">
        <v>13</v>
      </c>
      <c r="G691" s="2">
        <v>1778.0966831928718</v>
      </c>
      <c r="H691" s="2">
        <v>2091.8784508151439</v>
      </c>
      <c r="I691" s="2">
        <v>1</v>
      </c>
      <c r="J691" s="2">
        <v>2</v>
      </c>
    </row>
    <row r="692" spans="1:10" x14ac:dyDescent="0.25">
      <c r="A692" s="2">
        <v>21</v>
      </c>
      <c r="B692" s="2" t="s">
        <v>11</v>
      </c>
      <c r="C692" s="2">
        <v>22.4</v>
      </c>
      <c r="D692" s="2">
        <v>0</v>
      </c>
      <c r="E692" s="2" t="s">
        <v>12</v>
      </c>
      <c r="F692" s="2" t="s">
        <v>15</v>
      </c>
      <c r="G692" s="2">
        <v>1719.8347165531095</v>
      </c>
      <c r="H692" s="2">
        <v>2023.3349606507177</v>
      </c>
      <c r="I692" s="2">
        <v>0</v>
      </c>
      <c r="J692" s="2">
        <v>0</v>
      </c>
    </row>
    <row r="693" spans="1:10" x14ac:dyDescent="0.25">
      <c r="A693" s="2">
        <v>47</v>
      </c>
      <c r="B693" s="2" t="s">
        <v>11</v>
      </c>
      <c r="C693" s="2">
        <v>36.200000000000003</v>
      </c>
      <c r="D693" s="2">
        <v>1</v>
      </c>
      <c r="E693" s="2" t="s">
        <v>12</v>
      </c>
      <c r="F693" s="2" t="s">
        <v>21</v>
      </c>
      <c r="G693" s="2">
        <v>5549.128996876545</v>
      </c>
      <c r="H693" s="2">
        <v>5284.884758930044</v>
      </c>
      <c r="I693" s="2">
        <v>0</v>
      </c>
      <c r="J693" s="2">
        <v>1</v>
      </c>
    </row>
    <row r="694" spans="1:10" x14ac:dyDescent="0.25">
      <c r="A694" s="2">
        <v>20</v>
      </c>
      <c r="B694" s="2" t="s">
        <v>11</v>
      </c>
      <c r="C694" s="2">
        <v>25.7</v>
      </c>
      <c r="D694" s="2">
        <v>1</v>
      </c>
      <c r="E694" s="2" t="s">
        <v>12</v>
      </c>
      <c r="F694" s="2" t="s">
        <v>20</v>
      </c>
      <c r="G694" s="2">
        <v>1976.1836805077407</v>
      </c>
      <c r="H694" s="2">
        <v>2324.921977067931</v>
      </c>
      <c r="I694" s="2">
        <v>0</v>
      </c>
      <c r="J694" s="2">
        <v>0</v>
      </c>
    </row>
    <row r="695" spans="1:10" x14ac:dyDescent="0.25">
      <c r="A695" s="2">
        <v>24</v>
      </c>
      <c r="B695" s="2" t="s">
        <v>11</v>
      </c>
      <c r="C695" s="2">
        <v>24.1</v>
      </c>
      <c r="D695" s="2">
        <v>0</v>
      </c>
      <c r="E695" s="2" t="s">
        <v>12</v>
      </c>
      <c r="F695" s="2" t="s">
        <v>20</v>
      </c>
      <c r="G695" s="2">
        <v>2502.8804673913419</v>
      </c>
      <c r="H695" s="2">
        <v>2944.5652557545209</v>
      </c>
      <c r="I695" s="2">
        <v>0</v>
      </c>
      <c r="J695" s="2">
        <v>0</v>
      </c>
    </row>
    <row r="696" spans="1:10" x14ac:dyDescent="0.25">
      <c r="A696" s="2">
        <v>27</v>
      </c>
      <c r="B696" s="2" t="s">
        <v>8</v>
      </c>
      <c r="C696" s="2">
        <v>24.6</v>
      </c>
      <c r="D696" s="2">
        <v>1</v>
      </c>
      <c r="E696" s="2" t="s">
        <v>12</v>
      </c>
      <c r="F696" s="2" t="s">
        <v>21</v>
      </c>
      <c r="G696" s="2">
        <v>1862.8719127689994</v>
      </c>
      <c r="H696" s="2">
        <v>2191.6140150223528</v>
      </c>
      <c r="I696" s="2">
        <v>0</v>
      </c>
      <c r="J696" s="2">
        <v>0</v>
      </c>
    </row>
    <row r="697" spans="1:10" x14ac:dyDescent="0.25">
      <c r="A697" s="2">
        <v>26</v>
      </c>
      <c r="B697" s="2" t="s">
        <v>8</v>
      </c>
      <c r="C697" s="2">
        <v>21.9</v>
      </c>
      <c r="D697" s="2">
        <v>0</v>
      </c>
      <c r="E697" s="2" t="s">
        <v>12</v>
      </c>
      <c r="F697" s="2" t="s">
        <v>20</v>
      </c>
      <c r="G697" s="2">
        <v>2143.9692832497576</v>
      </c>
      <c r="H697" s="2">
        <v>2522.3168038232452</v>
      </c>
      <c r="I697" s="2">
        <v>0</v>
      </c>
      <c r="J697" s="2">
        <v>0</v>
      </c>
    </row>
    <row r="698" spans="1:10" x14ac:dyDescent="0.25">
      <c r="A698" s="2">
        <v>53</v>
      </c>
      <c r="B698" s="2" t="s">
        <v>8</v>
      </c>
      <c r="C698" s="2">
        <v>32.299999999999997</v>
      </c>
      <c r="D698" s="2">
        <v>2</v>
      </c>
      <c r="E698" s="2" t="s">
        <v>12</v>
      </c>
      <c r="F698" s="2" t="s">
        <v>15</v>
      </c>
      <c r="G698" s="2">
        <v>1795.503762657514</v>
      </c>
      <c r="H698" s="2">
        <v>2394.0050168766852</v>
      </c>
      <c r="I698" s="2">
        <v>0</v>
      </c>
      <c r="J698" s="2">
        <v>3</v>
      </c>
    </row>
    <row r="699" spans="1:10" x14ac:dyDescent="0.25">
      <c r="A699" s="2">
        <v>41</v>
      </c>
      <c r="B699" s="2" t="s">
        <v>11</v>
      </c>
      <c r="C699" s="2">
        <v>35.799999999999997</v>
      </c>
      <c r="D699" s="2">
        <v>1</v>
      </c>
      <c r="E699" s="2" t="s">
        <v>9</v>
      </c>
      <c r="F699" s="2" t="s">
        <v>13</v>
      </c>
      <c r="G699" s="2">
        <v>3519.8327009752484</v>
      </c>
      <c r="H699" s="2">
        <v>3352.2216199764289</v>
      </c>
      <c r="I699" s="2">
        <v>1</v>
      </c>
      <c r="J699" s="2">
        <v>2</v>
      </c>
    </row>
    <row r="700" spans="1:10" x14ac:dyDescent="0.25">
      <c r="A700" s="2">
        <v>56</v>
      </c>
      <c r="B700" s="2" t="s">
        <v>11</v>
      </c>
      <c r="C700" s="2">
        <v>33.700000000000003</v>
      </c>
      <c r="D700" s="2">
        <v>0</v>
      </c>
      <c r="E700" s="2" t="s">
        <v>12</v>
      </c>
      <c r="F700" s="2" t="s">
        <v>20</v>
      </c>
      <c r="G700" s="2">
        <v>4460.7292746880157</v>
      </c>
      <c r="H700" s="2">
        <v>4248.3135949409689</v>
      </c>
      <c r="I700" s="2">
        <v>0</v>
      </c>
      <c r="J700" s="2">
        <v>1</v>
      </c>
    </row>
    <row r="701" spans="1:10" x14ac:dyDescent="0.25">
      <c r="A701" s="2">
        <v>23</v>
      </c>
      <c r="B701" s="2" t="s">
        <v>8</v>
      </c>
      <c r="C701" s="2">
        <v>39.299999999999997</v>
      </c>
      <c r="D701" s="2">
        <v>2</v>
      </c>
      <c r="E701" s="2" t="s">
        <v>12</v>
      </c>
      <c r="F701" s="2" t="s">
        <v>13</v>
      </c>
      <c r="G701" s="2">
        <v>1789.3747302487723</v>
      </c>
      <c r="H701" s="2">
        <v>2385.8329736650298</v>
      </c>
      <c r="I701" s="2">
        <v>0</v>
      </c>
      <c r="J701" s="2">
        <v>3</v>
      </c>
    </row>
    <row r="702" spans="1:10" x14ac:dyDescent="0.25">
      <c r="A702" s="2">
        <v>21</v>
      </c>
      <c r="B702" s="2" t="s">
        <v>8</v>
      </c>
      <c r="C702" s="2">
        <v>21.7</v>
      </c>
      <c r="D702" s="2">
        <v>0</v>
      </c>
      <c r="E702" s="2" t="s">
        <v>12</v>
      </c>
      <c r="F702" s="2" t="s">
        <v>13</v>
      </c>
      <c r="G702" s="2">
        <v>1640.5119781039971</v>
      </c>
      <c r="H702" s="2">
        <v>1930.0140918870563</v>
      </c>
      <c r="I702" s="2">
        <v>0</v>
      </c>
      <c r="J702" s="2">
        <v>0</v>
      </c>
    </row>
    <row r="703" spans="1:10" x14ac:dyDescent="0.25">
      <c r="A703" s="2">
        <v>50</v>
      </c>
      <c r="B703" s="2" t="s">
        <v>8</v>
      </c>
      <c r="C703" s="2">
        <v>44.7</v>
      </c>
      <c r="D703" s="2">
        <v>0</v>
      </c>
      <c r="E703" s="2" t="s">
        <v>12</v>
      </c>
      <c r="F703" s="2" t="s">
        <v>15</v>
      </c>
      <c r="G703" s="2">
        <v>4163.8235839957306</v>
      </c>
      <c r="H703" s="2">
        <v>3965.5462704721258</v>
      </c>
      <c r="I703" s="2">
        <v>0</v>
      </c>
      <c r="J703" s="2">
        <v>1</v>
      </c>
    </row>
    <row r="704" spans="1:10" x14ac:dyDescent="0.25">
      <c r="A704" s="2">
        <v>53</v>
      </c>
      <c r="B704" s="2" t="s">
        <v>11</v>
      </c>
      <c r="C704" s="2">
        <v>41.5</v>
      </c>
      <c r="D704" s="2">
        <v>0</v>
      </c>
      <c r="E704" s="2" t="s">
        <v>12</v>
      </c>
      <c r="F704" s="2" t="s">
        <v>13</v>
      </c>
      <c r="G704" s="2">
        <v>4497.6567662132493</v>
      </c>
      <c r="H704" s="2">
        <v>4283.4826344888106</v>
      </c>
      <c r="I704" s="2">
        <v>0</v>
      </c>
      <c r="J704" s="2">
        <v>1</v>
      </c>
    </row>
    <row r="705" spans="1:10" x14ac:dyDescent="0.25">
      <c r="A705" s="2">
        <v>34</v>
      </c>
      <c r="B705" s="2" t="s">
        <v>8</v>
      </c>
      <c r="C705" s="2">
        <v>25.7</v>
      </c>
      <c r="D705" s="2">
        <v>1</v>
      </c>
      <c r="E705" s="2" t="s">
        <v>12</v>
      </c>
      <c r="F705" s="2" t="s">
        <v>20</v>
      </c>
      <c r="G705" s="2">
        <v>1606.8778026496902</v>
      </c>
      <c r="H705" s="2">
        <v>1890.4444737055187</v>
      </c>
      <c r="I705" s="2">
        <v>0</v>
      </c>
      <c r="J705" s="2">
        <v>0</v>
      </c>
    </row>
    <row r="706" spans="1:10" x14ac:dyDescent="0.25">
      <c r="A706" s="2">
        <v>47</v>
      </c>
      <c r="B706" s="2" t="s">
        <v>8</v>
      </c>
      <c r="C706" s="2">
        <v>29.5</v>
      </c>
      <c r="D706" s="2">
        <v>1</v>
      </c>
      <c r="E706" s="2" t="s">
        <v>12</v>
      </c>
      <c r="F706" s="2" t="s">
        <v>20</v>
      </c>
      <c r="G706" s="2">
        <v>4189.2044934699879</v>
      </c>
      <c r="H706" s="2">
        <v>3989.7185652095141</v>
      </c>
      <c r="I706" s="2">
        <v>0</v>
      </c>
      <c r="J706" s="2">
        <v>1</v>
      </c>
    </row>
    <row r="707" spans="1:10" x14ac:dyDescent="0.25">
      <c r="A707" s="2">
        <v>33</v>
      </c>
      <c r="B707" s="2" t="s">
        <v>8</v>
      </c>
      <c r="C707" s="2">
        <v>32.9</v>
      </c>
      <c r="D707" s="2">
        <v>2</v>
      </c>
      <c r="E707" s="2" t="s">
        <v>12</v>
      </c>
      <c r="F707" s="2" t="s">
        <v>21</v>
      </c>
      <c r="G707" s="2">
        <v>2200.010687671368</v>
      </c>
      <c r="H707" s="2">
        <v>2933.3475835618242</v>
      </c>
      <c r="I707" s="2">
        <v>0</v>
      </c>
      <c r="J707" s="2">
        <v>3</v>
      </c>
    </row>
    <row r="708" spans="1:10" x14ac:dyDescent="0.25">
      <c r="A708" s="2">
        <v>51</v>
      </c>
      <c r="B708" s="2" t="s">
        <v>8</v>
      </c>
      <c r="C708" s="2">
        <v>38.1</v>
      </c>
      <c r="D708" s="2">
        <v>0</v>
      </c>
      <c r="E708" s="2" t="s">
        <v>9</v>
      </c>
      <c r="F708" s="2" t="s">
        <v>13</v>
      </c>
      <c r="G708" s="2">
        <v>4278.056851346133</v>
      </c>
      <c r="H708" s="2">
        <v>4074.3398584248903</v>
      </c>
      <c r="I708" s="2">
        <v>1</v>
      </c>
      <c r="J708" s="2">
        <v>2</v>
      </c>
    </row>
    <row r="709" spans="1:10" x14ac:dyDescent="0.25">
      <c r="A709" s="2">
        <v>49</v>
      </c>
      <c r="B709" s="2" t="s">
        <v>11</v>
      </c>
      <c r="C709" s="2">
        <v>28.7</v>
      </c>
      <c r="D709" s="2">
        <v>3</v>
      </c>
      <c r="E709" s="2" t="s">
        <v>12</v>
      </c>
      <c r="F709" s="2" t="s">
        <v>20</v>
      </c>
      <c r="G709" s="2">
        <v>1450.7490575151578</v>
      </c>
      <c r="H709" s="2">
        <v>1934.3320766868771</v>
      </c>
      <c r="I709" s="2">
        <v>0</v>
      </c>
      <c r="J709" s="2">
        <v>3</v>
      </c>
    </row>
    <row r="710" spans="1:10" x14ac:dyDescent="0.25">
      <c r="A710" s="2">
        <v>31</v>
      </c>
      <c r="B710" s="2" t="s">
        <v>8</v>
      </c>
      <c r="C710" s="2">
        <v>30.5</v>
      </c>
      <c r="D710" s="2">
        <v>3</v>
      </c>
      <c r="E710" s="2" t="s">
        <v>12</v>
      </c>
      <c r="F710" s="2" t="s">
        <v>15</v>
      </c>
      <c r="G710" s="2">
        <v>1569.524979178686</v>
      </c>
      <c r="H710" s="2">
        <v>2092.6999722382479</v>
      </c>
      <c r="I710" s="2">
        <v>0</v>
      </c>
      <c r="J710" s="2">
        <v>3</v>
      </c>
    </row>
    <row r="711" spans="1:10" x14ac:dyDescent="0.25">
      <c r="A711" s="2">
        <v>36</v>
      </c>
      <c r="B711" s="2" t="s">
        <v>8</v>
      </c>
      <c r="C711" s="2">
        <v>20.7</v>
      </c>
      <c r="D711" s="2">
        <v>0</v>
      </c>
      <c r="E711" s="2" t="s">
        <v>12</v>
      </c>
      <c r="F711" s="2" t="s">
        <v>15</v>
      </c>
      <c r="G711" s="2">
        <v>2089.8829794621702</v>
      </c>
      <c r="H711" s="2">
        <v>2458.6858581907895</v>
      </c>
      <c r="I711" s="2">
        <v>0</v>
      </c>
      <c r="J711" s="2">
        <v>0</v>
      </c>
    </row>
    <row r="712" spans="1:10" x14ac:dyDescent="0.25">
      <c r="A712" s="2">
        <v>18</v>
      </c>
      <c r="B712" s="2" t="s">
        <v>11</v>
      </c>
      <c r="C712" s="2">
        <v>23.6</v>
      </c>
      <c r="D712" s="2">
        <v>1</v>
      </c>
      <c r="E712" s="2" t="s">
        <v>12</v>
      </c>
      <c r="F712" s="2" t="s">
        <v>13</v>
      </c>
      <c r="G712" s="2">
        <v>1858.371402112014</v>
      </c>
      <c r="H712" s="2">
        <v>2186.3192966023703</v>
      </c>
      <c r="I712" s="2">
        <v>0</v>
      </c>
      <c r="J712" s="2">
        <v>0</v>
      </c>
    </row>
    <row r="713" spans="1:10" x14ac:dyDescent="0.25">
      <c r="A713" s="2">
        <v>50</v>
      </c>
      <c r="B713" s="2" t="s">
        <v>8</v>
      </c>
      <c r="C713" s="2">
        <v>23.5</v>
      </c>
      <c r="D713" s="2">
        <v>2</v>
      </c>
      <c r="E713" s="2" t="s">
        <v>12</v>
      </c>
      <c r="F713" s="2" t="s">
        <v>13</v>
      </c>
      <c r="G713" s="2">
        <v>1356.7024095042059</v>
      </c>
      <c r="H713" s="2">
        <v>1808.9365460056079</v>
      </c>
      <c r="I713" s="2">
        <v>0</v>
      </c>
      <c r="J713" s="2">
        <v>3</v>
      </c>
    </row>
    <row r="714" spans="1:10" x14ac:dyDescent="0.25">
      <c r="A714" s="2">
        <v>43</v>
      </c>
      <c r="B714" s="2" t="s">
        <v>8</v>
      </c>
      <c r="C714" s="2">
        <v>30.7</v>
      </c>
      <c r="D714" s="2">
        <v>2</v>
      </c>
      <c r="E714" s="2" t="s">
        <v>12</v>
      </c>
      <c r="F714" s="2" t="s">
        <v>20</v>
      </c>
      <c r="G714" s="2">
        <v>2738.1214575643467</v>
      </c>
      <c r="H714" s="2">
        <v>3650.8286100857954</v>
      </c>
      <c r="I714" s="2">
        <v>0</v>
      </c>
      <c r="J714" s="2">
        <v>3</v>
      </c>
    </row>
    <row r="715" spans="1:10" x14ac:dyDescent="0.25">
      <c r="A715" s="2">
        <v>20</v>
      </c>
      <c r="B715" s="2" t="s">
        <v>11</v>
      </c>
      <c r="C715" s="2">
        <v>24.9</v>
      </c>
      <c r="D715" s="2">
        <v>0</v>
      </c>
      <c r="E715" s="2" t="s">
        <v>12</v>
      </c>
      <c r="F715" s="2" t="s">
        <v>15</v>
      </c>
      <c r="G715" s="2">
        <v>1416.8325760929586</v>
      </c>
      <c r="H715" s="2">
        <v>1666.861854227011</v>
      </c>
      <c r="I715" s="2">
        <v>0</v>
      </c>
      <c r="J715" s="2">
        <v>0</v>
      </c>
    </row>
    <row r="716" spans="1:10" x14ac:dyDescent="0.25">
      <c r="A716" s="2">
        <v>24</v>
      </c>
      <c r="B716" s="2" t="s">
        <v>8</v>
      </c>
      <c r="C716" s="2">
        <v>24.7</v>
      </c>
      <c r="D716" s="2">
        <v>0</v>
      </c>
      <c r="E716" s="2" t="s">
        <v>12</v>
      </c>
      <c r="F716" s="2" t="s">
        <v>21</v>
      </c>
      <c r="G716" s="2">
        <v>1529.1623492442079</v>
      </c>
      <c r="H716" s="2">
        <v>1799.0145285225981</v>
      </c>
      <c r="I716" s="2">
        <v>0</v>
      </c>
      <c r="J716" s="2">
        <v>0</v>
      </c>
    </row>
    <row r="717" spans="1:10" x14ac:dyDescent="0.25">
      <c r="A717" s="2">
        <v>60</v>
      </c>
      <c r="B717" s="2" t="s">
        <v>11</v>
      </c>
      <c r="C717" s="2">
        <v>28.9</v>
      </c>
      <c r="D717" s="2">
        <v>0</v>
      </c>
      <c r="E717" s="2" t="s">
        <v>12</v>
      </c>
      <c r="F717" s="2" t="s">
        <v>21</v>
      </c>
      <c r="G717" s="2">
        <v>4686.0400046710856</v>
      </c>
      <c r="H717" s="2">
        <v>4462.8952425438929</v>
      </c>
      <c r="I717" s="2">
        <v>0</v>
      </c>
      <c r="J717" s="2">
        <v>1</v>
      </c>
    </row>
    <row r="718" spans="1:10" x14ac:dyDescent="0.25">
      <c r="A718" s="2">
        <v>49</v>
      </c>
      <c r="B718" s="2" t="s">
        <v>8</v>
      </c>
      <c r="C718" s="2">
        <v>22.6</v>
      </c>
      <c r="D718" s="2">
        <v>1</v>
      </c>
      <c r="E718" s="2" t="s">
        <v>12</v>
      </c>
      <c r="F718" s="2" t="s">
        <v>20</v>
      </c>
      <c r="G718" s="2">
        <v>4431.1477681958677</v>
      </c>
      <c r="H718" s="2">
        <v>4220.1407316151144</v>
      </c>
      <c r="I718" s="2">
        <v>0</v>
      </c>
      <c r="J718" s="2">
        <v>1</v>
      </c>
    </row>
    <row r="719" spans="1:10" x14ac:dyDescent="0.25">
      <c r="A719" s="2">
        <v>60</v>
      </c>
      <c r="B719" s="2" t="s">
        <v>11</v>
      </c>
      <c r="C719" s="2">
        <v>24.3</v>
      </c>
      <c r="D719" s="2">
        <v>1</v>
      </c>
      <c r="E719" s="2" t="s">
        <v>12</v>
      </c>
      <c r="F719" s="2" t="s">
        <v>20</v>
      </c>
      <c r="G719" s="2">
        <v>5772.64545638038</v>
      </c>
      <c r="H719" s="2">
        <v>5497.7575775051255</v>
      </c>
      <c r="I719" s="2">
        <v>0</v>
      </c>
      <c r="J719" s="2">
        <v>1</v>
      </c>
    </row>
    <row r="720" spans="1:10" x14ac:dyDescent="0.25">
      <c r="A720" s="2">
        <v>51</v>
      </c>
      <c r="B720" s="2" t="s">
        <v>8</v>
      </c>
      <c r="C720" s="2">
        <v>36.700000000000003</v>
      </c>
      <c r="D720" s="2">
        <v>2</v>
      </c>
      <c r="E720" s="2" t="s">
        <v>12</v>
      </c>
      <c r="F720" s="2" t="s">
        <v>20</v>
      </c>
      <c r="G720" s="2">
        <v>1744.2329418216532</v>
      </c>
      <c r="H720" s="2">
        <v>2325.6439224288711</v>
      </c>
      <c r="I720" s="2">
        <v>0</v>
      </c>
      <c r="J720" s="2">
        <v>3</v>
      </c>
    </row>
    <row r="721" spans="1:10" x14ac:dyDescent="0.25">
      <c r="A721" s="2">
        <v>58</v>
      </c>
      <c r="B721" s="2" t="s">
        <v>8</v>
      </c>
      <c r="C721" s="2">
        <v>33.4</v>
      </c>
      <c r="D721" s="2">
        <v>0</v>
      </c>
      <c r="E721" s="2" t="s">
        <v>12</v>
      </c>
      <c r="F721" s="2" t="s">
        <v>20</v>
      </c>
      <c r="G721" s="2">
        <v>4084.3045777992415</v>
      </c>
      <c r="H721" s="2">
        <v>3889.8138836183266</v>
      </c>
      <c r="I721" s="2">
        <v>0</v>
      </c>
      <c r="J721" s="2">
        <v>1</v>
      </c>
    </row>
    <row r="722" spans="1:10" x14ac:dyDescent="0.25">
      <c r="A722" s="2">
        <v>51</v>
      </c>
      <c r="B722" s="2" t="s">
        <v>8</v>
      </c>
      <c r="C722" s="2">
        <v>40.700000000000003</v>
      </c>
      <c r="D722" s="2">
        <v>0</v>
      </c>
      <c r="E722" s="2" t="s">
        <v>12</v>
      </c>
      <c r="F722" s="2" t="s">
        <v>15</v>
      </c>
      <c r="G722" s="2">
        <v>4343.2417250182152</v>
      </c>
      <c r="H722" s="2">
        <v>4136.42069049354</v>
      </c>
      <c r="I722" s="2">
        <v>0</v>
      </c>
      <c r="J722" s="2">
        <v>1</v>
      </c>
    </row>
    <row r="723" spans="1:10" x14ac:dyDescent="0.25">
      <c r="A723" s="2">
        <v>53</v>
      </c>
      <c r="B723" s="2" t="s">
        <v>11</v>
      </c>
      <c r="C723" s="2">
        <v>36.6</v>
      </c>
      <c r="D723" s="2">
        <v>3</v>
      </c>
      <c r="E723" s="2" t="s">
        <v>12</v>
      </c>
      <c r="F723" s="2" t="s">
        <v>21</v>
      </c>
      <c r="G723" s="2">
        <v>2149.4087099726353</v>
      </c>
      <c r="H723" s="2">
        <v>2865.8782799635137</v>
      </c>
      <c r="I723" s="2">
        <v>0</v>
      </c>
      <c r="J723" s="2">
        <v>3</v>
      </c>
    </row>
    <row r="724" spans="1:10" x14ac:dyDescent="0.25">
      <c r="A724" s="2">
        <v>62</v>
      </c>
      <c r="B724" s="2" t="s">
        <v>11</v>
      </c>
      <c r="C724" s="2">
        <v>37.4</v>
      </c>
      <c r="D724" s="2">
        <v>0</v>
      </c>
      <c r="E724" s="2" t="s">
        <v>12</v>
      </c>
      <c r="F724" s="2" t="s">
        <v>21</v>
      </c>
      <c r="G724" s="2">
        <v>5428.8187484649889</v>
      </c>
      <c r="H724" s="2">
        <v>5170.3035699666571</v>
      </c>
      <c r="I724" s="2">
        <v>0</v>
      </c>
      <c r="J724" s="2">
        <v>1</v>
      </c>
    </row>
    <row r="725" spans="1:10" x14ac:dyDescent="0.25">
      <c r="A725" s="2">
        <v>19</v>
      </c>
      <c r="B725" s="2" t="s">
        <v>11</v>
      </c>
      <c r="C725" s="2">
        <v>20.3</v>
      </c>
      <c r="D725" s="2">
        <v>0</v>
      </c>
      <c r="E725" s="2" t="s">
        <v>12</v>
      </c>
      <c r="F725" s="2" t="s">
        <v>21</v>
      </c>
      <c r="G725" s="2">
        <v>1908.0254265847589</v>
      </c>
      <c r="H725" s="2">
        <v>2244.7357959820702</v>
      </c>
      <c r="I725" s="2">
        <v>0</v>
      </c>
      <c r="J725" s="2">
        <v>0</v>
      </c>
    </row>
    <row r="726" spans="1:10" x14ac:dyDescent="0.25">
      <c r="A726" s="2">
        <v>50</v>
      </c>
      <c r="B726" s="2" t="s">
        <v>8</v>
      </c>
      <c r="C726" s="2">
        <v>27.1</v>
      </c>
      <c r="D726" s="2">
        <v>1</v>
      </c>
      <c r="E726" s="2" t="s">
        <v>12</v>
      </c>
      <c r="F726" s="2" t="s">
        <v>15</v>
      </c>
      <c r="G726" s="2">
        <v>3716.9760093547197</v>
      </c>
      <c r="H726" s="2">
        <v>3539.9771517664012</v>
      </c>
      <c r="I726" s="2">
        <v>0</v>
      </c>
      <c r="J726" s="2">
        <v>1</v>
      </c>
    </row>
    <row r="727" spans="1:10" x14ac:dyDescent="0.25">
      <c r="A727" s="2">
        <v>30</v>
      </c>
      <c r="B727" s="2" t="s">
        <v>8</v>
      </c>
      <c r="C727" s="2">
        <v>39.1</v>
      </c>
      <c r="D727" s="2">
        <v>3</v>
      </c>
      <c r="E727" s="2" t="s">
        <v>9</v>
      </c>
      <c r="F727" s="2" t="s">
        <v>13</v>
      </c>
      <c r="G727" s="2">
        <v>1001.1721086308917</v>
      </c>
      <c r="H727" s="2">
        <v>1334.896144841189</v>
      </c>
      <c r="I727" s="2">
        <v>1</v>
      </c>
      <c r="J727" s="2">
        <v>2</v>
      </c>
    </row>
    <row r="728" spans="1:10" x14ac:dyDescent="0.25">
      <c r="A728" s="2">
        <v>41</v>
      </c>
      <c r="B728" s="2" t="s">
        <v>11</v>
      </c>
      <c r="C728" s="2">
        <v>28.4</v>
      </c>
      <c r="D728" s="2">
        <v>1</v>
      </c>
      <c r="E728" s="2" t="s">
        <v>12</v>
      </c>
      <c r="F728" s="2" t="s">
        <v>20</v>
      </c>
      <c r="G728" s="2">
        <v>4845.275820060122</v>
      </c>
      <c r="H728" s="2">
        <v>4614.5484000572596</v>
      </c>
      <c r="I728" s="2">
        <v>0</v>
      </c>
      <c r="J728" s="2">
        <v>1</v>
      </c>
    </row>
    <row r="729" spans="1:10" x14ac:dyDescent="0.25">
      <c r="A729" s="2">
        <v>29</v>
      </c>
      <c r="B729" s="2" t="s">
        <v>8</v>
      </c>
      <c r="C729" s="2">
        <v>25.8</v>
      </c>
      <c r="D729" s="2">
        <v>1</v>
      </c>
      <c r="E729" s="2" t="s">
        <v>9</v>
      </c>
      <c r="F729" s="2" t="s">
        <v>15</v>
      </c>
      <c r="G729" s="2">
        <v>1489.6187021532407</v>
      </c>
      <c r="H729" s="2">
        <v>1752.4925907685192</v>
      </c>
      <c r="I729" s="2">
        <v>1</v>
      </c>
      <c r="J729" s="2">
        <v>2</v>
      </c>
    </row>
    <row r="730" spans="1:10" x14ac:dyDescent="0.25">
      <c r="A730" s="2">
        <v>18</v>
      </c>
      <c r="B730" s="2" t="s">
        <v>8</v>
      </c>
      <c r="C730" s="2">
        <v>21.3</v>
      </c>
      <c r="D730" s="2">
        <v>0</v>
      </c>
      <c r="E730" s="2" t="s">
        <v>12</v>
      </c>
      <c r="F730" s="2" t="s">
        <v>15</v>
      </c>
      <c r="G730" s="2">
        <v>1446.5103100575025</v>
      </c>
      <c r="H730" s="2">
        <v>1701.7768353617685</v>
      </c>
      <c r="I730" s="2">
        <v>0</v>
      </c>
      <c r="J730" s="2">
        <v>0</v>
      </c>
    </row>
    <row r="731" spans="1:10" x14ac:dyDescent="0.25">
      <c r="A731" s="2">
        <v>41</v>
      </c>
      <c r="B731" s="2" t="s">
        <v>8</v>
      </c>
      <c r="C731" s="2">
        <v>36.1</v>
      </c>
      <c r="D731" s="2">
        <v>1</v>
      </c>
      <c r="E731" s="2" t="s">
        <v>12</v>
      </c>
      <c r="F731" s="2" t="s">
        <v>13</v>
      </c>
      <c r="G731" s="2">
        <v>5462.6846974138707</v>
      </c>
      <c r="H731" s="2">
        <v>5202.5568546798786</v>
      </c>
      <c r="I731" s="2">
        <v>0</v>
      </c>
      <c r="J731" s="2">
        <v>1</v>
      </c>
    </row>
    <row r="732" spans="1:10" x14ac:dyDescent="0.25">
      <c r="A732" s="2">
        <v>35</v>
      </c>
      <c r="B732" s="2" t="s">
        <v>11</v>
      </c>
      <c r="C732" s="2">
        <v>24.4</v>
      </c>
      <c r="D732" s="2">
        <v>3</v>
      </c>
      <c r="E732" s="2" t="s">
        <v>9</v>
      </c>
      <c r="F732" s="2" t="s">
        <v>13</v>
      </c>
      <c r="G732" s="2">
        <v>1804.8348359676656</v>
      </c>
      <c r="H732" s="2">
        <v>2406.4464479568874</v>
      </c>
      <c r="I732" s="2">
        <v>1</v>
      </c>
      <c r="J732" s="2">
        <v>2</v>
      </c>
    </row>
    <row r="733" spans="1:10" x14ac:dyDescent="0.25">
      <c r="A733" s="2">
        <v>53</v>
      </c>
      <c r="B733" s="2" t="s">
        <v>11</v>
      </c>
      <c r="C733" s="2">
        <v>21.4</v>
      </c>
      <c r="D733" s="2">
        <v>1</v>
      </c>
      <c r="E733" s="2" t="s">
        <v>12</v>
      </c>
      <c r="F733" s="2" t="s">
        <v>21</v>
      </c>
      <c r="G733" s="2">
        <v>4485.5883071018307</v>
      </c>
      <c r="H733" s="2">
        <v>4271.9888639065066</v>
      </c>
      <c r="I733" s="2">
        <v>0</v>
      </c>
      <c r="J733" s="2">
        <v>1</v>
      </c>
    </row>
    <row r="734" spans="1:10" x14ac:dyDescent="0.25">
      <c r="A734" s="2">
        <v>24</v>
      </c>
      <c r="B734" s="2" t="s">
        <v>8</v>
      </c>
      <c r="C734" s="2">
        <v>30.1</v>
      </c>
      <c r="D734" s="2">
        <v>3</v>
      </c>
      <c r="E734" s="2" t="s">
        <v>12</v>
      </c>
      <c r="F734" s="2" t="s">
        <v>21</v>
      </c>
      <c r="G734" s="2">
        <v>1263.2067313797938</v>
      </c>
      <c r="H734" s="2">
        <v>1684.275641839725</v>
      </c>
      <c r="I734" s="2">
        <v>0</v>
      </c>
      <c r="J734" s="2">
        <v>3</v>
      </c>
    </row>
    <row r="735" spans="1:10" x14ac:dyDescent="0.25">
      <c r="A735" s="2">
        <v>48</v>
      </c>
      <c r="B735" s="2" t="s">
        <v>8</v>
      </c>
      <c r="C735" s="2">
        <v>27.3</v>
      </c>
      <c r="D735" s="2">
        <v>1</v>
      </c>
      <c r="E735" s="2" t="s">
        <v>12</v>
      </c>
      <c r="F735" s="2" t="s">
        <v>15</v>
      </c>
      <c r="G735" s="2">
        <v>4537.9094703209739</v>
      </c>
      <c r="H735" s="2">
        <v>4321.8185431628344</v>
      </c>
      <c r="I735" s="2">
        <v>0</v>
      </c>
      <c r="J735" s="2">
        <v>1</v>
      </c>
    </row>
    <row r="736" spans="1:10" x14ac:dyDescent="0.25">
      <c r="A736" s="2">
        <v>59</v>
      </c>
      <c r="B736" s="2" t="s">
        <v>8</v>
      </c>
      <c r="C736" s="2">
        <v>32.1</v>
      </c>
      <c r="D736" s="2">
        <v>3</v>
      </c>
      <c r="E736" s="2" t="s">
        <v>12</v>
      </c>
      <c r="F736" s="2" t="s">
        <v>21</v>
      </c>
      <c r="G736" s="2">
        <v>3100.9670746886186</v>
      </c>
      <c r="H736" s="2">
        <v>4134.6227662514912</v>
      </c>
      <c r="I736" s="2">
        <v>0</v>
      </c>
      <c r="J736" s="2">
        <v>3</v>
      </c>
    </row>
    <row r="737" spans="1:10" x14ac:dyDescent="0.25">
      <c r="A737" s="2">
        <v>49</v>
      </c>
      <c r="B737" s="2" t="s">
        <v>8</v>
      </c>
      <c r="C737" s="2">
        <v>34.799999999999997</v>
      </c>
      <c r="D737" s="2">
        <v>1</v>
      </c>
      <c r="E737" s="2" t="s">
        <v>12</v>
      </c>
      <c r="F737" s="2" t="s">
        <v>20</v>
      </c>
      <c r="G737" s="2">
        <v>4370.807173862182</v>
      </c>
      <c r="H737" s="2">
        <v>4162.673498916366</v>
      </c>
      <c r="I737" s="2">
        <v>0</v>
      </c>
      <c r="J737" s="2">
        <v>1</v>
      </c>
    </row>
    <row r="738" spans="1:10" x14ac:dyDescent="0.25">
      <c r="A738" s="2">
        <v>37</v>
      </c>
      <c r="B738" s="2" t="s">
        <v>8</v>
      </c>
      <c r="C738" s="2">
        <v>38.4</v>
      </c>
      <c r="D738" s="2">
        <v>0</v>
      </c>
      <c r="E738" s="2" t="s">
        <v>9</v>
      </c>
      <c r="F738" s="2" t="s">
        <v>13</v>
      </c>
      <c r="G738" s="2">
        <v>3646.5645154746621</v>
      </c>
      <c r="H738" s="2">
        <v>3472.9185861663464</v>
      </c>
      <c r="I738" s="2">
        <v>1</v>
      </c>
      <c r="J738" s="2">
        <v>2</v>
      </c>
    </row>
    <row r="739" spans="1:10" x14ac:dyDescent="0.25">
      <c r="A739" s="2">
        <v>26</v>
      </c>
      <c r="B739" s="2" t="s">
        <v>11</v>
      </c>
      <c r="C739" s="2">
        <v>22</v>
      </c>
      <c r="D739" s="2">
        <v>2</v>
      </c>
      <c r="E739" s="2" t="s">
        <v>12</v>
      </c>
      <c r="F739" s="2" t="s">
        <v>21</v>
      </c>
      <c r="G739" s="2">
        <v>1881.4081981886784</v>
      </c>
      <c r="H739" s="2">
        <v>2213.42140963374</v>
      </c>
      <c r="I739" s="2">
        <v>0</v>
      </c>
      <c r="J739" s="2">
        <v>0</v>
      </c>
    </row>
    <row r="740" spans="1:10" x14ac:dyDescent="0.25">
      <c r="A740" s="2">
        <v>23</v>
      </c>
      <c r="B740" s="2" t="s">
        <v>11</v>
      </c>
      <c r="C740" s="2">
        <v>31.7</v>
      </c>
      <c r="D740" s="2">
        <v>3</v>
      </c>
      <c r="E740" s="2" t="s">
        <v>9</v>
      </c>
      <c r="F740" s="2" t="s">
        <v>15</v>
      </c>
      <c r="G740" s="2">
        <v>1280.1785586382352</v>
      </c>
      <c r="H740" s="2">
        <v>1706.9047448509803</v>
      </c>
      <c r="I740" s="2">
        <v>1</v>
      </c>
      <c r="J740" s="2">
        <v>2</v>
      </c>
    </row>
    <row r="741" spans="1:10" x14ac:dyDescent="0.25">
      <c r="A741" s="2">
        <v>29</v>
      </c>
      <c r="B741" s="2" t="s">
        <v>11</v>
      </c>
      <c r="C741" s="2">
        <v>35.5</v>
      </c>
      <c r="D741" s="2">
        <v>2</v>
      </c>
      <c r="E741" s="2" t="s">
        <v>9</v>
      </c>
      <c r="F741" s="2" t="s">
        <v>21</v>
      </c>
      <c r="G741" s="2">
        <v>1229.3068026720543</v>
      </c>
      <c r="H741" s="2">
        <v>1639.0757368960726</v>
      </c>
      <c r="I741" s="2">
        <v>1</v>
      </c>
      <c r="J741" s="2">
        <v>2</v>
      </c>
    </row>
    <row r="742" spans="1:10" x14ac:dyDescent="0.25">
      <c r="A742" s="2">
        <v>45</v>
      </c>
      <c r="B742" s="2" t="s">
        <v>11</v>
      </c>
      <c r="C742" s="2">
        <v>24</v>
      </c>
      <c r="D742" s="2">
        <v>2</v>
      </c>
      <c r="E742" s="2" t="s">
        <v>12</v>
      </c>
      <c r="F742" s="2" t="s">
        <v>15</v>
      </c>
      <c r="G742" s="2">
        <v>2781.8547318212841</v>
      </c>
      <c r="H742" s="2">
        <v>3709.1396424283789</v>
      </c>
      <c r="I742" s="2">
        <v>0</v>
      </c>
      <c r="J742" s="2">
        <v>3</v>
      </c>
    </row>
    <row r="743" spans="1:10" x14ac:dyDescent="0.25">
      <c r="A743" s="2">
        <v>27</v>
      </c>
      <c r="B743" s="2" t="s">
        <v>11</v>
      </c>
      <c r="C743" s="2">
        <v>21.1</v>
      </c>
      <c r="D743" s="2">
        <v>0</v>
      </c>
      <c r="E743" s="2" t="s">
        <v>9</v>
      </c>
      <c r="F743" s="2" t="s">
        <v>13</v>
      </c>
      <c r="G743" s="2">
        <v>1816.3421034989656</v>
      </c>
      <c r="H743" s="2">
        <v>2136.8730629399606</v>
      </c>
      <c r="I743" s="2">
        <v>1</v>
      </c>
      <c r="J743" s="2">
        <v>2</v>
      </c>
    </row>
    <row r="744" spans="1:10" x14ac:dyDescent="0.25">
      <c r="A744" s="2">
        <v>53</v>
      </c>
      <c r="B744" s="2" t="s">
        <v>11</v>
      </c>
      <c r="C744" s="2">
        <v>34.1</v>
      </c>
      <c r="D744" s="2">
        <v>0</v>
      </c>
      <c r="E744" s="2" t="s">
        <v>9</v>
      </c>
      <c r="F744" s="2" t="s">
        <v>15</v>
      </c>
      <c r="G744" s="2">
        <v>5605.6567974427153</v>
      </c>
      <c r="H744" s="2">
        <v>5338.7207594692545</v>
      </c>
      <c r="I744" s="2">
        <v>1</v>
      </c>
      <c r="J744" s="2">
        <v>2</v>
      </c>
    </row>
    <row r="745" spans="1:10" x14ac:dyDescent="0.25">
      <c r="A745" s="2">
        <v>31</v>
      </c>
      <c r="B745" s="2" t="s">
        <v>8</v>
      </c>
      <c r="C745" s="2">
        <v>22.2</v>
      </c>
      <c r="D745" s="2">
        <v>0</v>
      </c>
      <c r="E745" s="2" t="s">
        <v>12</v>
      </c>
      <c r="F745" s="2" t="s">
        <v>13</v>
      </c>
      <c r="G745" s="2">
        <v>1732.4722159552559</v>
      </c>
      <c r="H745" s="2">
        <v>2038.2026070061843</v>
      </c>
      <c r="I745" s="2">
        <v>0</v>
      </c>
      <c r="J745" s="2">
        <v>0</v>
      </c>
    </row>
    <row r="746" spans="1:10" x14ac:dyDescent="0.25">
      <c r="A746" s="2">
        <v>50</v>
      </c>
      <c r="B746" s="2" t="s">
        <v>11</v>
      </c>
      <c r="C746" s="2">
        <v>26.4</v>
      </c>
      <c r="D746" s="2">
        <v>0</v>
      </c>
      <c r="E746" s="2" t="s">
        <v>12</v>
      </c>
      <c r="F746" s="2" t="s">
        <v>20</v>
      </c>
      <c r="G746" s="2">
        <v>3879.9764251812826</v>
      </c>
      <c r="H746" s="2">
        <v>3695.2156430297946</v>
      </c>
      <c r="I746" s="2">
        <v>0</v>
      </c>
      <c r="J746" s="2">
        <v>1</v>
      </c>
    </row>
    <row r="747" spans="1:10" x14ac:dyDescent="0.25">
      <c r="A747" s="2">
        <v>50</v>
      </c>
      <c r="B747" s="2" t="s">
        <v>8</v>
      </c>
      <c r="C747" s="2">
        <v>30.1</v>
      </c>
      <c r="D747" s="2">
        <v>1</v>
      </c>
      <c r="E747" s="2" t="s">
        <v>12</v>
      </c>
      <c r="F747" s="2" t="s">
        <v>20</v>
      </c>
      <c r="G747" s="2">
        <v>4482.774978619369</v>
      </c>
      <c r="H747" s="2">
        <v>4269.3095034470198</v>
      </c>
      <c r="I747" s="2">
        <v>0</v>
      </c>
      <c r="J747" s="2">
        <v>1</v>
      </c>
    </row>
    <row r="748" spans="1:10" x14ac:dyDescent="0.25">
      <c r="A748" s="2">
        <v>34</v>
      </c>
      <c r="B748" s="2" t="s">
        <v>11</v>
      </c>
      <c r="C748" s="2">
        <v>27</v>
      </c>
      <c r="D748" s="2">
        <v>2</v>
      </c>
      <c r="E748" s="2" t="s">
        <v>12</v>
      </c>
      <c r="F748" s="2" t="s">
        <v>21</v>
      </c>
      <c r="G748" s="2">
        <v>1367.6810237023021</v>
      </c>
      <c r="H748" s="2">
        <v>1823.5746982697362</v>
      </c>
      <c r="I748" s="2">
        <v>0</v>
      </c>
      <c r="J748" s="2">
        <v>3</v>
      </c>
    </row>
    <row r="749" spans="1:10" x14ac:dyDescent="0.25">
      <c r="A749" s="2">
        <v>19</v>
      </c>
      <c r="B749" s="2" t="s">
        <v>11</v>
      </c>
      <c r="C749" s="2">
        <v>20.3</v>
      </c>
      <c r="D749" s="2">
        <v>0</v>
      </c>
      <c r="E749" s="2" t="s">
        <v>12</v>
      </c>
      <c r="F749" s="2" t="s">
        <v>20</v>
      </c>
      <c r="G749" s="2">
        <v>1871.6553689676475</v>
      </c>
      <c r="H749" s="2">
        <v>2201.9474929031157</v>
      </c>
      <c r="I749" s="2">
        <v>0</v>
      </c>
      <c r="J749" s="2">
        <v>0</v>
      </c>
    </row>
    <row r="750" spans="1:10" x14ac:dyDescent="0.25">
      <c r="A750" s="2">
        <v>47</v>
      </c>
      <c r="B750" s="2" t="s">
        <v>8</v>
      </c>
      <c r="C750" s="2">
        <v>36</v>
      </c>
      <c r="D750" s="2">
        <v>1</v>
      </c>
      <c r="E750" s="2" t="s">
        <v>12</v>
      </c>
      <c r="F750" s="2" t="s">
        <v>21</v>
      </c>
      <c r="G750" s="2">
        <v>4353.5865362729028</v>
      </c>
      <c r="H750" s="2">
        <v>4146.2728916884807</v>
      </c>
      <c r="I750" s="2">
        <v>0</v>
      </c>
      <c r="J750" s="2">
        <v>1</v>
      </c>
    </row>
    <row r="751" spans="1:10" x14ac:dyDescent="0.25">
      <c r="A751" s="2">
        <v>28</v>
      </c>
      <c r="B751" s="2" t="s">
        <v>11</v>
      </c>
      <c r="C751" s="2">
        <v>25</v>
      </c>
      <c r="D751" s="2">
        <v>0</v>
      </c>
      <c r="E751" s="2" t="s">
        <v>12</v>
      </c>
      <c r="F751" s="2" t="s">
        <v>20</v>
      </c>
      <c r="G751" s="2">
        <v>1564.2266080215329</v>
      </c>
      <c r="H751" s="2">
        <v>1840.2665976723924</v>
      </c>
      <c r="I751" s="2">
        <v>0</v>
      </c>
      <c r="J751" s="2">
        <v>0</v>
      </c>
    </row>
    <row r="752" spans="1:10" x14ac:dyDescent="0.25">
      <c r="A752" s="2">
        <v>37</v>
      </c>
      <c r="B752" s="2" t="s">
        <v>8</v>
      </c>
      <c r="C752" s="2">
        <v>21.5</v>
      </c>
      <c r="D752" s="2">
        <v>0</v>
      </c>
      <c r="E752" s="2" t="s">
        <v>9</v>
      </c>
      <c r="F752" s="2" t="s">
        <v>13</v>
      </c>
      <c r="G752" s="2">
        <v>1457.7126063778892</v>
      </c>
      <c r="H752" s="2">
        <v>1714.9560075033999</v>
      </c>
      <c r="I752" s="2">
        <v>1</v>
      </c>
      <c r="J752" s="2">
        <v>2</v>
      </c>
    </row>
    <row r="753" spans="1:10" x14ac:dyDescent="0.25">
      <c r="A753" s="2">
        <v>21</v>
      </c>
      <c r="B753" s="2" t="s">
        <v>11</v>
      </c>
      <c r="C753" s="2">
        <v>23.1</v>
      </c>
      <c r="D753" s="2">
        <v>0</v>
      </c>
      <c r="E753" s="2" t="s">
        <v>12</v>
      </c>
      <c r="F753" s="2" t="s">
        <v>20</v>
      </c>
      <c r="G753" s="2">
        <v>1926.652757401579</v>
      </c>
      <c r="H753" s="2">
        <v>2266.6503028253878</v>
      </c>
      <c r="I753" s="2">
        <v>0</v>
      </c>
      <c r="J753" s="2">
        <v>0</v>
      </c>
    </row>
    <row r="754" spans="1:10" x14ac:dyDescent="0.25">
      <c r="A754" s="2">
        <v>64</v>
      </c>
      <c r="B754" s="2" t="s">
        <v>11</v>
      </c>
      <c r="C754" s="2">
        <v>37.9</v>
      </c>
      <c r="D754" s="2">
        <v>0</v>
      </c>
      <c r="E754" s="2" t="s">
        <v>12</v>
      </c>
      <c r="F754" s="2" t="s">
        <v>20</v>
      </c>
      <c r="G754" s="2">
        <v>4323.2052131565233</v>
      </c>
      <c r="H754" s="2">
        <v>4117.338298244309</v>
      </c>
      <c r="I754" s="2">
        <v>0</v>
      </c>
      <c r="J754" s="2">
        <v>1</v>
      </c>
    </row>
    <row r="755" spans="1:10" x14ac:dyDescent="0.25">
      <c r="A755" s="2">
        <v>58</v>
      </c>
      <c r="B755" s="2" t="s">
        <v>8</v>
      </c>
      <c r="C755" s="2">
        <v>22.8</v>
      </c>
      <c r="D755" s="2">
        <v>0</v>
      </c>
      <c r="E755" s="2" t="s">
        <v>12</v>
      </c>
      <c r="F755" s="2" t="s">
        <v>13</v>
      </c>
      <c r="G755" s="2">
        <v>4990.179555062452</v>
      </c>
      <c r="H755" s="2">
        <v>4752.5519572023359</v>
      </c>
      <c r="I755" s="2">
        <v>0</v>
      </c>
      <c r="J755" s="2">
        <v>1</v>
      </c>
    </row>
    <row r="756" spans="1:10" x14ac:dyDescent="0.25">
      <c r="A756" s="2">
        <v>24</v>
      </c>
      <c r="B756" s="2" t="s">
        <v>11</v>
      </c>
      <c r="C756" s="2">
        <v>33.6</v>
      </c>
      <c r="D756" s="2">
        <v>4</v>
      </c>
      <c r="E756" s="2" t="s">
        <v>12</v>
      </c>
      <c r="F756" s="2" t="s">
        <v>15</v>
      </c>
      <c r="G756" s="2">
        <v>2750.3158371419149</v>
      </c>
      <c r="H756" s="2">
        <v>3667.0877828558864</v>
      </c>
      <c r="I756" s="2">
        <v>0</v>
      </c>
      <c r="J756" s="2">
        <v>3</v>
      </c>
    </row>
    <row r="757" spans="1:10" x14ac:dyDescent="0.25">
      <c r="A757" s="2">
        <v>31</v>
      </c>
      <c r="B757" s="2" t="s">
        <v>11</v>
      </c>
      <c r="C757" s="2">
        <v>27.6</v>
      </c>
      <c r="D757" s="2">
        <v>2</v>
      </c>
      <c r="E757" s="2" t="s">
        <v>12</v>
      </c>
      <c r="F757" s="2" t="s">
        <v>15</v>
      </c>
      <c r="G757" s="2">
        <v>2088.17914387884</v>
      </c>
      <c r="H757" s="2">
        <v>2784.2388585051199</v>
      </c>
      <c r="I757" s="2">
        <v>0</v>
      </c>
      <c r="J757" s="2">
        <v>3</v>
      </c>
    </row>
    <row r="758" spans="1:10" x14ac:dyDescent="0.25">
      <c r="A758" s="2">
        <v>39</v>
      </c>
      <c r="B758" s="2" t="s">
        <v>8</v>
      </c>
      <c r="C758" s="2">
        <v>22.8</v>
      </c>
      <c r="D758" s="2">
        <v>3</v>
      </c>
      <c r="E758" s="2" t="s">
        <v>12</v>
      </c>
      <c r="F758" s="2" t="s">
        <v>15</v>
      </c>
      <c r="G758" s="2">
        <v>1129.0478258045537</v>
      </c>
      <c r="H758" s="2">
        <v>1505.3971010727382</v>
      </c>
      <c r="I758" s="2">
        <v>0</v>
      </c>
      <c r="J758" s="2">
        <v>3</v>
      </c>
    </row>
    <row r="759" spans="1:10" x14ac:dyDescent="0.25">
      <c r="A759" s="2">
        <v>47</v>
      </c>
      <c r="B759" s="2" t="s">
        <v>8</v>
      </c>
      <c r="C759" s="2">
        <v>27.8</v>
      </c>
      <c r="D759" s="2">
        <v>0</v>
      </c>
      <c r="E759" s="2" t="s">
        <v>9</v>
      </c>
      <c r="F759" s="2" t="s">
        <v>13</v>
      </c>
      <c r="G759" s="2">
        <v>4988.2291675704491</v>
      </c>
      <c r="H759" s="2">
        <v>4750.694445305191</v>
      </c>
      <c r="I759" s="2">
        <v>1</v>
      </c>
      <c r="J759" s="2">
        <v>2</v>
      </c>
    </row>
    <row r="760" spans="1:10" x14ac:dyDescent="0.25">
      <c r="A760" s="2">
        <v>30</v>
      </c>
      <c r="B760" s="2" t="s">
        <v>11</v>
      </c>
      <c r="C760" s="2">
        <v>37.4</v>
      </c>
      <c r="D760" s="2">
        <v>3</v>
      </c>
      <c r="E760" s="2" t="s">
        <v>12</v>
      </c>
      <c r="F760" s="2" t="s">
        <v>15</v>
      </c>
      <c r="G760" s="2">
        <v>2610.4979877837227</v>
      </c>
      <c r="H760" s="2">
        <v>3480.6639837116304</v>
      </c>
      <c r="I760" s="2">
        <v>0</v>
      </c>
      <c r="J760" s="2">
        <v>3</v>
      </c>
    </row>
    <row r="761" spans="1:10" x14ac:dyDescent="0.25">
      <c r="A761" s="2">
        <v>18</v>
      </c>
      <c r="B761" s="2" t="s">
        <v>11</v>
      </c>
      <c r="C761" s="2">
        <v>21.3</v>
      </c>
      <c r="D761" s="2">
        <v>0</v>
      </c>
      <c r="E761" s="2" t="s">
        <v>9</v>
      </c>
      <c r="F761" s="2" t="s">
        <v>13</v>
      </c>
      <c r="G761" s="2">
        <v>1474.1566884627209</v>
      </c>
      <c r="H761" s="2">
        <v>1734.3019864267312</v>
      </c>
      <c r="I761" s="2">
        <v>1</v>
      </c>
      <c r="J761" s="2">
        <v>2</v>
      </c>
    </row>
    <row r="762" spans="1:10" x14ac:dyDescent="0.25">
      <c r="A762" s="2">
        <v>22</v>
      </c>
      <c r="B762" s="2" t="s">
        <v>8</v>
      </c>
      <c r="C762" s="2">
        <v>34.6</v>
      </c>
      <c r="D762" s="2">
        <v>2</v>
      </c>
      <c r="E762" s="2" t="s">
        <v>12</v>
      </c>
      <c r="F762" s="2" t="s">
        <v>15</v>
      </c>
      <c r="G762" s="2">
        <v>1574.484226616356</v>
      </c>
      <c r="H762" s="2">
        <v>2099.3123021551414</v>
      </c>
      <c r="I762" s="2">
        <v>0</v>
      </c>
      <c r="J762" s="2">
        <v>3</v>
      </c>
    </row>
    <row r="763" spans="1:10" x14ac:dyDescent="0.25">
      <c r="A763" s="2">
        <v>23</v>
      </c>
      <c r="B763" s="2" t="s">
        <v>11</v>
      </c>
      <c r="C763" s="2">
        <v>24.1</v>
      </c>
      <c r="D763" s="2">
        <v>1</v>
      </c>
      <c r="E763" s="2" t="s">
        <v>12</v>
      </c>
      <c r="F763" s="2" t="s">
        <v>21</v>
      </c>
      <c r="G763" s="2">
        <v>2031.6833008417404</v>
      </c>
      <c r="H763" s="2">
        <v>2390.2156480491076</v>
      </c>
      <c r="I763" s="2">
        <v>0</v>
      </c>
      <c r="J763" s="2">
        <v>0</v>
      </c>
    </row>
    <row r="764" spans="1:10" x14ac:dyDescent="0.25">
      <c r="A764" s="2">
        <v>33</v>
      </c>
      <c r="B764" s="2" t="s">
        <v>11</v>
      </c>
      <c r="C764" s="2">
        <v>21.9</v>
      </c>
      <c r="D764" s="2">
        <v>1</v>
      </c>
      <c r="E764" s="2" t="s">
        <v>9</v>
      </c>
      <c r="F764" s="2" t="s">
        <v>21</v>
      </c>
      <c r="G764" s="2">
        <v>1500.3572417650253</v>
      </c>
      <c r="H764" s="2">
        <v>1765.1261667823833</v>
      </c>
      <c r="I764" s="2">
        <v>1</v>
      </c>
      <c r="J764" s="2">
        <v>2</v>
      </c>
    </row>
    <row r="765" spans="1:10" x14ac:dyDescent="0.25">
      <c r="A765" s="2">
        <v>27</v>
      </c>
      <c r="B765" s="2" t="s">
        <v>11</v>
      </c>
      <c r="C765" s="2">
        <v>21.9</v>
      </c>
      <c r="D765" s="2">
        <v>0</v>
      </c>
      <c r="E765" s="2" t="s">
        <v>12</v>
      </c>
      <c r="F765" s="2" t="s">
        <v>15</v>
      </c>
      <c r="G765" s="2">
        <v>1740.8095722120206</v>
      </c>
      <c r="H765" s="2">
        <v>2048.0112614259074</v>
      </c>
      <c r="I765" s="2">
        <v>0</v>
      </c>
      <c r="J765" s="2">
        <v>0</v>
      </c>
    </row>
    <row r="766" spans="1:10" x14ac:dyDescent="0.25">
      <c r="A766" s="2">
        <v>45</v>
      </c>
      <c r="B766" s="2" t="s">
        <v>8</v>
      </c>
      <c r="C766" s="2">
        <v>25.2</v>
      </c>
      <c r="D766" s="2">
        <v>2</v>
      </c>
      <c r="E766" s="2" t="s">
        <v>12</v>
      </c>
      <c r="F766" s="2" t="s">
        <v>15</v>
      </c>
      <c r="G766" s="2">
        <v>2889.1997512189168</v>
      </c>
      <c r="H766" s="2">
        <v>3852.2663349585559</v>
      </c>
      <c r="I766" s="2">
        <v>0</v>
      </c>
      <c r="J766" s="2">
        <v>3</v>
      </c>
    </row>
    <row r="767" spans="1:10" x14ac:dyDescent="0.25">
      <c r="A767" s="2">
        <v>57</v>
      </c>
      <c r="B767" s="2" t="s">
        <v>8</v>
      </c>
      <c r="C767" s="2">
        <v>31.8</v>
      </c>
      <c r="D767" s="2">
        <v>0</v>
      </c>
      <c r="E767" s="2" t="s">
        <v>12</v>
      </c>
      <c r="F767" s="2" t="s">
        <v>20</v>
      </c>
      <c r="G767" s="2">
        <v>4814.8722420659387</v>
      </c>
      <c r="H767" s="2">
        <v>4585.5926114913727</v>
      </c>
      <c r="I767" s="2">
        <v>0</v>
      </c>
      <c r="J767" s="2">
        <v>1</v>
      </c>
    </row>
    <row r="768" spans="1:10" x14ac:dyDescent="0.25">
      <c r="A768" s="2">
        <v>47</v>
      </c>
      <c r="B768" s="2" t="s">
        <v>11</v>
      </c>
      <c r="C768" s="2">
        <v>32.299999999999997</v>
      </c>
      <c r="D768" s="2">
        <v>1</v>
      </c>
      <c r="E768" s="2" t="s">
        <v>12</v>
      </c>
      <c r="F768" s="2" t="s">
        <v>21</v>
      </c>
      <c r="G768" s="2">
        <v>5468.6803694736582</v>
      </c>
      <c r="H768" s="2">
        <v>5208.2670185463421</v>
      </c>
      <c r="I768" s="2">
        <v>0</v>
      </c>
      <c r="J768" s="2">
        <v>1</v>
      </c>
    </row>
    <row r="769" spans="1:10" x14ac:dyDescent="0.25">
      <c r="A769" s="2">
        <v>42</v>
      </c>
      <c r="B769" s="2" t="s">
        <v>8</v>
      </c>
      <c r="C769" s="2">
        <v>29</v>
      </c>
      <c r="D769" s="2">
        <v>1</v>
      </c>
      <c r="E769" s="2" t="s">
        <v>12</v>
      </c>
      <c r="F769" s="2" t="s">
        <v>21</v>
      </c>
      <c r="G769" s="2">
        <v>3399.0760554097501</v>
      </c>
      <c r="H769" s="2">
        <v>3237.2152908664302</v>
      </c>
      <c r="I769" s="2">
        <v>0</v>
      </c>
      <c r="J769" s="2">
        <v>1</v>
      </c>
    </row>
    <row r="770" spans="1:10" x14ac:dyDescent="0.25">
      <c r="A770" s="2">
        <v>64</v>
      </c>
      <c r="B770" s="2" t="s">
        <v>8</v>
      </c>
      <c r="C770" s="2">
        <v>39.700000000000003</v>
      </c>
      <c r="D770" s="2">
        <v>0</v>
      </c>
      <c r="E770" s="2" t="s">
        <v>12</v>
      </c>
      <c r="F770" s="2" t="s">
        <v>21</v>
      </c>
      <c r="G770" s="2">
        <v>6495.0878525316093</v>
      </c>
      <c r="H770" s="2">
        <v>6185.7979547920095</v>
      </c>
      <c r="I770" s="2">
        <v>0</v>
      </c>
      <c r="J770" s="2">
        <v>1</v>
      </c>
    </row>
    <row r="771" spans="1:10" x14ac:dyDescent="0.25">
      <c r="A771" s="2">
        <v>38</v>
      </c>
      <c r="B771" s="2" t="s">
        <v>8</v>
      </c>
      <c r="C771" s="2">
        <v>19.5</v>
      </c>
      <c r="D771" s="2">
        <v>2</v>
      </c>
      <c r="E771" s="2" t="s">
        <v>12</v>
      </c>
      <c r="F771" s="2" t="s">
        <v>20</v>
      </c>
      <c r="G771" s="2">
        <v>1709.7623033936761</v>
      </c>
      <c r="H771" s="2">
        <v>2011.4850628160902</v>
      </c>
      <c r="I771" s="2">
        <v>0</v>
      </c>
      <c r="J771" s="2">
        <v>0</v>
      </c>
    </row>
    <row r="772" spans="1:10" x14ac:dyDescent="0.25">
      <c r="A772" s="2">
        <v>61</v>
      </c>
      <c r="B772" s="2" t="s">
        <v>11</v>
      </c>
      <c r="C772" s="2">
        <v>36.1</v>
      </c>
      <c r="D772" s="2">
        <v>3</v>
      </c>
      <c r="E772" s="2" t="s">
        <v>12</v>
      </c>
      <c r="F772" s="2" t="s">
        <v>21</v>
      </c>
      <c r="G772" s="2">
        <v>2668.454822471911</v>
      </c>
      <c r="H772" s="2">
        <v>3557.9397632958817</v>
      </c>
      <c r="I772" s="2">
        <v>0</v>
      </c>
      <c r="J772" s="2">
        <v>3</v>
      </c>
    </row>
    <row r="773" spans="1:10" x14ac:dyDescent="0.25">
      <c r="A773" s="2">
        <v>53</v>
      </c>
      <c r="B773" s="2" t="s">
        <v>8</v>
      </c>
      <c r="C773" s="2">
        <v>26.7</v>
      </c>
      <c r="D773" s="2">
        <v>2</v>
      </c>
      <c r="E773" s="2" t="s">
        <v>12</v>
      </c>
      <c r="F773" s="2" t="s">
        <v>21</v>
      </c>
      <c r="G773" s="2">
        <v>2399.9870748427811</v>
      </c>
      <c r="H773" s="2">
        <v>3199.9827664570416</v>
      </c>
      <c r="I773" s="2">
        <v>0</v>
      </c>
      <c r="J773" s="2">
        <v>3</v>
      </c>
    </row>
    <row r="774" spans="1:10" x14ac:dyDescent="0.25">
      <c r="A774" s="2">
        <v>44</v>
      </c>
      <c r="B774" s="2" t="s">
        <v>8</v>
      </c>
      <c r="C774" s="2">
        <v>36.5</v>
      </c>
      <c r="D774" s="2">
        <v>0</v>
      </c>
      <c r="E774" s="2" t="s">
        <v>12</v>
      </c>
      <c r="F774" s="2" t="s">
        <v>15</v>
      </c>
      <c r="G774" s="2">
        <v>5069.4360813530302</v>
      </c>
      <c r="H774" s="2">
        <v>4828.0343631933638</v>
      </c>
      <c r="I774" s="2">
        <v>0</v>
      </c>
      <c r="J774" s="2">
        <v>1</v>
      </c>
    </row>
    <row r="775" spans="1:10" x14ac:dyDescent="0.25">
      <c r="A775" s="2">
        <v>19</v>
      </c>
      <c r="B775" s="2" t="s">
        <v>8</v>
      </c>
      <c r="C775" s="2">
        <v>22.3</v>
      </c>
      <c r="D775" s="2">
        <v>0</v>
      </c>
      <c r="E775" s="2" t="s">
        <v>9</v>
      </c>
      <c r="F775" s="2" t="s">
        <v>20</v>
      </c>
      <c r="G775" s="2">
        <v>2018.4312350383047</v>
      </c>
      <c r="H775" s="2">
        <v>2374.6249823980061</v>
      </c>
      <c r="I775" s="2">
        <v>1</v>
      </c>
      <c r="J775" s="2">
        <v>2</v>
      </c>
    </row>
    <row r="776" spans="1:10" x14ac:dyDescent="0.25">
      <c r="A776" s="2">
        <v>41</v>
      </c>
      <c r="B776" s="2" t="s">
        <v>11</v>
      </c>
      <c r="C776" s="2">
        <v>34.200000000000003</v>
      </c>
      <c r="D776" s="2">
        <v>2</v>
      </c>
      <c r="E776" s="2" t="s">
        <v>12</v>
      </c>
      <c r="F776" s="2" t="s">
        <v>20</v>
      </c>
      <c r="G776" s="2">
        <v>1616.0464852943023</v>
      </c>
      <c r="H776" s="2">
        <v>2154.7286470590698</v>
      </c>
      <c r="I776" s="2">
        <v>0</v>
      </c>
      <c r="J776" s="2">
        <v>3</v>
      </c>
    </row>
    <row r="777" spans="1:10" x14ac:dyDescent="0.25">
      <c r="A777" s="2">
        <v>51</v>
      </c>
      <c r="B777" s="2" t="s">
        <v>11</v>
      </c>
      <c r="C777" s="2">
        <v>33.299999999999997</v>
      </c>
      <c r="D777" s="2">
        <v>3</v>
      </c>
      <c r="E777" s="2" t="s">
        <v>12</v>
      </c>
      <c r="F777" s="2" t="s">
        <v>13</v>
      </c>
      <c r="G777" s="2">
        <v>3074.0465714851707</v>
      </c>
      <c r="H777" s="2">
        <v>4098.7287619802273</v>
      </c>
      <c r="I777" s="2">
        <v>0</v>
      </c>
      <c r="J777" s="2">
        <v>3</v>
      </c>
    </row>
    <row r="778" spans="1:10" x14ac:dyDescent="0.25">
      <c r="A778" s="2">
        <v>40</v>
      </c>
      <c r="B778" s="2" t="s">
        <v>11</v>
      </c>
      <c r="C778" s="2">
        <v>32.299999999999997</v>
      </c>
      <c r="D778" s="2">
        <v>2</v>
      </c>
      <c r="E778" s="2" t="s">
        <v>12</v>
      </c>
      <c r="F778" s="2" t="s">
        <v>20</v>
      </c>
      <c r="G778" s="2">
        <v>1669.7217289093003</v>
      </c>
      <c r="H778" s="2">
        <v>2226.2956385457337</v>
      </c>
      <c r="I778" s="2">
        <v>0</v>
      </c>
      <c r="J778" s="2">
        <v>3</v>
      </c>
    </row>
    <row r="779" spans="1:10" x14ac:dyDescent="0.25">
      <c r="A779" s="2">
        <v>45</v>
      </c>
      <c r="B779" s="2" t="s">
        <v>11</v>
      </c>
      <c r="C779" s="2">
        <v>39.799999999999997</v>
      </c>
      <c r="D779" s="2">
        <v>0</v>
      </c>
      <c r="E779" s="2" t="s">
        <v>12</v>
      </c>
      <c r="F779" s="2" t="s">
        <v>15</v>
      </c>
      <c r="G779" s="2">
        <v>6228.8094116795055</v>
      </c>
      <c r="H779" s="2">
        <v>5932.1994396947684</v>
      </c>
      <c r="I779" s="2">
        <v>0</v>
      </c>
      <c r="J779" s="2">
        <v>1</v>
      </c>
    </row>
    <row r="780" spans="1:10" x14ac:dyDescent="0.25">
      <c r="A780" s="2">
        <v>35</v>
      </c>
      <c r="B780" s="2" t="s">
        <v>11</v>
      </c>
      <c r="C780" s="2">
        <v>34.299999999999997</v>
      </c>
      <c r="D780" s="2">
        <v>3</v>
      </c>
      <c r="E780" s="2" t="s">
        <v>12</v>
      </c>
      <c r="F780" s="2" t="s">
        <v>13</v>
      </c>
      <c r="G780" s="2">
        <v>1928.3073351369276</v>
      </c>
      <c r="H780" s="2">
        <v>2571.0764468492366</v>
      </c>
      <c r="I780" s="2">
        <v>0</v>
      </c>
      <c r="J780" s="2">
        <v>3</v>
      </c>
    </row>
    <row r="781" spans="1:10" x14ac:dyDescent="0.25">
      <c r="A781" s="2">
        <v>53</v>
      </c>
      <c r="B781" s="2" t="s">
        <v>11</v>
      </c>
      <c r="C781" s="2">
        <v>28.9</v>
      </c>
      <c r="D781" s="2">
        <v>0</v>
      </c>
      <c r="E781" s="2" t="s">
        <v>12</v>
      </c>
      <c r="F781" s="2" t="s">
        <v>20</v>
      </c>
      <c r="G781" s="2">
        <v>5342.2285419975551</v>
      </c>
      <c r="H781" s="2">
        <v>5087.8367066643405</v>
      </c>
      <c r="I781" s="2">
        <v>0</v>
      </c>
      <c r="J781" s="2">
        <v>1</v>
      </c>
    </row>
    <row r="782" spans="1:10" x14ac:dyDescent="0.25">
      <c r="A782" s="2">
        <v>30</v>
      </c>
      <c r="B782" s="2" t="s">
        <v>11</v>
      </c>
      <c r="C782" s="2">
        <v>24.4</v>
      </c>
      <c r="D782" s="2">
        <v>3</v>
      </c>
      <c r="E782" s="2" t="s">
        <v>9</v>
      </c>
      <c r="F782" s="2" t="s">
        <v>21</v>
      </c>
      <c r="G782" s="2">
        <v>1943.0994167700439</v>
      </c>
      <c r="H782" s="2">
        <v>2590.7992223600586</v>
      </c>
      <c r="I782" s="2">
        <v>1</v>
      </c>
      <c r="J782" s="2">
        <v>2</v>
      </c>
    </row>
    <row r="783" spans="1:10" x14ac:dyDescent="0.25">
      <c r="A783" s="2">
        <v>18</v>
      </c>
      <c r="B783" s="2" t="s">
        <v>11</v>
      </c>
      <c r="C783" s="2">
        <v>24.9</v>
      </c>
      <c r="D783" s="2">
        <v>0</v>
      </c>
      <c r="E783" s="2" t="s">
        <v>12</v>
      </c>
      <c r="F783" s="2" t="s">
        <v>13</v>
      </c>
      <c r="G783" s="2">
        <v>1705.2877861420973</v>
      </c>
      <c r="H783" s="2">
        <v>2006.2209248730564</v>
      </c>
      <c r="I783" s="2">
        <v>0</v>
      </c>
      <c r="J783" s="2">
        <v>0</v>
      </c>
    </row>
    <row r="784" spans="1:10" x14ac:dyDescent="0.25">
      <c r="A784" s="2">
        <v>51</v>
      </c>
      <c r="B784" s="2" t="s">
        <v>11</v>
      </c>
      <c r="C784" s="2">
        <v>36</v>
      </c>
      <c r="D784" s="2">
        <v>1</v>
      </c>
      <c r="E784" s="2" t="s">
        <v>12</v>
      </c>
      <c r="F784" s="2" t="s">
        <v>13</v>
      </c>
      <c r="G784" s="2">
        <v>5651.6943464238502</v>
      </c>
      <c r="H784" s="2">
        <v>5382.5660442131921</v>
      </c>
      <c r="I784" s="2">
        <v>0</v>
      </c>
      <c r="J784" s="2">
        <v>1</v>
      </c>
    </row>
    <row r="785" spans="1:10" x14ac:dyDescent="0.25">
      <c r="A785" s="2">
        <v>50</v>
      </c>
      <c r="B785" s="2" t="s">
        <v>8</v>
      </c>
      <c r="C785" s="2">
        <v>27.6</v>
      </c>
      <c r="D785" s="2">
        <v>1</v>
      </c>
      <c r="E785" s="2" t="s">
        <v>9</v>
      </c>
      <c r="F785" s="2" t="s">
        <v>21</v>
      </c>
      <c r="G785" s="2">
        <v>4775.6988960993513</v>
      </c>
      <c r="H785" s="2">
        <v>4548.2846629517635</v>
      </c>
      <c r="I785" s="2">
        <v>1</v>
      </c>
      <c r="J785" s="2">
        <v>2</v>
      </c>
    </row>
    <row r="786" spans="1:10" x14ac:dyDescent="0.25">
      <c r="A786" s="2">
        <v>31</v>
      </c>
      <c r="B786" s="2" t="s">
        <v>8</v>
      </c>
      <c r="C786" s="2">
        <v>24.2</v>
      </c>
      <c r="D786" s="2">
        <v>1</v>
      </c>
      <c r="E786" s="2" t="s">
        <v>12</v>
      </c>
      <c r="F786" s="2" t="s">
        <v>13</v>
      </c>
      <c r="G786" s="2">
        <v>2764.9112152807711</v>
      </c>
      <c r="H786" s="2">
        <v>3252.8367238597316</v>
      </c>
      <c r="I786" s="2">
        <v>0</v>
      </c>
      <c r="J786" s="2">
        <v>0</v>
      </c>
    </row>
    <row r="787" spans="1:10" x14ac:dyDescent="0.25">
      <c r="A787" s="2">
        <v>35</v>
      </c>
      <c r="B787" s="2" t="s">
        <v>8</v>
      </c>
      <c r="C787" s="2">
        <v>27.7</v>
      </c>
      <c r="D787" s="2">
        <v>3</v>
      </c>
      <c r="E787" s="2" t="s">
        <v>12</v>
      </c>
      <c r="F787" s="2" t="s">
        <v>21</v>
      </c>
      <c r="G787" s="2">
        <v>1840.5162729186304</v>
      </c>
      <c r="H787" s="2">
        <v>2454.0216972248404</v>
      </c>
      <c r="I787" s="2">
        <v>0</v>
      </c>
      <c r="J787" s="2">
        <v>3</v>
      </c>
    </row>
    <row r="788" spans="1:10" x14ac:dyDescent="0.25">
      <c r="A788" s="2">
        <v>60</v>
      </c>
      <c r="B788" s="2" t="s">
        <v>11</v>
      </c>
      <c r="C788" s="2">
        <v>37</v>
      </c>
      <c r="D788" s="2">
        <v>0</v>
      </c>
      <c r="E788" s="2" t="s">
        <v>12</v>
      </c>
      <c r="F788" s="2" t="s">
        <v>15</v>
      </c>
      <c r="G788" s="2">
        <v>4992.5659988205307</v>
      </c>
      <c r="H788" s="2">
        <v>4754.8247607814592</v>
      </c>
      <c r="I788" s="2">
        <v>0</v>
      </c>
      <c r="J788" s="2">
        <v>1</v>
      </c>
    </row>
    <row r="789" spans="1:10" x14ac:dyDescent="0.25">
      <c r="A789" s="2">
        <v>21</v>
      </c>
      <c r="B789" s="2" t="s">
        <v>11</v>
      </c>
      <c r="C789" s="2">
        <v>21.3</v>
      </c>
      <c r="D789" s="2">
        <v>0</v>
      </c>
      <c r="E789" s="2" t="s">
        <v>12</v>
      </c>
      <c r="F789" s="2" t="s">
        <v>20</v>
      </c>
      <c r="G789" s="2">
        <v>2191.0996426422744</v>
      </c>
      <c r="H789" s="2">
        <v>2577.7642854615005</v>
      </c>
      <c r="I789" s="2">
        <v>0</v>
      </c>
      <c r="J789" s="2">
        <v>0</v>
      </c>
    </row>
    <row r="790" spans="1:10" x14ac:dyDescent="0.25">
      <c r="A790" s="2">
        <v>29</v>
      </c>
      <c r="B790" s="2" t="s">
        <v>11</v>
      </c>
      <c r="C790" s="2">
        <v>22.5</v>
      </c>
      <c r="D790" s="2">
        <v>3</v>
      </c>
      <c r="E790" s="2" t="s">
        <v>12</v>
      </c>
      <c r="F790" s="2" t="s">
        <v>15</v>
      </c>
      <c r="G790" s="2">
        <v>2725.1474061711788</v>
      </c>
      <c r="H790" s="2">
        <v>3633.5298748949049</v>
      </c>
      <c r="I790" s="2">
        <v>0</v>
      </c>
      <c r="J790" s="2">
        <v>3</v>
      </c>
    </row>
    <row r="791" spans="1:10" x14ac:dyDescent="0.25">
      <c r="A791" s="2">
        <v>62</v>
      </c>
      <c r="B791" s="2" t="s">
        <v>8</v>
      </c>
      <c r="C791" s="2">
        <v>29.9</v>
      </c>
      <c r="D791" s="2">
        <v>0</v>
      </c>
      <c r="E791" s="2" t="s">
        <v>12</v>
      </c>
      <c r="F791" s="2" t="s">
        <v>13</v>
      </c>
      <c r="G791" s="2">
        <v>4651.5814463996512</v>
      </c>
      <c r="H791" s="2">
        <v>4430.0775679996696</v>
      </c>
      <c r="I791" s="2">
        <v>0</v>
      </c>
      <c r="J791" s="2">
        <v>1</v>
      </c>
    </row>
    <row r="792" spans="1:10" x14ac:dyDescent="0.25">
      <c r="A792" s="2">
        <v>39</v>
      </c>
      <c r="B792" s="2" t="s">
        <v>8</v>
      </c>
      <c r="C792" s="2">
        <v>41.8</v>
      </c>
      <c r="D792" s="2">
        <v>0</v>
      </c>
      <c r="E792" s="2" t="s">
        <v>12</v>
      </c>
      <c r="F792" s="2" t="s">
        <v>13</v>
      </c>
      <c r="G792" s="2">
        <v>3799.136737003797</v>
      </c>
      <c r="H792" s="2">
        <v>3618.2254638131412</v>
      </c>
      <c r="I792" s="2">
        <v>0</v>
      </c>
      <c r="J792" s="2">
        <v>1</v>
      </c>
    </row>
    <row r="793" spans="1:10" x14ac:dyDescent="0.25">
      <c r="A793" s="2">
        <v>19</v>
      </c>
      <c r="B793" s="2" t="s">
        <v>11</v>
      </c>
      <c r="C793" s="2">
        <v>24.3</v>
      </c>
      <c r="D793" s="2">
        <v>0</v>
      </c>
      <c r="E793" s="2" t="s">
        <v>12</v>
      </c>
      <c r="F793" s="2" t="s">
        <v>21</v>
      </c>
      <c r="G793" s="2">
        <v>2706.9835700068534</v>
      </c>
      <c r="H793" s="2">
        <v>3184.6865529492406</v>
      </c>
      <c r="I793" s="2">
        <v>0</v>
      </c>
      <c r="J793" s="2">
        <v>0</v>
      </c>
    </row>
    <row r="794" spans="1:10" x14ac:dyDescent="0.25">
      <c r="A794" s="2">
        <v>22</v>
      </c>
      <c r="B794" s="2" t="s">
        <v>8</v>
      </c>
      <c r="C794" s="2">
        <v>25.4</v>
      </c>
      <c r="D794" s="2">
        <v>0</v>
      </c>
      <c r="E794" s="2" t="s">
        <v>12</v>
      </c>
      <c r="F794" s="2" t="s">
        <v>15</v>
      </c>
      <c r="G794" s="2">
        <v>1694.755839024687</v>
      </c>
      <c r="H794" s="2">
        <v>1993.8303988525738</v>
      </c>
      <c r="I794" s="2">
        <v>0</v>
      </c>
      <c r="J794" s="2">
        <v>0</v>
      </c>
    </row>
    <row r="795" spans="1:10" x14ac:dyDescent="0.25">
      <c r="A795" s="2">
        <v>53</v>
      </c>
      <c r="B795" s="2" t="s">
        <v>11</v>
      </c>
      <c r="C795" s="2">
        <v>20.9</v>
      </c>
      <c r="D795" s="2">
        <v>0</v>
      </c>
      <c r="E795" s="2" t="s">
        <v>9</v>
      </c>
      <c r="F795" s="2" t="s">
        <v>13</v>
      </c>
      <c r="G795" s="2">
        <v>4559.9938864329451</v>
      </c>
      <c r="H795" s="2">
        <v>4342.8513204123301</v>
      </c>
      <c r="I795" s="2">
        <v>1</v>
      </c>
      <c r="J795" s="2">
        <v>2</v>
      </c>
    </row>
    <row r="796" spans="1:10" x14ac:dyDescent="0.25">
      <c r="A796" s="2">
        <v>39</v>
      </c>
      <c r="B796" s="2" t="s">
        <v>8</v>
      </c>
      <c r="C796" s="2">
        <v>31.9</v>
      </c>
      <c r="D796" s="2">
        <v>2</v>
      </c>
      <c r="E796" s="2" t="s">
        <v>12</v>
      </c>
      <c r="F796" s="2" t="s">
        <v>20</v>
      </c>
      <c r="G796" s="2">
        <v>2337.5837116840034</v>
      </c>
      <c r="H796" s="2">
        <v>3116.7782822453378</v>
      </c>
      <c r="I796" s="2">
        <v>0</v>
      </c>
      <c r="J796" s="2">
        <v>3</v>
      </c>
    </row>
    <row r="797" spans="1:10" x14ac:dyDescent="0.25">
      <c r="A797" s="2">
        <v>27</v>
      </c>
      <c r="B797" s="2" t="s">
        <v>11</v>
      </c>
      <c r="C797" s="2">
        <v>21.8</v>
      </c>
      <c r="D797" s="2">
        <v>0</v>
      </c>
      <c r="E797" s="2" t="s">
        <v>9</v>
      </c>
      <c r="F797" s="2" t="s">
        <v>20</v>
      </c>
      <c r="G797" s="2">
        <v>1748.7514067188097</v>
      </c>
      <c r="H797" s="2">
        <v>2057.3545961397767</v>
      </c>
      <c r="I797" s="2">
        <v>1</v>
      </c>
      <c r="J797" s="2">
        <v>2</v>
      </c>
    </row>
    <row r="798" spans="1:10" x14ac:dyDescent="0.25">
      <c r="A798" s="2">
        <v>30</v>
      </c>
      <c r="B798" s="2" t="s">
        <v>11</v>
      </c>
      <c r="C798" s="2">
        <v>44.2</v>
      </c>
      <c r="D798" s="2">
        <v>2</v>
      </c>
      <c r="E798" s="2" t="s">
        <v>12</v>
      </c>
      <c r="F798" s="2" t="s">
        <v>13</v>
      </c>
      <c r="G798" s="2">
        <v>2489.4504886496106</v>
      </c>
      <c r="H798" s="2">
        <v>3319.2673181994805</v>
      </c>
      <c r="I798" s="2">
        <v>0</v>
      </c>
      <c r="J798" s="2">
        <v>3</v>
      </c>
    </row>
    <row r="799" spans="1:10" x14ac:dyDescent="0.25">
      <c r="A799" s="2">
        <v>30</v>
      </c>
      <c r="B799" s="2" t="s">
        <v>8</v>
      </c>
      <c r="C799" s="2">
        <v>25.9</v>
      </c>
      <c r="D799" s="2">
        <v>1</v>
      </c>
      <c r="E799" s="2" t="s">
        <v>12</v>
      </c>
      <c r="F799" s="2" t="s">
        <v>15</v>
      </c>
      <c r="G799" s="2">
        <v>2050.8913231256138</v>
      </c>
      <c r="H799" s="2">
        <v>2412.8133213242522</v>
      </c>
      <c r="I799" s="2">
        <v>0</v>
      </c>
      <c r="J799" s="2">
        <v>0</v>
      </c>
    </row>
    <row r="800" spans="1:10" x14ac:dyDescent="0.25">
      <c r="A800" s="2">
        <v>58</v>
      </c>
      <c r="B800" s="2" t="s">
        <v>8</v>
      </c>
      <c r="C800" s="2">
        <v>33.1</v>
      </c>
      <c r="D800" s="2">
        <v>0</v>
      </c>
      <c r="E800" s="2" t="s">
        <v>12</v>
      </c>
      <c r="F800" s="2" t="s">
        <v>21</v>
      </c>
      <c r="G800" s="2">
        <v>4010.879498426908</v>
      </c>
      <c r="H800" s="2">
        <v>3819.885236597057</v>
      </c>
      <c r="I800" s="2">
        <v>0</v>
      </c>
      <c r="J800" s="2">
        <v>1</v>
      </c>
    </row>
    <row r="801" spans="1:10" x14ac:dyDescent="0.25">
      <c r="A801" s="2">
        <v>33</v>
      </c>
      <c r="B801" s="2" t="s">
        <v>11</v>
      </c>
      <c r="C801" s="2">
        <v>21.3</v>
      </c>
      <c r="D801" s="2">
        <v>0</v>
      </c>
      <c r="E801" s="2" t="s">
        <v>9</v>
      </c>
      <c r="F801" s="2" t="s">
        <v>15</v>
      </c>
      <c r="G801" s="2">
        <v>1711.4185196856738</v>
      </c>
      <c r="H801" s="2">
        <v>2013.4335525713818</v>
      </c>
      <c r="I801" s="2">
        <v>1</v>
      </c>
      <c r="J801" s="2">
        <v>2</v>
      </c>
    </row>
    <row r="802" spans="1:10" x14ac:dyDescent="0.25">
      <c r="A802" s="2">
        <v>42</v>
      </c>
      <c r="B802" s="2" t="s">
        <v>8</v>
      </c>
      <c r="C802" s="2">
        <v>26.2</v>
      </c>
      <c r="D802" s="2">
        <v>1</v>
      </c>
      <c r="E802" s="2" t="s">
        <v>12</v>
      </c>
      <c r="F802" s="2" t="s">
        <v>13</v>
      </c>
      <c r="G802" s="2">
        <v>1977.5373912611312</v>
      </c>
      <c r="H802" s="2">
        <v>2326.5145779542731</v>
      </c>
      <c r="I802" s="2">
        <v>0</v>
      </c>
      <c r="J802" s="2">
        <v>1</v>
      </c>
    </row>
    <row r="803" spans="1:10" x14ac:dyDescent="0.25">
      <c r="A803" s="2">
        <v>64</v>
      </c>
      <c r="B803" s="2" t="s">
        <v>8</v>
      </c>
      <c r="C803" s="2">
        <v>36</v>
      </c>
      <c r="D803" s="2">
        <v>0</v>
      </c>
      <c r="E803" s="2" t="s">
        <v>12</v>
      </c>
      <c r="F803" s="2" t="s">
        <v>13</v>
      </c>
      <c r="G803" s="2">
        <v>4843.3093018663767</v>
      </c>
      <c r="H803" s="2">
        <v>4612.6755255870266</v>
      </c>
      <c r="I803" s="2">
        <v>0</v>
      </c>
      <c r="J803" s="2">
        <v>1</v>
      </c>
    </row>
    <row r="804" spans="1:10" x14ac:dyDescent="0.25">
      <c r="A804" s="2">
        <v>21</v>
      </c>
      <c r="B804" s="2" t="s">
        <v>11</v>
      </c>
      <c r="C804" s="2">
        <v>23.4</v>
      </c>
      <c r="D804" s="2">
        <v>1</v>
      </c>
      <c r="E804" s="2" t="s">
        <v>12</v>
      </c>
      <c r="F804" s="2" t="s">
        <v>21</v>
      </c>
      <c r="G804" s="2">
        <v>1413.541126863593</v>
      </c>
      <c r="H804" s="2">
        <v>1662.9895610159924</v>
      </c>
      <c r="I804" s="2">
        <v>0</v>
      </c>
      <c r="J804" s="2">
        <v>0</v>
      </c>
    </row>
    <row r="805" spans="1:10" x14ac:dyDescent="0.25">
      <c r="A805" s="2">
        <v>18</v>
      </c>
      <c r="B805" s="2" t="s">
        <v>8</v>
      </c>
      <c r="C805" s="2">
        <v>24.5</v>
      </c>
      <c r="D805" s="2">
        <v>0</v>
      </c>
      <c r="E805" s="2" t="s">
        <v>9</v>
      </c>
      <c r="F805" s="2" t="s">
        <v>13</v>
      </c>
      <c r="G805" s="2">
        <v>1294.1261489187441</v>
      </c>
      <c r="H805" s="2">
        <v>1522.5013516691115</v>
      </c>
      <c r="I805" s="2">
        <v>1</v>
      </c>
      <c r="J805" s="2">
        <v>2</v>
      </c>
    </row>
    <row r="806" spans="1:10" x14ac:dyDescent="0.25">
      <c r="A806" s="2">
        <v>23</v>
      </c>
      <c r="B806" s="2" t="s">
        <v>11</v>
      </c>
      <c r="C806" s="2">
        <v>25.6</v>
      </c>
      <c r="D806" s="2">
        <v>0</v>
      </c>
      <c r="E806" s="2" t="s">
        <v>12</v>
      </c>
      <c r="F806" s="2" t="s">
        <v>13</v>
      </c>
      <c r="G806" s="2">
        <v>1758.6114876228007</v>
      </c>
      <c r="H806" s="2">
        <v>2068.9546913209429</v>
      </c>
      <c r="I806" s="2">
        <v>0</v>
      </c>
      <c r="J806" s="2">
        <v>0</v>
      </c>
    </row>
    <row r="807" spans="1:10" x14ac:dyDescent="0.25">
      <c r="A807" s="2">
        <v>45</v>
      </c>
      <c r="B807" s="2" t="s">
        <v>8</v>
      </c>
      <c r="C807" s="2">
        <v>35.799999999999997</v>
      </c>
      <c r="D807" s="2">
        <v>0</v>
      </c>
      <c r="E807" s="2" t="s">
        <v>12</v>
      </c>
      <c r="F807" s="2" t="s">
        <v>20</v>
      </c>
      <c r="G807" s="2">
        <v>4340.7993073973093</v>
      </c>
      <c r="H807" s="2">
        <v>4134.0945784736296</v>
      </c>
      <c r="I807" s="2">
        <v>0</v>
      </c>
      <c r="J807" s="2">
        <v>1</v>
      </c>
    </row>
    <row r="808" spans="1:10" x14ac:dyDescent="0.25">
      <c r="A808" s="2">
        <v>40</v>
      </c>
      <c r="B808" s="2" t="s">
        <v>8</v>
      </c>
      <c r="C808" s="2">
        <v>41.4</v>
      </c>
      <c r="D808" s="2">
        <v>1</v>
      </c>
      <c r="E808" s="2" t="s">
        <v>12</v>
      </c>
      <c r="F808" s="2" t="s">
        <v>20</v>
      </c>
      <c r="G808" s="2">
        <v>5278.074346342697</v>
      </c>
      <c r="H808" s="2">
        <v>5026.737472707332</v>
      </c>
      <c r="I808" s="2">
        <v>0</v>
      </c>
      <c r="J808" s="2">
        <v>1</v>
      </c>
    </row>
    <row r="809" spans="1:10" x14ac:dyDescent="0.25">
      <c r="A809" s="2">
        <v>19</v>
      </c>
      <c r="B809" s="2" t="s">
        <v>8</v>
      </c>
      <c r="C809" s="2">
        <v>24.5</v>
      </c>
      <c r="D809" s="2">
        <v>0</v>
      </c>
      <c r="E809" s="2" t="s">
        <v>12</v>
      </c>
      <c r="F809" s="2" t="s">
        <v>20</v>
      </c>
      <c r="G809" s="2">
        <v>1246.494800114094</v>
      </c>
      <c r="H809" s="2">
        <v>1466.4644707224643</v>
      </c>
      <c r="I809" s="2">
        <v>0</v>
      </c>
      <c r="J809" s="2">
        <v>0</v>
      </c>
    </row>
    <row r="810" spans="1:10" x14ac:dyDescent="0.25">
      <c r="A810" s="2">
        <v>18</v>
      </c>
      <c r="B810" s="2" t="s">
        <v>11</v>
      </c>
      <c r="C810" s="2">
        <v>21.8</v>
      </c>
      <c r="D810" s="2">
        <v>0</v>
      </c>
      <c r="E810" s="2" t="s">
        <v>12</v>
      </c>
      <c r="F810" s="2" t="s">
        <v>13</v>
      </c>
      <c r="G810" s="2">
        <v>2069.0391995291684</v>
      </c>
      <c r="H810" s="2">
        <v>2434.1637641519637</v>
      </c>
      <c r="I810" s="2">
        <v>0</v>
      </c>
      <c r="J810" s="2">
        <v>0</v>
      </c>
    </row>
    <row r="811" spans="1:10" x14ac:dyDescent="0.25">
      <c r="A811" s="2">
        <v>25</v>
      </c>
      <c r="B811" s="2" t="s">
        <v>11</v>
      </c>
      <c r="C811" s="2">
        <v>21.2</v>
      </c>
      <c r="D811" s="2">
        <v>1</v>
      </c>
      <c r="E811" s="2" t="s">
        <v>12</v>
      </c>
      <c r="F811" s="2" t="s">
        <v>15</v>
      </c>
      <c r="G811" s="2">
        <v>2621.0680850860972</v>
      </c>
      <c r="H811" s="2">
        <v>3083.6095118659978</v>
      </c>
      <c r="I811" s="2">
        <v>0</v>
      </c>
      <c r="J811" s="2">
        <v>0</v>
      </c>
    </row>
    <row r="812" spans="1:10" x14ac:dyDescent="0.25">
      <c r="A812" s="2">
        <v>46</v>
      </c>
      <c r="B812" s="2" t="s">
        <v>8</v>
      </c>
      <c r="C812" s="2">
        <v>30.8</v>
      </c>
      <c r="D812" s="2">
        <v>3</v>
      </c>
      <c r="E812" s="2" t="s">
        <v>12</v>
      </c>
      <c r="F812" s="2" t="s">
        <v>21</v>
      </c>
      <c r="G812" s="2">
        <v>2368.7236299329888</v>
      </c>
      <c r="H812" s="2">
        <v>3158.2981732439853</v>
      </c>
      <c r="I812" s="2">
        <v>0</v>
      </c>
      <c r="J812" s="2">
        <v>3</v>
      </c>
    </row>
    <row r="813" spans="1:10" x14ac:dyDescent="0.25">
      <c r="A813" s="2">
        <v>33</v>
      </c>
      <c r="B813" s="2" t="s">
        <v>8</v>
      </c>
      <c r="C813" s="2">
        <v>42.9</v>
      </c>
      <c r="D813" s="2">
        <v>3</v>
      </c>
      <c r="E813" s="2" t="s">
        <v>12</v>
      </c>
      <c r="F813" s="2" t="s">
        <v>20</v>
      </c>
      <c r="G813" s="2">
        <v>2291.7366227995203</v>
      </c>
      <c r="H813" s="2">
        <v>3055.6488303993606</v>
      </c>
      <c r="I813" s="2">
        <v>0</v>
      </c>
      <c r="J813" s="2">
        <v>3</v>
      </c>
    </row>
    <row r="814" spans="1:10" x14ac:dyDescent="0.25">
      <c r="A814" s="2">
        <v>54</v>
      </c>
      <c r="B814" s="2" t="s">
        <v>11</v>
      </c>
      <c r="C814" s="2">
        <v>21</v>
      </c>
      <c r="D814" s="2">
        <v>2</v>
      </c>
      <c r="E814" s="2" t="s">
        <v>12</v>
      </c>
      <c r="F814" s="2" t="s">
        <v>13</v>
      </c>
      <c r="G814" s="2">
        <v>2047.4008059080829</v>
      </c>
      <c r="H814" s="2">
        <v>2729.8677412107772</v>
      </c>
      <c r="I814" s="2">
        <v>0</v>
      </c>
      <c r="J814" s="2">
        <v>3</v>
      </c>
    </row>
    <row r="815" spans="1:10" x14ac:dyDescent="0.25">
      <c r="A815" s="2">
        <v>28</v>
      </c>
      <c r="B815" s="2" t="s">
        <v>11</v>
      </c>
      <c r="C815" s="2">
        <v>23.1</v>
      </c>
      <c r="D815" s="2">
        <v>2</v>
      </c>
      <c r="E815" s="2" t="s">
        <v>12</v>
      </c>
      <c r="F815" s="2" t="s">
        <v>15</v>
      </c>
      <c r="G815" s="2">
        <v>1678.4202517246583</v>
      </c>
      <c r="H815" s="2">
        <v>1974.6120608525398</v>
      </c>
      <c r="I815" s="2">
        <v>0</v>
      </c>
      <c r="J815" s="2">
        <v>0</v>
      </c>
    </row>
    <row r="816" spans="1:10" x14ac:dyDescent="0.25">
      <c r="A816" s="2">
        <v>36</v>
      </c>
      <c r="B816" s="2" t="s">
        <v>11</v>
      </c>
      <c r="C816" s="2">
        <v>34.4</v>
      </c>
      <c r="D816" s="2">
        <v>2</v>
      </c>
      <c r="E816" s="2" t="s">
        <v>12</v>
      </c>
      <c r="F816" s="2" t="s">
        <v>13</v>
      </c>
      <c r="G816" s="2">
        <v>1870.1007234831231</v>
      </c>
      <c r="H816" s="2">
        <v>2493.4676313108307</v>
      </c>
      <c r="I816" s="2">
        <v>0</v>
      </c>
      <c r="J816" s="2">
        <v>3</v>
      </c>
    </row>
    <row r="817" spans="1:10" x14ac:dyDescent="0.25">
      <c r="A817" s="2">
        <v>20</v>
      </c>
      <c r="B817" s="2" t="s">
        <v>8</v>
      </c>
      <c r="C817" s="2">
        <v>21.9</v>
      </c>
      <c r="D817" s="2">
        <v>0</v>
      </c>
      <c r="E817" s="2" t="s">
        <v>12</v>
      </c>
      <c r="F817" s="2" t="s">
        <v>13</v>
      </c>
      <c r="G817" s="2">
        <v>2194.4546407386038</v>
      </c>
      <c r="H817" s="2">
        <v>2581.711342045417</v>
      </c>
      <c r="I817" s="2">
        <v>0</v>
      </c>
      <c r="J817" s="2">
        <v>0</v>
      </c>
    </row>
    <row r="818" spans="1:10" x14ac:dyDescent="0.25">
      <c r="A818" s="2">
        <v>24</v>
      </c>
      <c r="B818" s="2" t="s">
        <v>8</v>
      </c>
      <c r="C818" s="2">
        <v>20.6</v>
      </c>
      <c r="D818" s="2">
        <v>0</v>
      </c>
      <c r="E818" s="2" t="s">
        <v>12</v>
      </c>
      <c r="F818" s="2" t="s">
        <v>20</v>
      </c>
      <c r="G818" s="2">
        <v>1986.8006552361007</v>
      </c>
      <c r="H818" s="2">
        <v>2337.4125355718843</v>
      </c>
      <c r="I818" s="2">
        <v>0</v>
      </c>
      <c r="J818" s="2">
        <v>0</v>
      </c>
    </row>
    <row r="819" spans="1:10" x14ac:dyDescent="0.25">
      <c r="A819" s="2">
        <v>23</v>
      </c>
      <c r="B819" s="2" t="s">
        <v>11</v>
      </c>
      <c r="C819" s="2">
        <v>37.1</v>
      </c>
      <c r="D819" s="2">
        <v>3</v>
      </c>
      <c r="E819" s="2" t="s">
        <v>12</v>
      </c>
      <c r="F819" s="2" t="s">
        <v>21</v>
      </c>
      <c r="G819" s="2">
        <v>2096.6121236747881</v>
      </c>
      <c r="H819" s="2">
        <v>2795.482831566384</v>
      </c>
      <c r="I819" s="2">
        <v>0</v>
      </c>
      <c r="J819" s="2">
        <v>3</v>
      </c>
    </row>
    <row r="820" spans="1:10" x14ac:dyDescent="0.25">
      <c r="A820" s="2">
        <v>47</v>
      </c>
      <c r="B820" s="2" t="s">
        <v>8</v>
      </c>
      <c r="C820" s="2">
        <v>26.1</v>
      </c>
      <c r="D820" s="2">
        <v>1</v>
      </c>
      <c r="E820" s="2" t="s">
        <v>9</v>
      </c>
      <c r="F820" s="2" t="s">
        <v>15</v>
      </c>
      <c r="G820" s="2">
        <v>3916.536489932088</v>
      </c>
      <c r="H820" s="2">
        <v>3730.0347523162759</v>
      </c>
      <c r="I820" s="2">
        <v>1</v>
      </c>
      <c r="J820" s="2">
        <v>2</v>
      </c>
    </row>
    <row r="821" spans="1:10" x14ac:dyDescent="0.25">
      <c r="A821" s="2">
        <v>33</v>
      </c>
      <c r="B821" s="2" t="s">
        <v>8</v>
      </c>
      <c r="C821" s="2">
        <v>23.7</v>
      </c>
      <c r="D821" s="2">
        <v>0</v>
      </c>
      <c r="E821" s="2" t="s">
        <v>9</v>
      </c>
      <c r="F821" s="2" t="s">
        <v>20</v>
      </c>
      <c r="G821" s="2">
        <v>1590.5343834914638</v>
      </c>
      <c r="H821" s="2">
        <v>1871.2169217546643</v>
      </c>
      <c r="I821" s="2">
        <v>1</v>
      </c>
      <c r="J821" s="2">
        <v>2</v>
      </c>
    </row>
    <row r="822" spans="1:10" x14ac:dyDescent="0.25">
      <c r="A822" s="2">
        <v>45</v>
      </c>
      <c r="B822" s="2" t="s">
        <v>11</v>
      </c>
      <c r="C822" s="2">
        <v>33.700000000000003</v>
      </c>
      <c r="D822" s="2">
        <v>1</v>
      </c>
      <c r="E822" s="2" t="s">
        <v>12</v>
      </c>
      <c r="F822" s="2" t="s">
        <v>21</v>
      </c>
      <c r="G822" s="2">
        <v>3696.6833524110552</v>
      </c>
      <c r="H822" s="2">
        <v>3520.6508118200541</v>
      </c>
      <c r="I822" s="2">
        <v>0</v>
      </c>
      <c r="J822" s="2">
        <v>1</v>
      </c>
    </row>
    <row r="823" spans="1:10" x14ac:dyDescent="0.25">
      <c r="A823" s="2">
        <v>26</v>
      </c>
      <c r="B823" s="2" t="s">
        <v>11</v>
      </c>
      <c r="C823" s="2">
        <v>25.4</v>
      </c>
      <c r="D823" s="2">
        <v>0</v>
      </c>
      <c r="E823" s="2" t="s">
        <v>12</v>
      </c>
      <c r="F823" s="2" t="s">
        <v>20</v>
      </c>
      <c r="G823" s="2">
        <v>2057.4544826276929</v>
      </c>
      <c r="H823" s="2">
        <v>2420.5346854443455</v>
      </c>
      <c r="I823" s="2">
        <v>0</v>
      </c>
      <c r="J823" s="2">
        <v>0</v>
      </c>
    </row>
    <row r="824" spans="1:10" x14ac:dyDescent="0.25">
      <c r="A824" s="2">
        <v>18</v>
      </c>
      <c r="B824" s="2" t="s">
        <v>8</v>
      </c>
      <c r="C824" s="2">
        <v>25.2</v>
      </c>
      <c r="D824" s="2">
        <v>0</v>
      </c>
      <c r="E824" s="2" t="s">
        <v>12</v>
      </c>
      <c r="F824" s="2" t="s">
        <v>13</v>
      </c>
      <c r="G824" s="2">
        <v>1681.7821832741047</v>
      </c>
      <c r="H824" s="2">
        <v>1978.5672744401238</v>
      </c>
      <c r="I824" s="2">
        <v>0</v>
      </c>
      <c r="J824" s="2">
        <v>0</v>
      </c>
    </row>
    <row r="825" spans="1:10" x14ac:dyDescent="0.25">
      <c r="A825" s="2">
        <v>44</v>
      </c>
      <c r="B825" s="2" t="s">
        <v>8</v>
      </c>
      <c r="C825" s="2">
        <v>29.8</v>
      </c>
      <c r="D825" s="2">
        <v>2</v>
      </c>
      <c r="E825" s="2" t="s">
        <v>12</v>
      </c>
      <c r="F825" s="2" t="s">
        <v>13</v>
      </c>
      <c r="G825" s="2">
        <v>1646.806905566104</v>
      </c>
      <c r="H825" s="2">
        <v>2195.7425407548053</v>
      </c>
      <c r="I825" s="2">
        <v>0</v>
      </c>
      <c r="J825" s="2">
        <v>3</v>
      </c>
    </row>
    <row r="826" spans="1:10" x14ac:dyDescent="0.25">
      <c r="A826" s="2">
        <v>60</v>
      </c>
      <c r="B826" s="2" t="s">
        <v>11</v>
      </c>
      <c r="C826" s="2">
        <v>24.3</v>
      </c>
      <c r="D826" s="2">
        <v>0</v>
      </c>
      <c r="E826" s="2" t="s">
        <v>12</v>
      </c>
      <c r="F826" s="2" t="s">
        <v>20</v>
      </c>
      <c r="G826" s="2">
        <v>3920.3701513399542</v>
      </c>
      <c r="H826" s="2">
        <v>3733.6858584190049</v>
      </c>
      <c r="I826" s="2">
        <v>0</v>
      </c>
      <c r="J826" s="2">
        <v>1</v>
      </c>
    </row>
    <row r="827" spans="1:10" x14ac:dyDescent="0.25">
      <c r="A827" s="2">
        <v>64</v>
      </c>
      <c r="B827" s="2" t="s">
        <v>8</v>
      </c>
      <c r="C827" s="2">
        <v>31.8</v>
      </c>
      <c r="D827" s="2">
        <v>2</v>
      </c>
      <c r="E827" s="2" t="s">
        <v>12</v>
      </c>
      <c r="F827" s="2" t="s">
        <v>15</v>
      </c>
      <c r="G827" s="2">
        <v>4034.6292686084598</v>
      </c>
      <c r="H827" s="2">
        <v>3842.5040653413917</v>
      </c>
      <c r="I827" s="2">
        <v>0</v>
      </c>
      <c r="J827" s="2">
        <v>1</v>
      </c>
    </row>
    <row r="828" spans="1:10" x14ac:dyDescent="0.25">
      <c r="A828" s="2">
        <v>56</v>
      </c>
      <c r="B828" s="2" t="s">
        <v>11</v>
      </c>
      <c r="C828" s="2">
        <v>31.8</v>
      </c>
      <c r="D828" s="2">
        <v>2</v>
      </c>
      <c r="E828" s="2" t="s">
        <v>9</v>
      </c>
      <c r="F828" s="2" t="s">
        <v>13</v>
      </c>
      <c r="G828" s="2">
        <v>1575.9378594340019</v>
      </c>
      <c r="H828" s="2">
        <v>2101.250479245336</v>
      </c>
      <c r="I828" s="2">
        <v>1</v>
      </c>
      <c r="J828" s="2">
        <v>2</v>
      </c>
    </row>
    <row r="829" spans="1:10" x14ac:dyDescent="0.25">
      <c r="A829" s="2">
        <v>36</v>
      </c>
      <c r="B829" s="2" t="s">
        <v>11</v>
      </c>
      <c r="C829" s="2">
        <v>22.6</v>
      </c>
      <c r="D829" s="2">
        <v>1</v>
      </c>
      <c r="E829" s="2" t="s">
        <v>9</v>
      </c>
      <c r="F829" s="2" t="s">
        <v>15</v>
      </c>
      <c r="G829" s="2">
        <v>1631.0800637001457</v>
      </c>
      <c r="H829" s="2">
        <v>1918.917722000172</v>
      </c>
      <c r="I829" s="2">
        <v>1</v>
      </c>
      <c r="J829" s="2">
        <v>2</v>
      </c>
    </row>
    <row r="830" spans="1:10" x14ac:dyDescent="0.25">
      <c r="A830" s="2">
        <v>41</v>
      </c>
      <c r="B830" s="2" t="s">
        <v>11</v>
      </c>
      <c r="C830" s="2">
        <v>30.8</v>
      </c>
      <c r="D830" s="2">
        <v>3</v>
      </c>
      <c r="E830" s="2" t="s">
        <v>9</v>
      </c>
      <c r="F830" s="2" t="s">
        <v>15</v>
      </c>
      <c r="G830" s="2">
        <v>2273.0450592095217</v>
      </c>
      <c r="H830" s="2">
        <v>3030.7267456126956</v>
      </c>
      <c r="I830" s="2">
        <v>1</v>
      </c>
      <c r="J830" s="2">
        <v>2</v>
      </c>
    </row>
    <row r="831" spans="1:10" x14ac:dyDescent="0.25">
      <c r="A831" s="2">
        <v>39</v>
      </c>
      <c r="B831" s="2" t="s">
        <v>11</v>
      </c>
      <c r="C831" s="2">
        <v>22.5</v>
      </c>
      <c r="D831" s="2">
        <v>1</v>
      </c>
      <c r="E831" s="2" t="s">
        <v>12</v>
      </c>
      <c r="F831" s="2" t="s">
        <v>20</v>
      </c>
      <c r="G831" s="2">
        <v>1604.2335129957773</v>
      </c>
      <c r="H831" s="2">
        <v>1887.3335447009151</v>
      </c>
      <c r="I831" s="2">
        <v>0</v>
      </c>
      <c r="J831" s="2">
        <v>0</v>
      </c>
    </row>
    <row r="832" spans="1:10" x14ac:dyDescent="0.25">
      <c r="A832" s="2">
        <v>63</v>
      </c>
      <c r="B832" s="2" t="s">
        <v>11</v>
      </c>
      <c r="C832" s="2">
        <v>33.1</v>
      </c>
      <c r="D832" s="2">
        <v>0</v>
      </c>
      <c r="E832" s="2" t="s">
        <v>12</v>
      </c>
      <c r="F832" s="2" t="s">
        <v>21</v>
      </c>
      <c r="G832" s="2">
        <v>4379.9955779969878</v>
      </c>
      <c r="H832" s="2">
        <v>4171.4243599971323</v>
      </c>
      <c r="I832" s="2">
        <v>0</v>
      </c>
      <c r="J832" s="2">
        <v>1</v>
      </c>
    </row>
    <row r="833" spans="1:10" x14ac:dyDescent="0.25">
      <c r="A833" s="2">
        <v>36</v>
      </c>
      <c r="B833" s="2" t="s">
        <v>8</v>
      </c>
      <c r="C833" s="2">
        <v>23.8</v>
      </c>
      <c r="D833" s="2">
        <v>0</v>
      </c>
      <c r="E833" s="2" t="s">
        <v>12</v>
      </c>
      <c r="F833" s="2" t="s">
        <v>20</v>
      </c>
      <c r="G833" s="2">
        <v>2062.3277691084968</v>
      </c>
      <c r="H833" s="2">
        <v>2426.267963657056</v>
      </c>
      <c r="I833" s="2">
        <v>0</v>
      </c>
      <c r="J833" s="2">
        <v>0</v>
      </c>
    </row>
    <row r="834" spans="1:10" x14ac:dyDescent="0.25">
      <c r="A834" s="2">
        <v>28</v>
      </c>
      <c r="B834" s="2" t="s">
        <v>8</v>
      </c>
      <c r="C834" s="2">
        <v>23.8</v>
      </c>
      <c r="D834" s="2">
        <v>2</v>
      </c>
      <c r="E834" s="2" t="s">
        <v>12</v>
      </c>
      <c r="F834" s="2" t="s">
        <v>20</v>
      </c>
      <c r="G834" s="2">
        <v>2042.1523197155825</v>
      </c>
      <c r="H834" s="2">
        <v>2402.5321408418627</v>
      </c>
      <c r="I834" s="2">
        <v>0</v>
      </c>
      <c r="J834" s="2">
        <v>0</v>
      </c>
    </row>
    <row r="835" spans="1:10" x14ac:dyDescent="0.25">
      <c r="A835" s="2">
        <v>58</v>
      </c>
      <c r="B835" s="2" t="s">
        <v>11</v>
      </c>
      <c r="C835" s="2">
        <v>34.4</v>
      </c>
      <c r="D835" s="2">
        <v>0</v>
      </c>
      <c r="E835" s="2" t="s">
        <v>12</v>
      </c>
      <c r="F835" s="2" t="s">
        <v>20</v>
      </c>
      <c r="G835" s="2">
        <v>5418.5174088057684</v>
      </c>
      <c r="H835" s="2">
        <v>5160.4927702912091</v>
      </c>
      <c r="I835" s="2">
        <v>0</v>
      </c>
      <c r="J835" s="2">
        <v>1</v>
      </c>
    </row>
    <row r="836" spans="1:10" x14ac:dyDescent="0.25">
      <c r="A836" s="2">
        <v>36</v>
      </c>
      <c r="B836" s="2" t="s">
        <v>11</v>
      </c>
      <c r="C836" s="2">
        <v>20.6</v>
      </c>
      <c r="D836" s="2">
        <v>1</v>
      </c>
      <c r="E836" s="2" t="s">
        <v>12</v>
      </c>
      <c r="F836" s="2" t="s">
        <v>20</v>
      </c>
      <c r="G836" s="2">
        <v>2187.8637019245534</v>
      </c>
      <c r="H836" s="2">
        <v>2573.9572963818282</v>
      </c>
      <c r="I836" s="2">
        <v>0</v>
      </c>
      <c r="J836" s="2">
        <v>0</v>
      </c>
    </row>
    <row r="837" spans="1:10" x14ac:dyDescent="0.25">
      <c r="A837" s="2">
        <v>42</v>
      </c>
      <c r="B837" s="2" t="s">
        <v>11</v>
      </c>
      <c r="C837" s="2">
        <v>36</v>
      </c>
      <c r="D837" s="2">
        <v>2</v>
      </c>
      <c r="E837" s="2" t="s">
        <v>12</v>
      </c>
      <c r="F837" s="2" t="s">
        <v>13</v>
      </c>
      <c r="G837" s="2">
        <v>2013.858034757634</v>
      </c>
      <c r="H837" s="2">
        <v>2685.1440463435119</v>
      </c>
      <c r="I837" s="2">
        <v>0</v>
      </c>
      <c r="J837" s="2">
        <v>3</v>
      </c>
    </row>
    <row r="838" spans="1:10" x14ac:dyDescent="0.25">
      <c r="A838" s="2">
        <v>36</v>
      </c>
      <c r="B838" s="2" t="s">
        <v>11</v>
      </c>
      <c r="C838" s="2">
        <v>20.7</v>
      </c>
      <c r="D838" s="2">
        <v>0</v>
      </c>
      <c r="E838" s="2" t="s">
        <v>12</v>
      </c>
      <c r="F838" s="2" t="s">
        <v>21</v>
      </c>
      <c r="G838" s="2">
        <v>1830.9605369283327</v>
      </c>
      <c r="H838" s="2">
        <v>2154.0712199156865</v>
      </c>
      <c r="I838" s="2">
        <v>0</v>
      </c>
      <c r="J838" s="2">
        <v>0</v>
      </c>
    </row>
    <row r="839" spans="1:10" x14ac:dyDescent="0.25">
      <c r="A839" s="2">
        <v>56</v>
      </c>
      <c r="B839" s="2" t="s">
        <v>8</v>
      </c>
      <c r="C839" s="2">
        <v>28.3</v>
      </c>
      <c r="D839" s="2">
        <v>0</v>
      </c>
      <c r="E839" s="2" t="s">
        <v>12</v>
      </c>
      <c r="F839" s="2" t="s">
        <v>15</v>
      </c>
      <c r="G839" s="2">
        <v>3539.9292980009213</v>
      </c>
      <c r="H839" s="2">
        <v>3371.3612361913556</v>
      </c>
      <c r="I839" s="2">
        <v>0</v>
      </c>
      <c r="J839" s="2">
        <v>1</v>
      </c>
    </row>
    <row r="840" spans="1:10" x14ac:dyDescent="0.25">
      <c r="A840" s="2">
        <v>35</v>
      </c>
      <c r="B840" s="2" t="s">
        <v>8</v>
      </c>
      <c r="C840" s="2">
        <v>23.5</v>
      </c>
      <c r="D840" s="2">
        <v>2</v>
      </c>
      <c r="E840" s="2" t="s">
        <v>12</v>
      </c>
      <c r="F840" s="2" t="s">
        <v>15</v>
      </c>
      <c r="G840" s="2">
        <v>1698.5684468902086</v>
      </c>
      <c r="H840" s="2">
        <v>1998.3158198708345</v>
      </c>
      <c r="I840" s="2">
        <v>0</v>
      </c>
      <c r="J840" s="2">
        <v>0</v>
      </c>
    </row>
    <row r="841" spans="1:10" x14ac:dyDescent="0.25">
      <c r="A841" s="2">
        <v>59</v>
      </c>
      <c r="B841" s="2" t="s">
        <v>8</v>
      </c>
      <c r="C841" s="2">
        <v>31.4</v>
      </c>
      <c r="D841" s="2">
        <v>0</v>
      </c>
      <c r="E841" s="2" t="s">
        <v>12</v>
      </c>
      <c r="F841" s="2" t="s">
        <v>20</v>
      </c>
      <c r="G841" s="2">
        <v>4036.3519818248192</v>
      </c>
      <c r="H841" s="2">
        <v>3844.1447445950671</v>
      </c>
      <c r="I841" s="2">
        <v>0</v>
      </c>
      <c r="J841" s="2">
        <v>1</v>
      </c>
    </row>
    <row r="842" spans="1:10" x14ac:dyDescent="0.25">
      <c r="A842" s="2">
        <v>21</v>
      </c>
      <c r="B842" s="2" t="s">
        <v>11</v>
      </c>
      <c r="C842" s="2">
        <v>23.8</v>
      </c>
      <c r="D842" s="2">
        <v>0</v>
      </c>
      <c r="E842" s="2" t="s">
        <v>12</v>
      </c>
      <c r="F842" s="2" t="s">
        <v>21</v>
      </c>
      <c r="G842" s="2">
        <v>2038.6328303629705</v>
      </c>
      <c r="H842" s="2">
        <v>2398.3915651329071</v>
      </c>
      <c r="I842" s="2">
        <v>0</v>
      </c>
      <c r="J842" s="2">
        <v>0</v>
      </c>
    </row>
    <row r="843" spans="1:10" x14ac:dyDescent="0.25">
      <c r="A843" s="2">
        <v>59</v>
      </c>
      <c r="B843" s="2" t="s">
        <v>11</v>
      </c>
      <c r="C843" s="2">
        <v>24.7</v>
      </c>
      <c r="D843" s="2">
        <v>0</v>
      </c>
      <c r="E843" s="2" t="s">
        <v>12</v>
      </c>
      <c r="F843" s="2" t="s">
        <v>15</v>
      </c>
      <c r="G843" s="2">
        <v>4998.1734910599653</v>
      </c>
      <c r="H843" s="2">
        <v>4760.1652295809208</v>
      </c>
      <c r="I843" s="2">
        <v>0</v>
      </c>
      <c r="J843" s="2">
        <v>1</v>
      </c>
    </row>
    <row r="844" spans="1:10" x14ac:dyDescent="0.25">
      <c r="A844" s="2">
        <v>23</v>
      </c>
      <c r="B844" s="2" t="s">
        <v>8</v>
      </c>
      <c r="C844" s="2">
        <v>32.799999999999997</v>
      </c>
      <c r="D844" s="2">
        <v>2</v>
      </c>
      <c r="E844" s="2" t="s">
        <v>9</v>
      </c>
      <c r="F844" s="2" t="s">
        <v>13</v>
      </c>
      <c r="G844" s="2">
        <v>1711.4599844002623</v>
      </c>
      <c r="H844" s="2">
        <v>2281.9466458670163</v>
      </c>
      <c r="I844" s="2">
        <v>1</v>
      </c>
      <c r="J844" s="2">
        <v>2</v>
      </c>
    </row>
    <row r="845" spans="1:10" x14ac:dyDescent="0.25">
      <c r="A845" s="2">
        <v>57</v>
      </c>
      <c r="B845" s="2" t="s">
        <v>8</v>
      </c>
      <c r="C845" s="2">
        <v>29.8</v>
      </c>
      <c r="D845" s="2">
        <v>0</v>
      </c>
      <c r="E845" s="2" t="s">
        <v>9</v>
      </c>
      <c r="F845" s="2" t="s">
        <v>13</v>
      </c>
      <c r="G845" s="2">
        <v>4497.7822645139513</v>
      </c>
      <c r="H845" s="2">
        <v>4283.6021566799554</v>
      </c>
      <c r="I845" s="2">
        <v>1</v>
      </c>
      <c r="J845" s="2">
        <v>2</v>
      </c>
    </row>
    <row r="846" spans="1:10" x14ac:dyDescent="0.25">
      <c r="A846" s="2">
        <v>53</v>
      </c>
      <c r="B846" s="2" t="s">
        <v>11</v>
      </c>
      <c r="C846" s="2">
        <v>30.5</v>
      </c>
      <c r="D846" s="2">
        <v>0</v>
      </c>
      <c r="E846" s="2" t="s">
        <v>12</v>
      </c>
      <c r="F846" s="2" t="s">
        <v>15</v>
      </c>
      <c r="G846" s="2">
        <v>4567.0162453083722</v>
      </c>
      <c r="H846" s="2">
        <v>4349.5392812460695</v>
      </c>
      <c r="I846" s="2">
        <v>0</v>
      </c>
      <c r="J846" s="2">
        <v>1</v>
      </c>
    </row>
    <row r="847" spans="1:10" x14ac:dyDescent="0.25">
      <c r="A847" s="2">
        <v>60</v>
      </c>
      <c r="B847" s="2" t="s">
        <v>8</v>
      </c>
      <c r="C847" s="2">
        <v>32.5</v>
      </c>
      <c r="D847" s="2">
        <v>0</v>
      </c>
      <c r="E847" s="2" t="s">
        <v>9</v>
      </c>
      <c r="F847" s="2" t="s">
        <v>13</v>
      </c>
      <c r="G847" s="2">
        <v>3938.2216220428509</v>
      </c>
      <c r="H847" s="2">
        <v>3750.6872590884309</v>
      </c>
      <c r="I847" s="2">
        <v>1</v>
      </c>
      <c r="J847" s="2">
        <v>2</v>
      </c>
    </row>
    <row r="848" spans="1:10" x14ac:dyDescent="0.25">
      <c r="A848" s="2">
        <v>51</v>
      </c>
      <c r="B848" s="2" t="s">
        <v>8</v>
      </c>
      <c r="C848" s="2">
        <v>34.200000000000003</v>
      </c>
      <c r="D848" s="2">
        <v>1</v>
      </c>
      <c r="E848" s="2" t="s">
        <v>12</v>
      </c>
      <c r="F848" s="2" t="s">
        <v>21</v>
      </c>
      <c r="G848" s="2">
        <v>5811.9153699357894</v>
      </c>
      <c r="H848" s="2">
        <v>5535.1574951769435</v>
      </c>
      <c r="I848" s="2">
        <v>0</v>
      </c>
      <c r="J848" s="2">
        <v>1</v>
      </c>
    </row>
    <row r="849" spans="1:10" x14ac:dyDescent="0.25">
      <c r="A849" s="2">
        <v>23</v>
      </c>
      <c r="B849" s="2" t="s">
        <v>11</v>
      </c>
      <c r="C849" s="2">
        <v>22.4</v>
      </c>
      <c r="D849" s="2">
        <v>1</v>
      </c>
      <c r="E849" s="2" t="s">
        <v>12</v>
      </c>
      <c r="F849" s="2" t="s">
        <v>13</v>
      </c>
      <c r="G849" s="2">
        <v>1923.7927542512634</v>
      </c>
      <c r="H849" s="2">
        <v>2263.2855932367811</v>
      </c>
      <c r="I849" s="2">
        <v>0</v>
      </c>
      <c r="J849" s="2">
        <v>0</v>
      </c>
    </row>
    <row r="850" spans="1:10" x14ac:dyDescent="0.25">
      <c r="A850" s="2">
        <v>27</v>
      </c>
      <c r="B850" s="2" t="s">
        <v>8</v>
      </c>
      <c r="C850" s="2">
        <v>22</v>
      </c>
      <c r="D850" s="2">
        <v>0</v>
      </c>
      <c r="E850" s="2" t="s">
        <v>12</v>
      </c>
      <c r="F850" s="2" t="s">
        <v>21</v>
      </c>
      <c r="G850" s="2">
        <v>1424.1583761179936</v>
      </c>
      <c r="H850" s="2">
        <v>1675.4804424917581</v>
      </c>
      <c r="I850" s="2">
        <v>0</v>
      </c>
      <c r="J850" s="2">
        <v>0</v>
      </c>
    </row>
    <row r="851" spans="1:10" x14ac:dyDescent="0.25">
      <c r="A851" s="2">
        <v>55</v>
      </c>
      <c r="B851" s="2" t="s">
        <v>11</v>
      </c>
      <c r="C851" s="2">
        <v>32.799999999999997</v>
      </c>
      <c r="D851" s="2">
        <v>0</v>
      </c>
      <c r="E851" s="2" t="s">
        <v>12</v>
      </c>
      <c r="F851" s="2" t="s">
        <v>20</v>
      </c>
      <c r="G851" s="2">
        <v>4549.3442811583909</v>
      </c>
      <c r="H851" s="2">
        <v>4332.7088391984689</v>
      </c>
      <c r="I851" s="2">
        <v>0</v>
      </c>
      <c r="J851" s="2">
        <v>1</v>
      </c>
    </row>
    <row r="852" spans="1:10" x14ac:dyDescent="0.25">
      <c r="A852" s="2">
        <v>37</v>
      </c>
      <c r="B852" s="2" t="s">
        <v>8</v>
      </c>
      <c r="C852" s="2">
        <v>25.6</v>
      </c>
      <c r="D852" s="2">
        <v>0</v>
      </c>
      <c r="E852" s="2" t="s">
        <v>9</v>
      </c>
      <c r="F852" s="2" t="s">
        <v>15</v>
      </c>
      <c r="G852" s="2">
        <v>1514.7276156504374</v>
      </c>
      <c r="H852" s="2">
        <v>1782.0324890005154</v>
      </c>
      <c r="I852" s="2">
        <v>1</v>
      </c>
      <c r="J852" s="2">
        <v>2</v>
      </c>
    </row>
    <row r="853" spans="1:10" x14ac:dyDescent="0.25">
      <c r="A853" s="2">
        <v>61</v>
      </c>
      <c r="B853" s="2" t="s">
        <v>11</v>
      </c>
      <c r="C853" s="2">
        <v>32.299999999999997</v>
      </c>
      <c r="D853" s="2">
        <v>2</v>
      </c>
      <c r="E853" s="2" t="s">
        <v>12</v>
      </c>
      <c r="F853" s="2" t="s">
        <v>20</v>
      </c>
      <c r="G853" s="2">
        <v>5346.5226853580098</v>
      </c>
      <c r="H853" s="2">
        <v>5091.9263670076298</v>
      </c>
      <c r="I853" s="2">
        <v>0</v>
      </c>
      <c r="J853" s="2">
        <v>1</v>
      </c>
    </row>
    <row r="854" spans="1:10" x14ac:dyDescent="0.25">
      <c r="A854" s="2">
        <v>46</v>
      </c>
      <c r="B854" s="2" t="s">
        <v>8</v>
      </c>
      <c r="C854" s="2">
        <v>35.5</v>
      </c>
      <c r="D854" s="2">
        <v>0</v>
      </c>
      <c r="E854" s="2" t="s">
        <v>9</v>
      </c>
      <c r="F854" s="2" t="s">
        <v>15</v>
      </c>
      <c r="G854" s="2">
        <v>5053.6322979121223</v>
      </c>
      <c r="H854" s="2">
        <v>4812.9831408686896</v>
      </c>
      <c r="I854" s="2">
        <v>1</v>
      </c>
      <c r="J854" s="2">
        <v>2</v>
      </c>
    </row>
    <row r="855" spans="1:10" x14ac:dyDescent="0.25">
      <c r="A855" s="2">
        <v>53</v>
      </c>
      <c r="B855" s="2" t="s">
        <v>8</v>
      </c>
      <c r="C855" s="2">
        <v>23.8</v>
      </c>
      <c r="D855" s="2">
        <v>2</v>
      </c>
      <c r="E855" s="2" t="s">
        <v>12</v>
      </c>
      <c r="F855" s="2" t="s">
        <v>15</v>
      </c>
      <c r="G855" s="2">
        <v>1508.0794872593826</v>
      </c>
      <c r="H855" s="2">
        <v>2010.7726496791768</v>
      </c>
      <c r="I855" s="2">
        <v>0</v>
      </c>
      <c r="J855" s="2">
        <v>3</v>
      </c>
    </row>
    <row r="856" spans="1:10" x14ac:dyDescent="0.25">
      <c r="A856" s="2">
        <v>49</v>
      </c>
      <c r="B856" s="2" t="s">
        <v>8</v>
      </c>
      <c r="C856" s="2">
        <v>23.8</v>
      </c>
      <c r="D856" s="2">
        <v>3</v>
      </c>
      <c r="E856" s="2" t="s">
        <v>9</v>
      </c>
      <c r="F856" s="2" t="s">
        <v>15</v>
      </c>
      <c r="G856" s="2">
        <v>1842.3743203358079</v>
      </c>
      <c r="H856" s="2">
        <v>2456.4990937810771</v>
      </c>
      <c r="I856" s="2">
        <v>1</v>
      </c>
      <c r="J856" s="2">
        <v>2</v>
      </c>
    </row>
    <row r="857" spans="1:10" x14ac:dyDescent="0.25">
      <c r="A857" s="2">
        <v>20</v>
      </c>
      <c r="B857" s="2" t="s">
        <v>8</v>
      </c>
      <c r="C857" s="2">
        <v>21.1</v>
      </c>
      <c r="D857" s="2">
        <v>0</v>
      </c>
      <c r="E857" s="2" t="s">
        <v>12</v>
      </c>
      <c r="F857" s="2" t="s">
        <v>21</v>
      </c>
      <c r="G857" s="2">
        <v>1369.3747432297378</v>
      </c>
      <c r="H857" s="2">
        <v>1611.0291096820451</v>
      </c>
      <c r="I857" s="2">
        <v>0</v>
      </c>
      <c r="J857" s="2">
        <v>0</v>
      </c>
    </row>
    <row r="858" spans="1:10" x14ac:dyDescent="0.25">
      <c r="A858" s="2">
        <v>48</v>
      </c>
      <c r="B858" s="2" t="s">
        <v>8</v>
      </c>
      <c r="C858" s="2">
        <v>33.1</v>
      </c>
      <c r="D858" s="2">
        <v>0</v>
      </c>
      <c r="E858" s="2" t="s">
        <v>9</v>
      </c>
      <c r="F858" s="2" t="s">
        <v>13</v>
      </c>
      <c r="G858" s="2">
        <v>3690.4844187887193</v>
      </c>
      <c r="H858" s="2">
        <v>3514.7470655130678</v>
      </c>
      <c r="I858" s="2">
        <v>1</v>
      </c>
      <c r="J858" s="2">
        <v>2</v>
      </c>
    </row>
    <row r="859" spans="1:10" x14ac:dyDescent="0.25">
      <c r="A859" s="2">
        <v>25</v>
      </c>
      <c r="B859" s="2" t="s">
        <v>11</v>
      </c>
      <c r="C859" s="2">
        <v>24.2</v>
      </c>
      <c r="D859" s="2">
        <v>0</v>
      </c>
      <c r="E859" s="2" t="s">
        <v>9</v>
      </c>
      <c r="F859" s="2" t="s">
        <v>20</v>
      </c>
      <c r="G859" s="2">
        <v>1596.8853306185931</v>
      </c>
      <c r="H859" s="2">
        <v>1878.6886242571691</v>
      </c>
      <c r="I859" s="2">
        <v>1</v>
      </c>
      <c r="J859" s="2">
        <v>2</v>
      </c>
    </row>
    <row r="860" spans="1:10" x14ac:dyDescent="0.25">
      <c r="A860" s="2">
        <v>25</v>
      </c>
      <c r="B860" s="2" t="s">
        <v>8</v>
      </c>
      <c r="C860" s="2">
        <v>22.3</v>
      </c>
      <c r="D860" s="2">
        <v>1</v>
      </c>
      <c r="E860" s="2" t="s">
        <v>12</v>
      </c>
      <c r="F860" s="2" t="s">
        <v>13</v>
      </c>
      <c r="G860" s="2">
        <v>1440.5201310692673</v>
      </c>
      <c r="H860" s="2">
        <v>1694.7295659638446</v>
      </c>
      <c r="I860" s="2">
        <v>0</v>
      </c>
      <c r="J860" s="2">
        <v>0</v>
      </c>
    </row>
    <row r="861" spans="1:10" x14ac:dyDescent="0.25">
      <c r="A861" s="2">
        <v>57</v>
      </c>
      <c r="B861" s="2" t="s">
        <v>11</v>
      </c>
      <c r="C861" s="2">
        <v>28.1</v>
      </c>
      <c r="D861" s="2">
        <v>0</v>
      </c>
      <c r="E861" s="2" t="s">
        <v>12</v>
      </c>
      <c r="F861" s="2" t="s">
        <v>21</v>
      </c>
      <c r="G861" s="2">
        <v>5129.1363047341283</v>
      </c>
      <c r="H861" s="2">
        <v>4884.8917187944098</v>
      </c>
      <c r="I861" s="2">
        <v>0</v>
      </c>
      <c r="J861" s="2">
        <v>1</v>
      </c>
    </row>
    <row r="862" spans="1:10" x14ac:dyDescent="0.25">
      <c r="A862" s="2">
        <v>37</v>
      </c>
      <c r="B862" s="2" t="s">
        <v>8</v>
      </c>
      <c r="C862" s="2">
        <v>47.6</v>
      </c>
      <c r="D862" s="2">
        <v>2</v>
      </c>
      <c r="E862" s="2" t="s">
        <v>9</v>
      </c>
      <c r="F862" s="2" t="s">
        <v>21</v>
      </c>
      <c r="G862" s="2">
        <v>2462.344898371864</v>
      </c>
      <c r="H862" s="2">
        <v>3283.1265311624852</v>
      </c>
      <c r="I862" s="2">
        <v>1</v>
      </c>
      <c r="J862" s="2">
        <v>2</v>
      </c>
    </row>
    <row r="863" spans="1:10" x14ac:dyDescent="0.25">
      <c r="A863" s="2">
        <v>38</v>
      </c>
      <c r="B863" s="2" t="s">
        <v>8</v>
      </c>
      <c r="C863" s="2">
        <v>28</v>
      </c>
      <c r="D863" s="2">
        <v>3</v>
      </c>
      <c r="E863" s="2" t="s">
        <v>12</v>
      </c>
      <c r="F863" s="2" t="s">
        <v>21</v>
      </c>
      <c r="G863" s="2">
        <v>1350.0074038563214</v>
      </c>
      <c r="H863" s="2">
        <v>1800.0098718084284</v>
      </c>
      <c r="I863" s="2">
        <v>0</v>
      </c>
      <c r="J863" s="2">
        <v>3</v>
      </c>
    </row>
    <row r="864" spans="1:10" x14ac:dyDescent="0.25">
      <c r="A864" s="2">
        <v>55</v>
      </c>
      <c r="B864" s="2" t="s">
        <v>8</v>
      </c>
      <c r="C864" s="2">
        <v>33.5</v>
      </c>
      <c r="D864" s="2">
        <v>2</v>
      </c>
      <c r="E864" s="2" t="s">
        <v>12</v>
      </c>
      <c r="F864" s="2" t="s">
        <v>20</v>
      </c>
      <c r="G864" s="2">
        <v>3299.6362597392863</v>
      </c>
      <c r="H864" s="2">
        <v>4399.5150129857147</v>
      </c>
      <c r="I864" s="2">
        <v>0</v>
      </c>
      <c r="J864" s="2">
        <v>3</v>
      </c>
    </row>
    <row r="865" spans="1:10" x14ac:dyDescent="0.25">
      <c r="A865" s="2">
        <v>36</v>
      </c>
      <c r="B865" s="2" t="s">
        <v>8</v>
      </c>
      <c r="C865" s="2">
        <v>22.6</v>
      </c>
      <c r="D865" s="2">
        <v>0</v>
      </c>
      <c r="E865" s="2" t="s">
        <v>12</v>
      </c>
      <c r="F865" s="2" t="s">
        <v>15</v>
      </c>
      <c r="G865" s="2">
        <v>1835.1915673851427</v>
      </c>
      <c r="H865" s="2">
        <v>2159.048902806051</v>
      </c>
      <c r="I865" s="2">
        <v>0</v>
      </c>
      <c r="J865" s="2">
        <v>0</v>
      </c>
    </row>
    <row r="866" spans="1:10" x14ac:dyDescent="0.25">
      <c r="A866" s="2">
        <v>51</v>
      </c>
      <c r="B866" s="2" t="s">
        <v>11</v>
      </c>
      <c r="C866" s="2">
        <v>25.4</v>
      </c>
      <c r="D866" s="2">
        <v>0</v>
      </c>
      <c r="E866" s="2" t="s">
        <v>12</v>
      </c>
      <c r="F866" s="2" t="s">
        <v>21</v>
      </c>
      <c r="G866" s="2">
        <v>4036.0805310058468</v>
      </c>
      <c r="H866" s="2">
        <v>3843.8862200055696</v>
      </c>
      <c r="I866" s="2">
        <v>0</v>
      </c>
      <c r="J866" s="2">
        <v>1</v>
      </c>
    </row>
    <row r="867" spans="1:10" x14ac:dyDescent="0.25">
      <c r="A867" s="2">
        <v>40</v>
      </c>
      <c r="B867" s="2" t="s">
        <v>11</v>
      </c>
      <c r="C867" s="2">
        <v>29.9</v>
      </c>
      <c r="D867" s="2">
        <v>2</v>
      </c>
      <c r="E867" s="2" t="s">
        <v>12</v>
      </c>
      <c r="F867" s="2" t="s">
        <v>21</v>
      </c>
      <c r="G867" s="2">
        <v>2009.3769112302034</v>
      </c>
      <c r="H867" s="2">
        <v>2679.1692149736045</v>
      </c>
      <c r="I867" s="2">
        <v>0</v>
      </c>
      <c r="J867" s="2">
        <v>3</v>
      </c>
    </row>
    <row r="868" spans="1:10" x14ac:dyDescent="0.25">
      <c r="A868" s="2">
        <v>18</v>
      </c>
      <c r="B868" s="2" t="s">
        <v>11</v>
      </c>
      <c r="C868" s="2">
        <v>20.399999999999999</v>
      </c>
      <c r="D868" s="2">
        <v>0</v>
      </c>
      <c r="E868" s="2" t="s">
        <v>12</v>
      </c>
      <c r="F868" s="2" t="s">
        <v>13</v>
      </c>
      <c r="G868" s="2">
        <v>1807.869578843927</v>
      </c>
      <c r="H868" s="2">
        <v>2126.9053868752089</v>
      </c>
      <c r="I868" s="2">
        <v>0</v>
      </c>
      <c r="J868" s="2">
        <v>0</v>
      </c>
    </row>
    <row r="869" spans="1:10" x14ac:dyDescent="0.25">
      <c r="A869" s="2">
        <v>57</v>
      </c>
      <c r="B869" s="2" t="s">
        <v>11</v>
      </c>
      <c r="C869" s="2">
        <v>43.7</v>
      </c>
      <c r="D869" s="2">
        <v>1</v>
      </c>
      <c r="E869" s="2" t="s">
        <v>12</v>
      </c>
      <c r="F869" s="2" t="s">
        <v>21</v>
      </c>
      <c r="G869" s="2">
        <v>5128.567416257054</v>
      </c>
      <c r="H869" s="2">
        <v>4884.3499202448147</v>
      </c>
      <c r="I869" s="2">
        <v>0</v>
      </c>
      <c r="J869" s="2">
        <v>1</v>
      </c>
    </row>
    <row r="870" spans="1:10" x14ac:dyDescent="0.25">
      <c r="A870" s="2">
        <v>61</v>
      </c>
      <c r="B870" s="2" t="s">
        <v>11</v>
      </c>
      <c r="C870" s="2">
        <v>23.7</v>
      </c>
      <c r="D870" s="2">
        <v>0</v>
      </c>
      <c r="E870" s="2" t="s">
        <v>12</v>
      </c>
      <c r="F870" s="2" t="s">
        <v>15</v>
      </c>
      <c r="G870" s="2">
        <v>4842.2337465853607</v>
      </c>
      <c r="H870" s="2">
        <v>4611.6511872241554</v>
      </c>
      <c r="I870" s="2">
        <v>0</v>
      </c>
      <c r="J870" s="2">
        <v>1</v>
      </c>
    </row>
    <row r="871" spans="1:10" x14ac:dyDescent="0.25">
      <c r="A871" s="2">
        <v>25</v>
      </c>
      <c r="B871" s="2" t="s">
        <v>8</v>
      </c>
      <c r="C871" s="2">
        <v>24.3</v>
      </c>
      <c r="D871" s="2">
        <v>3</v>
      </c>
      <c r="E871" s="2" t="s">
        <v>12</v>
      </c>
      <c r="F871" s="2" t="s">
        <v>21</v>
      </c>
      <c r="G871" s="2">
        <v>1973.8708500897303</v>
      </c>
      <c r="H871" s="2">
        <v>2631.8278001196404</v>
      </c>
      <c r="I871" s="2">
        <v>0</v>
      </c>
      <c r="J871" s="2">
        <v>3</v>
      </c>
    </row>
    <row r="872" spans="1:10" x14ac:dyDescent="0.25">
      <c r="A872" s="2">
        <v>50</v>
      </c>
      <c r="B872" s="2" t="s">
        <v>11</v>
      </c>
      <c r="C872" s="2">
        <v>36.200000000000003</v>
      </c>
      <c r="D872" s="2">
        <v>0</v>
      </c>
      <c r="E872" s="2" t="s">
        <v>12</v>
      </c>
      <c r="F872" s="2" t="s">
        <v>21</v>
      </c>
      <c r="G872" s="2">
        <v>4673.2252250430429</v>
      </c>
      <c r="H872" s="2">
        <v>4450.6906905171845</v>
      </c>
      <c r="I872" s="2">
        <v>0</v>
      </c>
      <c r="J872" s="2">
        <v>1</v>
      </c>
    </row>
    <row r="873" spans="1:10" x14ac:dyDescent="0.25">
      <c r="A873" s="2">
        <v>26</v>
      </c>
      <c r="B873" s="2" t="s">
        <v>8</v>
      </c>
      <c r="C873" s="2">
        <v>21.6</v>
      </c>
      <c r="D873" s="2">
        <v>1</v>
      </c>
      <c r="E873" s="2" t="s">
        <v>12</v>
      </c>
      <c r="F873" s="2" t="s">
        <v>13</v>
      </c>
      <c r="G873" s="2">
        <v>2201.5601720725508</v>
      </c>
      <c r="H873" s="2">
        <v>2590.0707906735897</v>
      </c>
      <c r="I873" s="2">
        <v>0</v>
      </c>
      <c r="J873" s="2">
        <v>0</v>
      </c>
    </row>
    <row r="874" spans="1:10" x14ac:dyDescent="0.25">
      <c r="A874" s="2">
        <v>42</v>
      </c>
      <c r="B874" s="2" t="s">
        <v>11</v>
      </c>
      <c r="C874" s="2">
        <v>24.9</v>
      </c>
      <c r="D874" s="2">
        <v>0</v>
      </c>
      <c r="E874" s="2" t="s">
        <v>12</v>
      </c>
      <c r="F874" s="2" t="s">
        <v>13</v>
      </c>
      <c r="G874" s="2">
        <v>2287.3917466047455</v>
      </c>
      <c r="H874" s="2">
        <v>2691.0491136526425</v>
      </c>
      <c r="I874" s="2">
        <v>0</v>
      </c>
      <c r="J874" s="2">
        <v>0</v>
      </c>
    </row>
    <row r="875" spans="1:10" x14ac:dyDescent="0.25">
      <c r="A875" s="2">
        <v>43</v>
      </c>
      <c r="B875" s="2" t="s">
        <v>11</v>
      </c>
      <c r="C875" s="2">
        <v>30.1</v>
      </c>
      <c r="D875" s="2">
        <v>1</v>
      </c>
      <c r="E875" s="2" t="s">
        <v>12</v>
      </c>
      <c r="F875" s="2" t="s">
        <v>21</v>
      </c>
      <c r="G875" s="2">
        <v>4641.0864906006373</v>
      </c>
      <c r="H875" s="2">
        <v>4420.0823720006083</v>
      </c>
      <c r="I875" s="2">
        <v>0</v>
      </c>
      <c r="J875" s="2">
        <v>1</v>
      </c>
    </row>
    <row r="876" spans="1:10" x14ac:dyDescent="0.25">
      <c r="A876" s="2">
        <v>44</v>
      </c>
      <c r="B876" s="2" t="s">
        <v>11</v>
      </c>
      <c r="C876" s="2">
        <v>21.9</v>
      </c>
      <c r="D876" s="2">
        <v>3</v>
      </c>
      <c r="E876" s="2" t="s">
        <v>12</v>
      </c>
      <c r="F876" s="2" t="s">
        <v>15</v>
      </c>
      <c r="G876" s="2">
        <v>1231.0673636222223</v>
      </c>
      <c r="H876" s="2">
        <v>1641.4231514962964</v>
      </c>
      <c r="I876" s="2">
        <v>0</v>
      </c>
      <c r="J876" s="2">
        <v>3</v>
      </c>
    </row>
    <row r="877" spans="1:10" x14ac:dyDescent="0.25">
      <c r="A877" s="2">
        <v>23</v>
      </c>
      <c r="B877" s="2" t="s">
        <v>8</v>
      </c>
      <c r="C877" s="2">
        <v>24.2</v>
      </c>
      <c r="D877" s="2">
        <v>0</v>
      </c>
      <c r="E877" s="2" t="s">
        <v>12</v>
      </c>
      <c r="F877" s="2" t="s">
        <v>20</v>
      </c>
      <c r="G877" s="2">
        <v>2393.7151222848843</v>
      </c>
      <c r="H877" s="2">
        <v>2816.1354379822169</v>
      </c>
      <c r="I877" s="2">
        <v>0</v>
      </c>
      <c r="J877" s="2">
        <v>0</v>
      </c>
    </row>
    <row r="878" spans="1:10" x14ac:dyDescent="0.25">
      <c r="A878" s="2">
        <v>49</v>
      </c>
      <c r="B878" s="2" t="s">
        <v>8</v>
      </c>
      <c r="C878" s="2">
        <v>27.1</v>
      </c>
      <c r="D878" s="2">
        <v>1</v>
      </c>
      <c r="E878" s="2" t="s">
        <v>12</v>
      </c>
      <c r="F878" s="2" t="s">
        <v>21</v>
      </c>
      <c r="G878" s="2">
        <v>4950.6210421668347</v>
      </c>
      <c r="H878" s="2">
        <v>4714.8771830160349</v>
      </c>
      <c r="I878" s="2">
        <v>0</v>
      </c>
      <c r="J878" s="2">
        <v>1</v>
      </c>
    </row>
    <row r="879" spans="1:10" x14ac:dyDescent="0.25">
      <c r="A879" s="2">
        <v>33</v>
      </c>
      <c r="B879" s="2" t="s">
        <v>11</v>
      </c>
      <c r="C879" s="2">
        <v>33.4</v>
      </c>
      <c r="D879" s="2">
        <v>5</v>
      </c>
      <c r="E879" s="2" t="s">
        <v>12</v>
      </c>
      <c r="F879" s="2" t="s">
        <v>13</v>
      </c>
      <c r="G879" s="2">
        <v>1454.1168778241208</v>
      </c>
      <c r="H879" s="2">
        <v>1938.8225037654945</v>
      </c>
      <c r="I879" s="2">
        <v>0</v>
      </c>
      <c r="J879" s="2">
        <v>3</v>
      </c>
    </row>
    <row r="880" spans="1:10" x14ac:dyDescent="0.25">
      <c r="A880" s="2">
        <v>41</v>
      </c>
      <c r="B880" s="2" t="s">
        <v>11</v>
      </c>
      <c r="C880" s="2">
        <v>28.8</v>
      </c>
      <c r="D880" s="2">
        <v>1</v>
      </c>
      <c r="E880" s="2" t="s">
        <v>12</v>
      </c>
      <c r="F880" s="2" t="s">
        <v>21</v>
      </c>
      <c r="G880" s="2">
        <v>5120.4616240282021</v>
      </c>
      <c r="H880" s="2">
        <v>4876.6301181220988</v>
      </c>
      <c r="I880" s="2">
        <v>0</v>
      </c>
      <c r="J880" s="2">
        <v>1</v>
      </c>
    </row>
    <row r="881" spans="1:10" x14ac:dyDescent="0.25">
      <c r="A881" s="2">
        <v>37</v>
      </c>
      <c r="B881" s="2" t="s">
        <v>8</v>
      </c>
      <c r="C881" s="2">
        <v>29.5</v>
      </c>
      <c r="D881" s="2">
        <v>2</v>
      </c>
      <c r="E881" s="2" t="s">
        <v>12</v>
      </c>
      <c r="F881" s="2" t="s">
        <v>21</v>
      </c>
      <c r="G881" s="2">
        <v>2832.8780935502959</v>
      </c>
      <c r="H881" s="2">
        <v>3777.1707914003946</v>
      </c>
      <c r="I881" s="2">
        <v>0</v>
      </c>
      <c r="J881" s="2">
        <v>3</v>
      </c>
    </row>
    <row r="882" spans="1:10" x14ac:dyDescent="0.25">
      <c r="A882" s="2">
        <v>22</v>
      </c>
      <c r="B882" s="2" t="s">
        <v>11</v>
      </c>
      <c r="C882" s="2">
        <v>34.799999999999997</v>
      </c>
      <c r="D882" s="2">
        <v>3</v>
      </c>
      <c r="E882" s="2" t="s">
        <v>12</v>
      </c>
      <c r="F882" s="2" t="s">
        <v>21</v>
      </c>
      <c r="G882" s="2">
        <v>2001.9872200214004</v>
      </c>
      <c r="H882" s="2">
        <v>2669.3162933618673</v>
      </c>
      <c r="I882" s="2">
        <v>0</v>
      </c>
      <c r="J882" s="2">
        <v>3</v>
      </c>
    </row>
    <row r="883" spans="1:10" x14ac:dyDescent="0.25">
      <c r="A883" s="2">
        <v>23</v>
      </c>
      <c r="B883" s="2" t="s">
        <v>11</v>
      </c>
      <c r="C883" s="2">
        <v>23.2</v>
      </c>
      <c r="D883" s="2">
        <v>1</v>
      </c>
      <c r="E883" s="2" t="s">
        <v>12</v>
      </c>
      <c r="F883" s="2" t="s">
        <v>20</v>
      </c>
      <c r="G883" s="2">
        <v>1607.0768734444548</v>
      </c>
      <c r="H883" s="2">
        <v>1890.678674640536</v>
      </c>
      <c r="I883" s="2">
        <v>0</v>
      </c>
      <c r="J883" s="2">
        <v>0</v>
      </c>
    </row>
    <row r="884" spans="1:10" x14ac:dyDescent="0.25">
      <c r="A884" s="2">
        <v>21</v>
      </c>
      <c r="B884" s="2" t="s">
        <v>8</v>
      </c>
      <c r="C884" s="2">
        <v>21.8</v>
      </c>
      <c r="D884" s="2">
        <v>0</v>
      </c>
      <c r="E884" s="2" t="s">
        <v>12</v>
      </c>
      <c r="F884" s="2" t="s">
        <v>15</v>
      </c>
      <c r="G884" s="2">
        <v>2015.0134690279833</v>
      </c>
      <c r="H884" s="2">
        <v>2370.6040812093925</v>
      </c>
      <c r="I884" s="2">
        <v>0</v>
      </c>
      <c r="J884" s="2">
        <v>0</v>
      </c>
    </row>
    <row r="885" spans="1:10" x14ac:dyDescent="0.25">
      <c r="A885" s="2">
        <v>51</v>
      </c>
      <c r="B885" s="2" t="s">
        <v>8</v>
      </c>
      <c r="C885" s="2">
        <v>37.1</v>
      </c>
      <c r="D885" s="2">
        <v>3</v>
      </c>
      <c r="E885" s="2" t="s">
        <v>9</v>
      </c>
      <c r="F885" s="2" t="s">
        <v>15</v>
      </c>
      <c r="G885" s="2">
        <v>2320.6864804735969</v>
      </c>
      <c r="H885" s="2">
        <v>3094.2486406314629</v>
      </c>
      <c r="I885" s="2">
        <v>1</v>
      </c>
      <c r="J885" s="2">
        <v>2</v>
      </c>
    </row>
    <row r="886" spans="1:10" x14ac:dyDescent="0.25">
      <c r="A886" s="2">
        <v>25</v>
      </c>
      <c r="B886" s="2" t="s">
        <v>11</v>
      </c>
      <c r="C886" s="2">
        <v>26.7</v>
      </c>
      <c r="D886" s="2">
        <v>4</v>
      </c>
      <c r="E886" s="2" t="s">
        <v>12</v>
      </c>
      <c r="F886" s="2" t="s">
        <v>20</v>
      </c>
      <c r="G886" s="2">
        <v>1453.1842002048297</v>
      </c>
      <c r="H886" s="2">
        <v>1937.5789336064397</v>
      </c>
      <c r="I886" s="2">
        <v>0</v>
      </c>
      <c r="J886" s="2">
        <v>3</v>
      </c>
    </row>
    <row r="887" spans="1:10" x14ac:dyDescent="0.25">
      <c r="A887" s="2">
        <v>32</v>
      </c>
      <c r="B887" s="2" t="s">
        <v>11</v>
      </c>
      <c r="C887" s="2">
        <v>23.5</v>
      </c>
      <c r="D887" s="2">
        <v>1</v>
      </c>
      <c r="E887" s="2" t="s">
        <v>9</v>
      </c>
      <c r="F887" s="2" t="s">
        <v>13</v>
      </c>
      <c r="G887" s="2">
        <v>2322.7936373820321</v>
      </c>
      <c r="H887" s="2">
        <v>2732.6983969200382</v>
      </c>
      <c r="I887" s="2">
        <v>1</v>
      </c>
      <c r="J887" s="2">
        <v>2</v>
      </c>
    </row>
    <row r="888" spans="1:10" x14ac:dyDescent="0.25">
      <c r="A888" s="2">
        <v>57</v>
      </c>
      <c r="B888" s="2" t="s">
        <v>11</v>
      </c>
      <c r="C888" s="2">
        <v>29</v>
      </c>
      <c r="D888" s="2">
        <v>0</v>
      </c>
      <c r="E888" s="2" t="s">
        <v>9</v>
      </c>
      <c r="F888" s="2" t="s">
        <v>15</v>
      </c>
      <c r="G888" s="2">
        <v>4133.5858381188764</v>
      </c>
      <c r="H888" s="2">
        <v>3936.7484172560744</v>
      </c>
      <c r="I888" s="2">
        <v>1</v>
      </c>
      <c r="J888" s="2">
        <v>2</v>
      </c>
    </row>
    <row r="889" spans="1:10" x14ac:dyDescent="0.25">
      <c r="A889" s="2">
        <v>36</v>
      </c>
      <c r="B889" s="2" t="s">
        <v>8</v>
      </c>
      <c r="C889" s="2">
        <v>20.399999999999999</v>
      </c>
      <c r="D889" s="2">
        <v>0</v>
      </c>
      <c r="E889" s="2" t="s">
        <v>12</v>
      </c>
      <c r="F889" s="2" t="s">
        <v>20</v>
      </c>
      <c r="G889" s="2">
        <v>1589.4394970496064</v>
      </c>
      <c r="H889" s="2">
        <v>1869.9288200583615</v>
      </c>
      <c r="I889" s="2">
        <v>0</v>
      </c>
      <c r="J889" s="2">
        <v>0</v>
      </c>
    </row>
    <row r="890" spans="1:10" x14ac:dyDescent="0.25">
      <c r="A890" s="2">
        <v>22</v>
      </c>
      <c r="B890" s="2" t="s">
        <v>11</v>
      </c>
      <c r="C890" s="2">
        <v>22.1</v>
      </c>
      <c r="D890" s="2">
        <v>0</v>
      </c>
      <c r="E890" s="2" t="s">
        <v>12</v>
      </c>
      <c r="F890" s="2" t="s">
        <v>21</v>
      </c>
      <c r="G890" s="2">
        <v>2386.591099755633</v>
      </c>
      <c r="H890" s="2">
        <v>2807.7542350066278</v>
      </c>
      <c r="I890" s="2">
        <v>0</v>
      </c>
      <c r="J890" s="2">
        <v>0</v>
      </c>
    </row>
    <row r="891" spans="1:10" x14ac:dyDescent="0.25">
      <c r="A891" s="2">
        <v>57</v>
      </c>
      <c r="B891" s="2" t="s">
        <v>11</v>
      </c>
      <c r="C891" s="2">
        <v>33.6</v>
      </c>
      <c r="D891" s="2">
        <v>1</v>
      </c>
      <c r="E891" s="2" t="s">
        <v>12</v>
      </c>
      <c r="F891" s="2" t="s">
        <v>20</v>
      </c>
      <c r="G891" s="2">
        <v>4253.2554565364208</v>
      </c>
      <c r="H891" s="2">
        <v>4050.7194824156409</v>
      </c>
      <c r="I891" s="2">
        <v>0</v>
      </c>
      <c r="J891" s="2">
        <v>1</v>
      </c>
    </row>
    <row r="892" spans="1:10" x14ac:dyDescent="0.25">
      <c r="A892" s="2">
        <v>64</v>
      </c>
      <c r="B892" s="2" t="s">
        <v>8</v>
      </c>
      <c r="C892" s="2">
        <v>26.9</v>
      </c>
      <c r="D892" s="2">
        <v>0</v>
      </c>
      <c r="E892" s="2" t="s">
        <v>9</v>
      </c>
      <c r="F892" s="2" t="s">
        <v>20</v>
      </c>
      <c r="G892" s="2">
        <v>4222.0169372994105</v>
      </c>
      <c r="H892" s="2">
        <v>4020.9685117137255</v>
      </c>
      <c r="I892" s="2">
        <v>1</v>
      </c>
      <c r="J892" s="2">
        <v>2</v>
      </c>
    </row>
    <row r="893" spans="1:10" x14ac:dyDescent="0.25">
      <c r="A893" s="2">
        <v>36</v>
      </c>
      <c r="B893" s="2" t="s">
        <v>8</v>
      </c>
      <c r="C893" s="2">
        <v>29</v>
      </c>
      <c r="D893" s="2">
        <v>4</v>
      </c>
      <c r="E893" s="2" t="s">
        <v>12</v>
      </c>
      <c r="F893" s="2" t="s">
        <v>13</v>
      </c>
      <c r="G893" s="2">
        <v>2388.298582272615</v>
      </c>
      <c r="H893" s="2">
        <v>3184.39810969682</v>
      </c>
      <c r="I893" s="2">
        <v>0</v>
      </c>
      <c r="J893" s="2">
        <v>3</v>
      </c>
    </row>
    <row r="894" spans="1:10" x14ac:dyDescent="0.25">
      <c r="A894" s="2">
        <v>54</v>
      </c>
      <c r="B894" s="2" t="s">
        <v>11</v>
      </c>
      <c r="C894" s="2">
        <v>24</v>
      </c>
      <c r="D894" s="2">
        <v>0</v>
      </c>
      <c r="E894" s="2" t="s">
        <v>12</v>
      </c>
      <c r="F894" s="2" t="s">
        <v>15</v>
      </c>
      <c r="G894" s="2">
        <v>3782.6920493002071</v>
      </c>
      <c r="H894" s="2">
        <v>3602.5638564763894</v>
      </c>
      <c r="I894" s="2">
        <v>0</v>
      </c>
      <c r="J894" s="2">
        <v>1</v>
      </c>
    </row>
    <row r="895" spans="1:10" x14ac:dyDescent="0.25">
      <c r="A895" s="2">
        <v>47</v>
      </c>
      <c r="B895" s="2" t="s">
        <v>11</v>
      </c>
      <c r="C895" s="2">
        <v>38.9</v>
      </c>
      <c r="D895" s="2">
        <v>2</v>
      </c>
      <c r="E895" s="2" t="s">
        <v>9</v>
      </c>
      <c r="F895" s="2" t="s">
        <v>13</v>
      </c>
      <c r="G895" s="2">
        <v>3372.3568566280883</v>
      </c>
      <c r="H895" s="2">
        <v>4496.475808837451</v>
      </c>
      <c r="I895" s="2">
        <v>1</v>
      </c>
      <c r="J895" s="2">
        <v>2</v>
      </c>
    </row>
    <row r="896" spans="1:10" x14ac:dyDescent="0.25">
      <c r="A896" s="2">
        <v>62</v>
      </c>
      <c r="B896" s="2" t="s">
        <v>11</v>
      </c>
      <c r="C896" s="2">
        <v>32.1</v>
      </c>
      <c r="D896" s="2">
        <v>0</v>
      </c>
      <c r="E896" s="2" t="s">
        <v>12</v>
      </c>
      <c r="F896" s="2" t="s">
        <v>15</v>
      </c>
      <c r="G896" s="2">
        <v>4313.6624301535221</v>
      </c>
      <c r="H896" s="2">
        <v>4108.2499334795466</v>
      </c>
      <c r="I896" s="2">
        <v>0</v>
      </c>
      <c r="J896" s="2">
        <v>1</v>
      </c>
    </row>
    <row r="897" spans="1:10" x14ac:dyDescent="0.25">
      <c r="A897" s="2">
        <v>61</v>
      </c>
      <c r="B897" s="2" t="s">
        <v>8</v>
      </c>
      <c r="C897" s="2">
        <v>44</v>
      </c>
      <c r="D897" s="2">
        <v>0</v>
      </c>
      <c r="E897" s="2" t="s">
        <v>12</v>
      </c>
      <c r="F897" s="2" t="s">
        <v>21</v>
      </c>
      <c r="G897" s="2">
        <v>6316.3951039012454</v>
      </c>
      <c r="H897" s="2">
        <v>6015.6143846678551</v>
      </c>
      <c r="I897" s="2">
        <v>0</v>
      </c>
      <c r="J897" s="2">
        <v>1</v>
      </c>
    </row>
    <row r="898" spans="1:10" x14ac:dyDescent="0.25">
      <c r="A898" s="2">
        <v>43</v>
      </c>
      <c r="B898" s="2" t="s">
        <v>8</v>
      </c>
      <c r="C898" s="2">
        <v>20</v>
      </c>
      <c r="D898" s="2">
        <v>2</v>
      </c>
      <c r="E898" s="2" t="s">
        <v>9</v>
      </c>
      <c r="F898" s="2" t="s">
        <v>15</v>
      </c>
      <c r="G898" s="2">
        <v>1720.0993217799685</v>
      </c>
      <c r="H898" s="2">
        <v>2023.6462609176106</v>
      </c>
      <c r="I898" s="2">
        <v>1</v>
      </c>
      <c r="J898" s="2">
        <v>2</v>
      </c>
    </row>
    <row r="899" spans="1:10" x14ac:dyDescent="0.25">
      <c r="A899" s="2">
        <v>19</v>
      </c>
      <c r="B899" s="2" t="s">
        <v>11</v>
      </c>
      <c r="C899" s="2">
        <v>22.7</v>
      </c>
      <c r="D899" s="2">
        <v>1</v>
      </c>
      <c r="E899" s="2" t="s">
        <v>12</v>
      </c>
      <c r="F899" s="2" t="s">
        <v>20</v>
      </c>
      <c r="G899" s="2">
        <v>2184.2453946168089</v>
      </c>
      <c r="H899" s="2">
        <v>2569.7004642550701</v>
      </c>
      <c r="I899" s="2">
        <v>0</v>
      </c>
      <c r="J899" s="2">
        <v>0</v>
      </c>
    </row>
    <row r="900" spans="1:10" x14ac:dyDescent="0.25">
      <c r="A900" s="2">
        <v>18</v>
      </c>
      <c r="B900" s="2" t="s">
        <v>8</v>
      </c>
      <c r="C900" s="2">
        <v>20.3</v>
      </c>
      <c r="D900" s="2">
        <v>0</v>
      </c>
      <c r="E900" s="2" t="s">
        <v>12</v>
      </c>
      <c r="F900" s="2" t="s">
        <v>13</v>
      </c>
      <c r="G900" s="2">
        <v>1258.5864564974315</v>
      </c>
      <c r="H900" s="2">
        <v>1480.6899488205086</v>
      </c>
      <c r="I900" s="2">
        <v>0</v>
      </c>
      <c r="J900" s="2">
        <v>0</v>
      </c>
    </row>
    <row r="901" spans="1:10" x14ac:dyDescent="0.25">
      <c r="A901" s="2">
        <v>19</v>
      </c>
      <c r="B901" s="2" t="s">
        <v>8</v>
      </c>
      <c r="C901" s="2">
        <v>23.2</v>
      </c>
      <c r="D901" s="2">
        <v>0</v>
      </c>
      <c r="E901" s="2" t="s">
        <v>12</v>
      </c>
      <c r="F901" s="2" t="s">
        <v>20</v>
      </c>
      <c r="G901" s="2">
        <v>1454.2530270661475</v>
      </c>
      <c r="H901" s="2">
        <v>1710.8859141954683</v>
      </c>
      <c r="I901" s="2">
        <v>0</v>
      </c>
      <c r="J901" s="2">
        <v>0</v>
      </c>
    </row>
    <row r="902" spans="1:10" x14ac:dyDescent="0.25">
      <c r="A902" s="2">
        <v>49</v>
      </c>
      <c r="B902" s="2" t="s">
        <v>11</v>
      </c>
      <c r="C902" s="2">
        <v>22.5</v>
      </c>
      <c r="D902" s="2">
        <v>0</v>
      </c>
      <c r="E902" s="2" t="s">
        <v>12</v>
      </c>
      <c r="F902" s="2" t="s">
        <v>15</v>
      </c>
      <c r="G902" s="2">
        <v>5378.317116150798</v>
      </c>
      <c r="H902" s="2">
        <v>5122.2067772864757</v>
      </c>
      <c r="I902" s="2">
        <v>0</v>
      </c>
      <c r="J902" s="2">
        <v>1</v>
      </c>
    </row>
    <row r="903" spans="1:10" x14ac:dyDescent="0.25">
      <c r="A903" s="2">
        <v>60</v>
      </c>
      <c r="B903" s="2" t="s">
        <v>11</v>
      </c>
      <c r="C903" s="2">
        <v>40.9</v>
      </c>
      <c r="D903" s="2">
        <v>0</v>
      </c>
      <c r="E903" s="2" t="s">
        <v>9</v>
      </c>
      <c r="F903" s="2" t="s">
        <v>13</v>
      </c>
      <c r="G903" s="2">
        <v>5289.9251374967134</v>
      </c>
      <c r="H903" s="2">
        <v>5038.0239404730619</v>
      </c>
      <c r="I903" s="2">
        <v>1</v>
      </c>
      <c r="J903" s="2">
        <v>2</v>
      </c>
    </row>
    <row r="904" spans="1:10" x14ac:dyDescent="0.25">
      <c r="A904" s="2">
        <v>26</v>
      </c>
      <c r="B904" s="2" t="s">
        <v>11</v>
      </c>
      <c r="C904" s="2">
        <v>27.3</v>
      </c>
      <c r="D904" s="2">
        <v>3</v>
      </c>
      <c r="E904" s="2" t="s">
        <v>12</v>
      </c>
      <c r="F904" s="2" t="s">
        <v>15</v>
      </c>
      <c r="G904" s="2">
        <v>2240.2535058234253</v>
      </c>
      <c r="H904" s="2">
        <v>2987.004674431234</v>
      </c>
      <c r="I904" s="2">
        <v>0</v>
      </c>
      <c r="J904" s="2">
        <v>3</v>
      </c>
    </row>
    <row r="905" spans="1:10" x14ac:dyDescent="0.25">
      <c r="A905" s="2">
        <v>49</v>
      </c>
      <c r="B905" s="2" t="s">
        <v>11</v>
      </c>
      <c r="C905" s="2">
        <v>36.9</v>
      </c>
      <c r="D905" s="2">
        <v>0</v>
      </c>
      <c r="E905" s="2" t="s">
        <v>12</v>
      </c>
      <c r="F905" s="2" t="s">
        <v>13</v>
      </c>
      <c r="G905" s="2">
        <v>4436.40976792322</v>
      </c>
      <c r="H905" s="2">
        <v>4225.1521599268772</v>
      </c>
      <c r="I905" s="2">
        <v>0</v>
      </c>
      <c r="J905" s="2">
        <v>1</v>
      </c>
    </row>
    <row r="906" spans="1:10" x14ac:dyDescent="0.25">
      <c r="A906" s="2">
        <v>60</v>
      </c>
      <c r="B906" s="2" t="s">
        <v>8</v>
      </c>
      <c r="C906" s="2">
        <v>35.1</v>
      </c>
      <c r="D906" s="2">
        <v>0</v>
      </c>
      <c r="E906" s="2" t="s">
        <v>12</v>
      </c>
      <c r="F906" s="2" t="s">
        <v>21</v>
      </c>
      <c r="G906" s="2">
        <v>6012.9681288943502</v>
      </c>
      <c r="H906" s="2">
        <v>5726.636313232716</v>
      </c>
      <c r="I906" s="2">
        <v>0</v>
      </c>
      <c r="J906" s="2">
        <v>1</v>
      </c>
    </row>
    <row r="907" spans="1:10" x14ac:dyDescent="0.25">
      <c r="A907" s="2">
        <v>26</v>
      </c>
      <c r="B907" s="2" t="s">
        <v>8</v>
      </c>
      <c r="C907" s="2">
        <v>29.4</v>
      </c>
      <c r="D907" s="2">
        <v>2</v>
      </c>
      <c r="E907" s="2" t="s">
        <v>12</v>
      </c>
      <c r="F907" s="2" t="s">
        <v>15</v>
      </c>
      <c r="G907" s="2">
        <v>1585.227713926452</v>
      </c>
      <c r="H907" s="2">
        <v>2113.6369519019358</v>
      </c>
      <c r="I907" s="2">
        <v>0</v>
      </c>
      <c r="J907" s="2">
        <v>3</v>
      </c>
    </row>
    <row r="908" spans="1:10" x14ac:dyDescent="0.25">
      <c r="A908" s="2">
        <v>27</v>
      </c>
      <c r="B908" s="2" t="s">
        <v>11</v>
      </c>
      <c r="C908" s="2">
        <v>32.6</v>
      </c>
      <c r="D908" s="2">
        <v>3</v>
      </c>
      <c r="E908" s="2" t="s">
        <v>12</v>
      </c>
      <c r="F908" s="2" t="s">
        <v>15</v>
      </c>
      <c r="G908" s="2">
        <v>2614.464925958488</v>
      </c>
      <c r="H908" s="2">
        <v>3485.9532346113174</v>
      </c>
      <c r="I908" s="2">
        <v>0</v>
      </c>
      <c r="J908" s="2">
        <v>3</v>
      </c>
    </row>
    <row r="909" spans="1:10" x14ac:dyDescent="0.25">
      <c r="A909" s="2">
        <v>44</v>
      </c>
      <c r="B909" s="2" t="s">
        <v>8</v>
      </c>
      <c r="C909" s="2">
        <v>32.299999999999997</v>
      </c>
      <c r="D909" s="2">
        <v>1</v>
      </c>
      <c r="E909" s="2" t="s">
        <v>12</v>
      </c>
      <c r="F909" s="2" t="s">
        <v>13</v>
      </c>
      <c r="G909" s="2">
        <v>4109.7568910161099</v>
      </c>
      <c r="H909" s="2">
        <v>3914.0541819201062</v>
      </c>
      <c r="I909" s="2">
        <v>0</v>
      </c>
      <c r="J909" s="2">
        <v>1</v>
      </c>
    </row>
    <row r="910" spans="1:10" x14ac:dyDescent="0.25">
      <c r="A910" s="2">
        <v>63</v>
      </c>
      <c r="B910" s="2" t="s">
        <v>11</v>
      </c>
      <c r="C910" s="2">
        <v>39.799999999999997</v>
      </c>
      <c r="D910" s="2">
        <v>3</v>
      </c>
      <c r="E910" s="2" t="s">
        <v>12</v>
      </c>
      <c r="F910" s="2" t="s">
        <v>21</v>
      </c>
      <c r="G910" s="2">
        <v>2041.27937412242</v>
      </c>
      <c r="H910" s="2">
        <v>2721.7058321632267</v>
      </c>
      <c r="I910" s="2">
        <v>0</v>
      </c>
      <c r="J910" s="2">
        <v>3</v>
      </c>
    </row>
    <row r="911" spans="1:10" x14ac:dyDescent="0.25">
      <c r="A911" s="2">
        <v>32</v>
      </c>
      <c r="B911" s="2" t="s">
        <v>8</v>
      </c>
      <c r="C911" s="2">
        <v>21.4</v>
      </c>
      <c r="D911" s="2">
        <v>0</v>
      </c>
      <c r="E911" s="2" t="s">
        <v>9</v>
      </c>
      <c r="F911" s="2" t="s">
        <v>21</v>
      </c>
      <c r="G911" s="2">
        <v>1541.8808218005881</v>
      </c>
      <c r="H911" s="2">
        <v>1813.9774374124572</v>
      </c>
      <c r="I911" s="2">
        <v>1</v>
      </c>
      <c r="J911" s="2">
        <v>2</v>
      </c>
    </row>
    <row r="912" spans="1:10" x14ac:dyDescent="0.25">
      <c r="A912" s="2">
        <v>22</v>
      </c>
      <c r="B912" s="2" t="s">
        <v>11</v>
      </c>
      <c r="C912" s="2">
        <v>23.7</v>
      </c>
      <c r="D912" s="2">
        <v>1</v>
      </c>
      <c r="E912" s="2" t="s">
        <v>12</v>
      </c>
      <c r="F912" s="2" t="s">
        <v>20</v>
      </c>
      <c r="G912" s="2">
        <v>1534.1027111838162</v>
      </c>
      <c r="H912" s="2">
        <v>1804.8267190397846</v>
      </c>
      <c r="I912" s="2">
        <v>0</v>
      </c>
      <c r="J912" s="2">
        <v>0</v>
      </c>
    </row>
    <row r="913" spans="1:10" x14ac:dyDescent="0.25">
      <c r="A913" s="2">
        <v>18</v>
      </c>
      <c r="B913" s="2" t="s">
        <v>11</v>
      </c>
      <c r="C913" s="2">
        <v>22.6</v>
      </c>
      <c r="D913" s="2">
        <v>0</v>
      </c>
      <c r="E913" s="2" t="s">
        <v>9</v>
      </c>
      <c r="F913" s="2" t="s">
        <v>15</v>
      </c>
      <c r="G913" s="2">
        <v>1998.4173124363081</v>
      </c>
      <c r="H913" s="2">
        <v>2351.0791911015399</v>
      </c>
      <c r="I913" s="2">
        <v>1</v>
      </c>
      <c r="J913" s="2">
        <v>2</v>
      </c>
    </row>
    <row r="914" spans="1:10" x14ac:dyDescent="0.25">
      <c r="A914" s="2">
        <v>59</v>
      </c>
      <c r="B914" s="2" t="s">
        <v>8</v>
      </c>
      <c r="C914" s="2">
        <v>26.7</v>
      </c>
      <c r="D914" s="2">
        <v>3</v>
      </c>
      <c r="E914" s="2" t="s">
        <v>12</v>
      </c>
      <c r="F914" s="2" t="s">
        <v>20</v>
      </c>
      <c r="G914" s="2">
        <v>3341.0974070636184</v>
      </c>
      <c r="H914" s="2">
        <v>4454.796542751491</v>
      </c>
      <c r="I914" s="2">
        <v>0</v>
      </c>
      <c r="J914" s="2">
        <v>3</v>
      </c>
    </row>
    <row r="915" spans="1:10" x14ac:dyDescent="0.25">
      <c r="A915" s="2">
        <v>44</v>
      </c>
      <c r="B915" s="2" t="s">
        <v>8</v>
      </c>
      <c r="C915" s="2">
        <v>27.5</v>
      </c>
      <c r="D915" s="2">
        <v>1</v>
      </c>
      <c r="E915" s="2" t="s">
        <v>12</v>
      </c>
      <c r="F915" s="2" t="s">
        <v>21</v>
      </c>
      <c r="G915" s="2">
        <v>4296.6906945975825</v>
      </c>
      <c r="H915" s="2">
        <v>4092.0863758072232</v>
      </c>
      <c r="I915" s="2">
        <v>0</v>
      </c>
      <c r="J915" s="2">
        <v>1</v>
      </c>
    </row>
    <row r="916" spans="1:10" x14ac:dyDescent="0.25">
      <c r="A916" s="2">
        <v>33</v>
      </c>
      <c r="B916" s="2" t="s">
        <v>11</v>
      </c>
      <c r="C916" s="2">
        <v>24.6</v>
      </c>
      <c r="D916" s="2">
        <v>2</v>
      </c>
      <c r="E916" s="2" t="s">
        <v>12</v>
      </c>
      <c r="F916" s="2" t="s">
        <v>20</v>
      </c>
      <c r="G916" s="2">
        <v>1735.0251834684916</v>
      </c>
      <c r="H916" s="2">
        <v>2041.2060981982263</v>
      </c>
      <c r="I916" s="2">
        <v>0</v>
      </c>
      <c r="J916" s="2">
        <v>0</v>
      </c>
    </row>
    <row r="917" spans="1:10" x14ac:dyDescent="0.25">
      <c r="A917" s="2">
        <v>24</v>
      </c>
      <c r="B917" s="2" t="s">
        <v>8</v>
      </c>
      <c r="C917" s="2">
        <v>23.4</v>
      </c>
      <c r="D917" s="2">
        <v>0</v>
      </c>
      <c r="E917" s="2" t="s">
        <v>12</v>
      </c>
      <c r="F917" s="2" t="s">
        <v>13</v>
      </c>
      <c r="G917" s="2">
        <v>1380.7275967208204</v>
      </c>
      <c r="H917" s="2">
        <v>1624.3854079068483</v>
      </c>
      <c r="I917" s="2">
        <v>0</v>
      </c>
      <c r="J917" s="2">
        <v>0</v>
      </c>
    </row>
    <row r="918" spans="1:10" x14ac:dyDescent="0.25">
      <c r="A918" s="2">
        <v>43</v>
      </c>
      <c r="B918" s="2" t="s">
        <v>8</v>
      </c>
      <c r="C918" s="2">
        <v>26.9</v>
      </c>
      <c r="D918" s="2">
        <v>0</v>
      </c>
      <c r="E918" s="2" t="s">
        <v>9</v>
      </c>
      <c r="F918" s="2" t="s">
        <v>20</v>
      </c>
      <c r="G918" s="2">
        <v>4053.2680383763895</v>
      </c>
      <c r="H918" s="2">
        <v>3860.255274644182</v>
      </c>
      <c r="I918" s="2">
        <v>1</v>
      </c>
      <c r="J918" s="2">
        <v>2</v>
      </c>
    </row>
    <row r="919" spans="1:10" x14ac:dyDescent="0.25">
      <c r="A919" s="2">
        <v>45</v>
      </c>
      <c r="B919" s="2" t="s">
        <v>11</v>
      </c>
      <c r="C919" s="2">
        <v>22.9</v>
      </c>
      <c r="D919" s="2">
        <v>0</v>
      </c>
      <c r="E919" s="2" t="s">
        <v>9</v>
      </c>
      <c r="F919" s="2" t="s">
        <v>15</v>
      </c>
      <c r="G919" s="2">
        <v>2601.9493778925053</v>
      </c>
      <c r="H919" s="2">
        <v>3061.1169151676531</v>
      </c>
      <c r="I919" s="2">
        <v>1</v>
      </c>
      <c r="J919" s="2">
        <v>2</v>
      </c>
    </row>
    <row r="920" spans="1:10" x14ac:dyDescent="0.25">
      <c r="A920" s="2">
        <v>61</v>
      </c>
      <c r="B920" s="2" t="s">
        <v>8</v>
      </c>
      <c r="C920" s="2">
        <v>28.2</v>
      </c>
      <c r="D920" s="2">
        <v>0</v>
      </c>
      <c r="E920" s="2" t="s">
        <v>12</v>
      </c>
      <c r="F920" s="2" t="s">
        <v>21</v>
      </c>
      <c r="G920" s="2">
        <v>4432.5202478847996</v>
      </c>
      <c r="H920" s="2">
        <v>4221.4478551283819</v>
      </c>
      <c r="I920" s="2">
        <v>0</v>
      </c>
      <c r="J920" s="2">
        <v>1</v>
      </c>
    </row>
    <row r="921" spans="1:10" x14ac:dyDescent="0.25">
      <c r="A921" s="2">
        <v>35</v>
      </c>
      <c r="B921" s="2" t="s">
        <v>8</v>
      </c>
      <c r="C921" s="2">
        <v>24.3</v>
      </c>
      <c r="D921" s="2">
        <v>1</v>
      </c>
      <c r="E921" s="2" t="s">
        <v>12</v>
      </c>
      <c r="F921" s="2" t="s">
        <v>13</v>
      </c>
      <c r="G921" s="2">
        <v>1813.5702782203157</v>
      </c>
      <c r="H921" s="2">
        <v>2133.6120920239018</v>
      </c>
      <c r="I921" s="2">
        <v>0</v>
      </c>
      <c r="J921" s="2">
        <v>0</v>
      </c>
    </row>
    <row r="922" spans="1:10" x14ac:dyDescent="0.25">
      <c r="A922" s="2">
        <v>62</v>
      </c>
      <c r="B922" s="2" t="s">
        <v>8</v>
      </c>
      <c r="C922" s="2">
        <v>25</v>
      </c>
      <c r="D922" s="2">
        <v>0</v>
      </c>
      <c r="E922" s="2" t="s">
        <v>12</v>
      </c>
      <c r="F922" s="2" t="s">
        <v>21</v>
      </c>
      <c r="G922" s="2">
        <v>5100.6437635844986</v>
      </c>
      <c r="H922" s="2">
        <v>4857.7559653185717</v>
      </c>
      <c r="I922" s="2">
        <v>0</v>
      </c>
      <c r="J922" s="2">
        <v>1</v>
      </c>
    </row>
    <row r="923" spans="1:10" x14ac:dyDescent="0.25">
      <c r="A923" s="2">
        <v>62</v>
      </c>
      <c r="B923" s="2" t="s">
        <v>8</v>
      </c>
      <c r="C923" s="2">
        <v>33.200000000000003</v>
      </c>
      <c r="D923" s="2">
        <v>0</v>
      </c>
      <c r="E923" s="2" t="s">
        <v>12</v>
      </c>
      <c r="F923" s="2" t="s">
        <v>21</v>
      </c>
      <c r="G923" s="2">
        <v>4228.9192311252118</v>
      </c>
      <c r="H923" s="2">
        <v>4027.5421248811558</v>
      </c>
      <c r="I923" s="2">
        <v>0</v>
      </c>
      <c r="J923" s="2">
        <v>1</v>
      </c>
    </row>
    <row r="924" spans="1:10" x14ac:dyDescent="0.25">
      <c r="A924" s="2">
        <v>38</v>
      </c>
      <c r="B924" s="2" t="s">
        <v>11</v>
      </c>
      <c r="C924" s="2">
        <v>20.100000000000001</v>
      </c>
      <c r="D924" s="2">
        <v>1</v>
      </c>
      <c r="E924" s="2" t="s">
        <v>12</v>
      </c>
      <c r="F924" s="2" t="s">
        <v>21</v>
      </c>
      <c r="G924" s="2">
        <v>2269.1801010436116</v>
      </c>
      <c r="H924" s="2">
        <v>2669.6236482866025</v>
      </c>
      <c r="I924" s="2">
        <v>0</v>
      </c>
      <c r="J924" s="2">
        <v>0</v>
      </c>
    </row>
    <row r="925" spans="1:10" x14ac:dyDescent="0.25">
      <c r="A925" s="2">
        <v>34</v>
      </c>
      <c r="B925" s="2" t="s">
        <v>11</v>
      </c>
      <c r="C925" s="2">
        <v>25.3</v>
      </c>
      <c r="D925" s="2">
        <v>0</v>
      </c>
      <c r="E925" s="2" t="s">
        <v>12</v>
      </c>
      <c r="F925" s="2" t="s">
        <v>20</v>
      </c>
      <c r="G925" s="2">
        <v>1696.2499266067309</v>
      </c>
      <c r="H925" s="2">
        <v>1995.588148949096</v>
      </c>
      <c r="I925" s="2">
        <v>0</v>
      </c>
      <c r="J925" s="2">
        <v>0</v>
      </c>
    </row>
    <row r="926" spans="1:10" x14ac:dyDescent="0.25">
      <c r="A926" s="2">
        <v>43</v>
      </c>
      <c r="B926" s="2" t="s">
        <v>11</v>
      </c>
      <c r="C926" s="2">
        <v>23.2</v>
      </c>
      <c r="D926" s="2">
        <v>0</v>
      </c>
      <c r="E926" s="2" t="s">
        <v>12</v>
      </c>
      <c r="F926" s="2" t="s">
        <v>21</v>
      </c>
      <c r="G926" s="2">
        <v>2117.85922397895</v>
      </c>
      <c r="H926" s="2">
        <v>2491.5990870340593</v>
      </c>
      <c r="I926" s="2">
        <v>0</v>
      </c>
      <c r="J926" s="2">
        <v>0</v>
      </c>
    </row>
    <row r="927" spans="1:10" x14ac:dyDescent="0.25">
      <c r="A927" s="2">
        <v>50</v>
      </c>
      <c r="B927" s="2" t="s">
        <v>11</v>
      </c>
      <c r="C927" s="2">
        <v>32.1</v>
      </c>
      <c r="D927" s="2">
        <v>2</v>
      </c>
      <c r="E927" s="2" t="s">
        <v>12</v>
      </c>
      <c r="F927" s="2" t="s">
        <v>15</v>
      </c>
      <c r="G927" s="2">
        <v>2245.3015663373535</v>
      </c>
      <c r="H927" s="2">
        <v>2993.735421783138</v>
      </c>
      <c r="I927" s="2">
        <v>0</v>
      </c>
      <c r="J927" s="2">
        <v>3</v>
      </c>
    </row>
    <row r="928" spans="1:10" x14ac:dyDescent="0.25">
      <c r="A928" s="2">
        <v>19</v>
      </c>
      <c r="B928" s="2" t="s">
        <v>8</v>
      </c>
      <c r="C928" s="2">
        <v>24.4</v>
      </c>
      <c r="D928" s="2">
        <v>2</v>
      </c>
      <c r="E928" s="2" t="s">
        <v>12</v>
      </c>
      <c r="F928" s="2" t="s">
        <v>21</v>
      </c>
      <c r="G928" s="2">
        <v>1648.1959790580615</v>
      </c>
      <c r="H928" s="2">
        <v>1939.0540930094849</v>
      </c>
      <c r="I928" s="2">
        <v>0</v>
      </c>
      <c r="J928" s="2">
        <v>0</v>
      </c>
    </row>
    <row r="929" spans="1:10" x14ac:dyDescent="0.25">
      <c r="A929" s="2">
        <v>57</v>
      </c>
      <c r="B929" s="2" t="s">
        <v>8</v>
      </c>
      <c r="C929" s="2">
        <v>20.100000000000001</v>
      </c>
      <c r="D929" s="2">
        <v>1</v>
      </c>
      <c r="E929" s="2" t="s">
        <v>12</v>
      </c>
      <c r="F929" s="2" t="s">
        <v>21</v>
      </c>
      <c r="G929" s="2">
        <v>4168.6197199582384</v>
      </c>
      <c r="H929" s="2">
        <v>3970.1140190078481</v>
      </c>
      <c r="I929" s="2">
        <v>0</v>
      </c>
      <c r="J929" s="2">
        <v>1</v>
      </c>
    </row>
    <row r="930" spans="1:10" x14ac:dyDescent="0.25">
      <c r="A930" s="2">
        <v>62</v>
      </c>
      <c r="B930" s="2" t="s">
        <v>8</v>
      </c>
      <c r="C930" s="2">
        <v>39.200000000000003</v>
      </c>
      <c r="D930" s="2">
        <v>0</v>
      </c>
      <c r="E930" s="2" t="s">
        <v>12</v>
      </c>
      <c r="F930" s="2" t="s">
        <v>13</v>
      </c>
      <c r="G930" s="2">
        <v>5104.0085723852189</v>
      </c>
      <c r="H930" s="2">
        <v>4860.9605451287807</v>
      </c>
      <c r="I930" s="2">
        <v>0</v>
      </c>
      <c r="J930" s="2">
        <v>1</v>
      </c>
    </row>
    <row r="931" spans="1:10" x14ac:dyDescent="0.25">
      <c r="A931" s="2">
        <v>41</v>
      </c>
      <c r="B931" s="2" t="s">
        <v>11</v>
      </c>
      <c r="C931" s="2">
        <v>34.200000000000003</v>
      </c>
      <c r="D931" s="2">
        <v>1</v>
      </c>
      <c r="E931" s="2" t="s">
        <v>12</v>
      </c>
      <c r="F931" s="2" t="s">
        <v>13</v>
      </c>
      <c r="G931" s="2">
        <v>5853.7689729516287</v>
      </c>
      <c r="H931" s="2">
        <v>5575.0180694777437</v>
      </c>
      <c r="I931" s="2">
        <v>0</v>
      </c>
      <c r="J931" s="2">
        <v>1</v>
      </c>
    </row>
    <row r="932" spans="1:10" x14ac:dyDescent="0.25">
      <c r="A932" s="2">
        <v>26</v>
      </c>
      <c r="B932" s="2" t="s">
        <v>11</v>
      </c>
      <c r="C932" s="2">
        <v>24.8</v>
      </c>
      <c r="D932" s="2">
        <v>1</v>
      </c>
      <c r="E932" s="2" t="s">
        <v>12</v>
      </c>
      <c r="F932" s="2" t="s">
        <v>13</v>
      </c>
      <c r="G932" s="2">
        <v>2159.4985021787834</v>
      </c>
      <c r="H932" s="2">
        <v>2540.5864731515107</v>
      </c>
      <c r="I932" s="2">
        <v>0</v>
      </c>
      <c r="J932" s="2">
        <v>0</v>
      </c>
    </row>
    <row r="933" spans="1:10" x14ac:dyDescent="0.25">
      <c r="A933" s="2">
        <v>39</v>
      </c>
      <c r="B933" s="2" t="s">
        <v>8</v>
      </c>
      <c r="C933" s="2">
        <v>32.5</v>
      </c>
      <c r="D933" s="2">
        <v>1</v>
      </c>
      <c r="E933" s="2" t="s">
        <v>12</v>
      </c>
      <c r="F933" s="2" t="s">
        <v>21</v>
      </c>
      <c r="G933" s="2">
        <v>4738.7862707587701</v>
      </c>
      <c r="H933" s="2">
        <v>4513.1297816750211</v>
      </c>
      <c r="I933" s="2">
        <v>0</v>
      </c>
      <c r="J933" s="2">
        <v>1</v>
      </c>
    </row>
    <row r="934" spans="1:10" x14ac:dyDescent="0.25">
      <c r="A934" s="2">
        <v>46</v>
      </c>
      <c r="B934" s="2" t="s">
        <v>11</v>
      </c>
      <c r="C934" s="2">
        <v>25.8</v>
      </c>
      <c r="D934" s="2">
        <v>5</v>
      </c>
      <c r="E934" s="2" t="s">
        <v>12</v>
      </c>
      <c r="F934" s="2" t="s">
        <v>21</v>
      </c>
      <c r="G934" s="2">
        <v>2908.8249599751643</v>
      </c>
      <c r="H934" s="2">
        <v>3878.4332799668859</v>
      </c>
      <c r="I934" s="2">
        <v>0</v>
      </c>
      <c r="J934" s="2">
        <v>3</v>
      </c>
    </row>
    <row r="935" spans="1:10" x14ac:dyDescent="0.25">
      <c r="A935" s="2">
        <v>45</v>
      </c>
      <c r="B935" s="2" t="s">
        <v>8</v>
      </c>
      <c r="C935" s="2">
        <v>35.299999999999997</v>
      </c>
      <c r="D935" s="2">
        <v>0</v>
      </c>
      <c r="E935" s="2" t="s">
        <v>12</v>
      </c>
      <c r="F935" s="2" t="s">
        <v>21</v>
      </c>
      <c r="G935" s="2">
        <v>4634.197722805704</v>
      </c>
      <c r="H935" s="2">
        <v>4413.5216407673397</v>
      </c>
      <c r="I935" s="2">
        <v>0</v>
      </c>
      <c r="J935" s="2">
        <v>1</v>
      </c>
    </row>
    <row r="936" spans="1:10" x14ac:dyDescent="0.25">
      <c r="A936" s="2">
        <v>32</v>
      </c>
      <c r="B936" s="2" t="s">
        <v>11</v>
      </c>
      <c r="C936" s="2">
        <v>37.200000000000003</v>
      </c>
      <c r="D936" s="2">
        <v>2</v>
      </c>
      <c r="E936" s="2" t="s">
        <v>12</v>
      </c>
      <c r="F936" s="2" t="s">
        <v>13</v>
      </c>
      <c r="G936" s="2">
        <v>1195.1144418859617</v>
      </c>
      <c r="H936" s="2">
        <v>1593.4859225146156</v>
      </c>
      <c r="I936" s="2">
        <v>0</v>
      </c>
      <c r="J936" s="2">
        <v>3</v>
      </c>
    </row>
    <row r="937" spans="1:10" x14ac:dyDescent="0.25">
      <c r="A937" s="2">
        <v>59</v>
      </c>
      <c r="B937" s="2" t="s">
        <v>8</v>
      </c>
      <c r="C937" s="2">
        <v>27.5</v>
      </c>
      <c r="D937" s="2">
        <v>0</v>
      </c>
      <c r="E937" s="2" t="s">
        <v>12</v>
      </c>
      <c r="F937" s="2" t="s">
        <v>21</v>
      </c>
      <c r="G937" s="2">
        <v>3748.0907580991352</v>
      </c>
      <c r="H937" s="2">
        <v>3569.6102458087016</v>
      </c>
      <c r="I937" s="2">
        <v>0</v>
      </c>
      <c r="J937" s="2">
        <v>1</v>
      </c>
    </row>
    <row r="938" spans="1:10" x14ac:dyDescent="0.25">
      <c r="A938" s="2">
        <v>44</v>
      </c>
      <c r="B938" s="2" t="s">
        <v>11</v>
      </c>
      <c r="C938" s="2">
        <v>29.7</v>
      </c>
      <c r="D938" s="2">
        <v>2</v>
      </c>
      <c r="E938" s="2" t="s">
        <v>12</v>
      </c>
      <c r="F938" s="2" t="s">
        <v>15</v>
      </c>
      <c r="G938" s="2">
        <v>1991.7343408332922</v>
      </c>
      <c r="H938" s="2">
        <v>2655.6457877777229</v>
      </c>
      <c r="I938" s="2">
        <v>0</v>
      </c>
      <c r="J938" s="2">
        <v>3</v>
      </c>
    </row>
    <row r="939" spans="1:10" x14ac:dyDescent="0.25">
      <c r="A939" s="2">
        <v>39</v>
      </c>
      <c r="B939" s="2" t="s">
        <v>8</v>
      </c>
      <c r="C939" s="2">
        <v>24.2</v>
      </c>
      <c r="D939" s="2">
        <v>5</v>
      </c>
      <c r="E939" s="2" t="s">
        <v>12</v>
      </c>
      <c r="F939" s="2" t="s">
        <v>20</v>
      </c>
      <c r="G939" s="2">
        <v>2045.1336893124837</v>
      </c>
      <c r="H939" s="2">
        <v>2726.8449190833117</v>
      </c>
      <c r="I939" s="2">
        <v>0</v>
      </c>
      <c r="J939" s="2">
        <v>3</v>
      </c>
    </row>
    <row r="940" spans="1:10" x14ac:dyDescent="0.25">
      <c r="A940" s="2">
        <v>18</v>
      </c>
      <c r="B940" s="2" t="s">
        <v>11</v>
      </c>
      <c r="C940" s="2">
        <v>24.1</v>
      </c>
      <c r="D940" s="2">
        <v>2</v>
      </c>
      <c r="E940" s="2" t="s">
        <v>12</v>
      </c>
      <c r="F940" s="2" t="s">
        <v>13</v>
      </c>
      <c r="G940" s="2">
        <v>1993.5286535701073</v>
      </c>
      <c r="H940" s="2">
        <v>2345.327827729539</v>
      </c>
      <c r="I940" s="2">
        <v>0</v>
      </c>
      <c r="J940" s="2">
        <v>0</v>
      </c>
    </row>
    <row r="941" spans="1:10" x14ac:dyDescent="0.25">
      <c r="A941" s="2">
        <v>53</v>
      </c>
      <c r="B941" s="2" t="s">
        <v>11</v>
      </c>
      <c r="C941" s="2">
        <v>29.5</v>
      </c>
      <c r="D941" s="2">
        <v>0</v>
      </c>
      <c r="E941" s="2" t="s">
        <v>12</v>
      </c>
      <c r="F941" s="2" t="s">
        <v>13</v>
      </c>
      <c r="G941" s="2">
        <v>4305.9896667013745</v>
      </c>
      <c r="H941" s="2">
        <v>4100.9425397155965</v>
      </c>
      <c r="I941" s="2">
        <v>0</v>
      </c>
      <c r="J941" s="2">
        <v>1</v>
      </c>
    </row>
    <row r="942" spans="1:10" x14ac:dyDescent="0.25">
      <c r="A942" s="2">
        <v>18</v>
      </c>
      <c r="B942" s="2" t="s">
        <v>11</v>
      </c>
      <c r="C942" s="2">
        <v>21.9</v>
      </c>
      <c r="D942" s="2">
        <v>0</v>
      </c>
      <c r="E942" s="2" t="s">
        <v>12</v>
      </c>
      <c r="F942" s="2" t="s">
        <v>13</v>
      </c>
      <c r="G942" s="2">
        <v>1726.6036829724653</v>
      </c>
      <c r="H942" s="2">
        <v>2031.2984505558422</v>
      </c>
      <c r="I942" s="2">
        <v>0</v>
      </c>
      <c r="J942" s="2">
        <v>0</v>
      </c>
    </row>
    <row r="943" spans="1:10" x14ac:dyDescent="0.25">
      <c r="A943" s="2">
        <v>50</v>
      </c>
      <c r="B943" s="2" t="s">
        <v>8</v>
      </c>
      <c r="C943" s="2">
        <v>46.1</v>
      </c>
      <c r="D943" s="2">
        <v>1</v>
      </c>
      <c r="E943" s="2" t="s">
        <v>12</v>
      </c>
      <c r="F943" s="2" t="s">
        <v>13</v>
      </c>
      <c r="G943" s="2">
        <v>4766.0691013072192</v>
      </c>
      <c r="H943" s="2">
        <v>4539.1134298164015</v>
      </c>
      <c r="I943" s="2">
        <v>0</v>
      </c>
      <c r="J943" s="2">
        <v>1</v>
      </c>
    </row>
    <row r="944" spans="1:10" x14ac:dyDescent="0.25">
      <c r="A944" s="2">
        <v>18</v>
      </c>
      <c r="B944" s="2" t="s">
        <v>8</v>
      </c>
      <c r="C944" s="2">
        <v>20.6</v>
      </c>
      <c r="D944" s="2">
        <v>0</v>
      </c>
      <c r="E944" s="2" t="s">
        <v>12</v>
      </c>
      <c r="F944" s="2" t="s">
        <v>15</v>
      </c>
      <c r="G944" s="2">
        <v>1771.6485956756085</v>
      </c>
      <c r="H944" s="2">
        <v>2084.2924655007164</v>
      </c>
      <c r="I944" s="2">
        <v>0</v>
      </c>
      <c r="J944" s="2">
        <v>0</v>
      </c>
    </row>
    <row r="945" spans="1:10" x14ac:dyDescent="0.25">
      <c r="A945" s="2">
        <v>19</v>
      </c>
      <c r="B945" s="2" t="s">
        <v>11</v>
      </c>
      <c r="C945" s="2">
        <v>25.9</v>
      </c>
      <c r="D945" s="2">
        <v>0</v>
      </c>
      <c r="E945" s="2" t="s">
        <v>12</v>
      </c>
      <c r="F945" s="2" t="s">
        <v>20</v>
      </c>
      <c r="G945" s="2">
        <v>2420.9035345758966</v>
      </c>
      <c r="H945" s="2">
        <v>2848.1218053834082</v>
      </c>
      <c r="I945" s="2">
        <v>0</v>
      </c>
      <c r="J945" s="2">
        <v>0</v>
      </c>
    </row>
    <row r="946" spans="1:10" x14ac:dyDescent="0.25">
      <c r="A946" s="2">
        <v>62</v>
      </c>
      <c r="B946" s="2" t="s">
        <v>11</v>
      </c>
      <c r="C946" s="2">
        <v>39.9</v>
      </c>
      <c r="D946" s="2">
        <v>0</v>
      </c>
      <c r="E946" s="2" t="s">
        <v>12</v>
      </c>
      <c r="F946" s="2" t="s">
        <v>13</v>
      </c>
      <c r="G946" s="2">
        <v>5641.0042762441126</v>
      </c>
      <c r="H946" s="2">
        <v>5372.3850249943953</v>
      </c>
      <c r="I946" s="2">
        <v>0</v>
      </c>
      <c r="J946" s="2">
        <v>1</v>
      </c>
    </row>
    <row r="947" spans="1:10" x14ac:dyDescent="0.25">
      <c r="A947" s="2">
        <v>56</v>
      </c>
      <c r="B947" s="2" t="s">
        <v>8</v>
      </c>
      <c r="C947" s="2">
        <v>35.799999999999997</v>
      </c>
      <c r="D947" s="2">
        <v>1</v>
      </c>
      <c r="E947" s="2" t="s">
        <v>12</v>
      </c>
      <c r="F947" s="2" t="s">
        <v>21</v>
      </c>
      <c r="G947" s="2">
        <v>5114.507183024185</v>
      </c>
      <c r="H947" s="2">
        <v>4870.9592219277965</v>
      </c>
      <c r="I947" s="2">
        <v>0</v>
      </c>
      <c r="J947" s="2">
        <v>1</v>
      </c>
    </row>
    <row r="948" spans="1:10" x14ac:dyDescent="0.25">
      <c r="A948" s="2">
        <v>42</v>
      </c>
      <c r="B948" s="2" t="s">
        <v>11</v>
      </c>
      <c r="C948" s="2">
        <v>35.799999999999997</v>
      </c>
      <c r="D948" s="2">
        <v>2</v>
      </c>
      <c r="E948" s="2" t="s">
        <v>12</v>
      </c>
      <c r="F948" s="2" t="s">
        <v>21</v>
      </c>
      <c r="G948" s="2">
        <v>1482.1605114776703</v>
      </c>
      <c r="H948" s="2">
        <v>1976.2140153035602</v>
      </c>
      <c r="I948" s="2">
        <v>0</v>
      </c>
      <c r="J948" s="2">
        <v>3</v>
      </c>
    </row>
    <row r="949" spans="1:10" x14ac:dyDescent="0.25">
      <c r="A949" s="2">
        <v>37</v>
      </c>
      <c r="B949" s="2" t="s">
        <v>11</v>
      </c>
      <c r="C949" s="2">
        <v>23.2</v>
      </c>
      <c r="D949" s="2">
        <v>1</v>
      </c>
      <c r="E949" s="2" t="s">
        <v>9</v>
      </c>
      <c r="F949" s="2" t="s">
        <v>15</v>
      </c>
      <c r="G949" s="2">
        <v>2072.9486054546269</v>
      </c>
      <c r="H949" s="2">
        <v>2438.7630652407383</v>
      </c>
      <c r="I949" s="2">
        <v>1</v>
      </c>
      <c r="J949" s="2">
        <v>2</v>
      </c>
    </row>
    <row r="950" spans="1:10" x14ac:dyDescent="0.25">
      <c r="A950" s="2">
        <v>42</v>
      </c>
      <c r="B950" s="2" t="s">
        <v>11</v>
      </c>
      <c r="C950" s="2">
        <v>31.3</v>
      </c>
      <c r="D950" s="2">
        <v>0</v>
      </c>
      <c r="E950" s="2" t="s">
        <v>12</v>
      </c>
      <c r="F950" s="2" t="s">
        <v>20</v>
      </c>
      <c r="G950" s="2">
        <v>5129.0195165136211</v>
      </c>
      <c r="H950" s="2">
        <v>4884.7804919177361</v>
      </c>
      <c r="I950" s="2">
        <v>0</v>
      </c>
      <c r="J950" s="2">
        <v>1</v>
      </c>
    </row>
    <row r="951" spans="1:10" x14ac:dyDescent="0.25">
      <c r="A951" s="2">
        <v>25</v>
      </c>
      <c r="B951" s="2" t="s">
        <v>11</v>
      </c>
      <c r="C951" s="2">
        <v>29.7</v>
      </c>
      <c r="D951" s="2">
        <v>3</v>
      </c>
      <c r="E951" s="2" t="s">
        <v>9</v>
      </c>
      <c r="F951" s="2" t="s">
        <v>21</v>
      </c>
      <c r="G951" s="2">
        <v>1379.3314107734902</v>
      </c>
      <c r="H951" s="2">
        <v>1839.108547697987</v>
      </c>
      <c r="I951" s="2">
        <v>1</v>
      </c>
      <c r="J951" s="2">
        <v>2</v>
      </c>
    </row>
    <row r="952" spans="1:10" x14ac:dyDescent="0.25">
      <c r="A952" s="2">
        <v>57</v>
      </c>
      <c r="B952" s="2" t="s">
        <v>11</v>
      </c>
      <c r="C952" s="2">
        <v>18.3</v>
      </c>
      <c r="D952" s="2">
        <v>0</v>
      </c>
      <c r="E952" s="2" t="s">
        <v>12</v>
      </c>
      <c r="F952" s="2" t="s">
        <v>15</v>
      </c>
      <c r="G952" s="2">
        <v>4455.784174969016</v>
      </c>
      <c r="H952" s="2">
        <v>4243.6039761609682</v>
      </c>
      <c r="I952" s="2">
        <v>0</v>
      </c>
      <c r="J952" s="2">
        <v>1</v>
      </c>
    </row>
    <row r="953" spans="1:10" x14ac:dyDescent="0.25">
      <c r="A953" s="2">
        <v>51</v>
      </c>
      <c r="B953" s="2" t="s">
        <v>11</v>
      </c>
      <c r="C953" s="2">
        <v>42.9</v>
      </c>
      <c r="D953" s="2">
        <v>2</v>
      </c>
      <c r="E953" s="2" t="s">
        <v>9</v>
      </c>
      <c r="F953" s="2" t="s">
        <v>13</v>
      </c>
      <c r="G953" s="2">
        <v>1486.3025655177278</v>
      </c>
      <c r="H953" s="2">
        <v>1981.7367540236371</v>
      </c>
      <c r="I953" s="2">
        <v>1</v>
      </c>
      <c r="J953" s="2">
        <v>2</v>
      </c>
    </row>
    <row r="954" spans="1:10" x14ac:dyDescent="0.25">
      <c r="A954" s="2">
        <v>30</v>
      </c>
      <c r="B954" s="2" t="s">
        <v>8</v>
      </c>
      <c r="C954" s="2">
        <v>22.9</v>
      </c>
      <c r="D954" s="2">
        <v>1</v>
      </c>
      <c r="E954" s="2" t="s">
        <v>12</v>
      </c>
      <c r="F954" s="2" t="s">
        <v>20</v>
      </c>
      <c r="G954" s="2">
        <v>1887.3664341826695</v>
      </c>
      <c r="H954" s="2">
        <v>2220.4310990384356</v>
      </c>
      <c r="I954" s="2">
        <v>0</v>
      </c>
      <c r="J954" s="2">
        <v>0</v>
      </c>
    </row>
    <row r="955" spans="1:10" x14ac:dyDescent="0.25">
      <c r="A955" s="2">
        <v>44</v>
      </c>
      <c r="B955" s="2" t="s">
        <v>11</v>
      </c>
      <c r="C955" s="2">
        <v>30.2</v>
      </c>
      <c r="D955" s="2">
        <v>2</v>
      </c>
      <c r="E955" s="2" t="s">
        <v>9</v>
      </c>
      <c r="F955" s="2" t="s">
        <v>21</v>
      </c>
      <c r="G955" s="2">
        <v>2614.4294681652291</v>
      </c>
      <c r="H955" s="2">
        <v>3485.9059575536389</v>
      </c>
      <c r="I955" s="2">
        <v>1</v>
      </c>
      <c r="J955" s="2">
        <v>2</v>
      </c>
    </row>
    <row r="956" spans="1:10" x14ac:dyDescent="0.25">
      <c r="A956" s="2">
        <v>34</v>
      </c>
      <c r="B956" s="2" t="s">
        <v>11</v>
      </c>
      <c r="C956" s="2">
        <v>21</v>
      </c>
      <c r="D956" s="2">
        <v>1</v>
      </c>
      <c r="E956" s="2" t="s">
        <v>9</v>
      </c>
      <c r="F956" s="2" t="s">
        <v>20</v>
      </c>
      <c r="G956" s="2">
        <v>1969.7855385426235</v>
      </c>
      <c r="H956" s="2">
        <v>2317.3947512266168</v>
      </c>
      <c r="I956" s="2">
        <v>1</v>
      </c>
      <c r="J956" s="2">
        <v>2</v>
      </c>
    </row>
    <row r="957" spans="1:10" x14ac:dyDescent="0.25">
      <c r="A957" s="2">
        <v>31</v>
      </c>
      <c r="B957" s="2" t="s">
        <v>11</v>
      </c>
      <c r="C957" s="2">
        <v>24.5</v>
      </c>
      <c r="D957" s="2">
        <v>1</v>
      </c>
      <c r="E957" s="2" t="s">
        <v>12</v>
      </c>
      <c r="F957" s="2" t="s">
        <v>13</v>
      </c>
      <c r="G957" s="2">
        <v>1389.7174870067754</v>
      </c>
      <c r="H957" s="2">
        <v>1634.9617494197364</v>
      </c>
      <c r="I957" s="2">
        <v>0</v>
      </c>
      <c r="J957" s="2">
        <v>0</v>
      </c>
    </row>
    <row r="958" spans="1:10" x14ac:dyDescent="0.25">
      <c r="A958" s="2">
        <v>54</v>
      </c>
      <c r="B958" s="2" t="s">
        <v>11</v>
      </c>
      <c r="C958" s="2">
        <v>30.8</v>
      </c>
      <c r="D958" s="2">
        <v>1</v>
      </c>
      <c r="E958" s="2" t="s">
        <v>9</v>
      </c>
      <c r="F958" s="2" t="s">
        <v>13</v>
      </c>
      <c r="G958" s="2">
        <v>4704.9505413290435</v>
      </c>
      <c r="H958" s="2">
        <v>4480.9052774562333</v>
      </c>
      <c r="I958" s="2">
        <v>1</v>
      </c>
      <c r="J958" s="2">
        <v>2</v>
      </c>
    </row>
    <row r="959" spans="1:10" x14ac:dyDescent="0.25">
      <c r="A959" s="2">
        <v>24</v>
      </c>
      <c r="B959" s="2" t="s">
        <v>11</v>
      </c>
      <c r="C959" s="2">
        <v>21.8</v>
      </c>
      <c r="D959" s="2">
        <v>1</v>
      </c>
      <c r="E959" s="2" t="s">
        <v>12</v>
      </c>
      <c r="F959" s="2" t="s">
        <v>20</v>
      </c>
      <c r="G959" s="2">
        <v>1496.7532740311417</v>
      </c>
      <c r="H959" s="2">
        <v>1760.8862047425202</v>
      </c>
      <c r="I959" s="2">
        <v>0</v>
      </c>
      <c r="J959" s="2">
        <v>0</v>
      </c>
    </row>
    <row r="960" spans="1:10" x14ac:dyDescent="0.25">
      <c r="A960" s="2">
        <v>43</v>
      </c>
      <c r="B960" s="2" t="s">
        <v>11</v>
      </c>
      <c r="C960" s="2">
        <v>35</v>
      </c>
      <c r="D960" s="2">
        <v>1</v>
      </c>
      <c r="E960" s="2" t="s">
        <v>9</v>
      </c>
      <c r="F960" s="2" t="s">
        <v>15</v>
      </c>
      <c r="G960" s="2">
        <v>4552.5590622095615</v>
      </c>
      <c r="H960" s="2">
        <v>4335.7705354376794</v>
      </c>
      <c r="I960" s="2">
        <v>1</v>
      </c>
      <c r="J960" s="2">
        <v>2</v>
      </c>
    </row>
    <row r="961" spans="1:10" x14ac:dyDescent="0.25">
      <c r="A961" s="2">
        <v>48</v>
      </c>
      <c r="B961" s="2" t="s">
        <v>11</v>
      </c>
      <c r="C961" s="2">
        <v>36.700000000000003</v>
      </c>
      <c r="D961" s="2">
        <v>1</v>
      </c>
      <c r="E961" s="2" t="s">
        <v>12</v>
      </c>
      <c r="F961" s="2" t="s">
        <v>20</v>
      </c>
      <c r="G961" s="2">
        <v>5582.7676685535962</v>
      </c>
      <c r="H961" s="2">
        <v>5316.9215890986643</v>
      </c>
      <c r="I961" s="2">
        <v>0</v>
      </c>
      <c r="J961" s="2">
        <v>1</v>
      </c>
    </row>
    <row r="962" spans="1:10" x14ac:dyDescent="0.25">
      <c r="A962" s="2">
        <v>19</v>
      </c>
      <c r="B962" s="2" t="s">
        <v>8</v>
      </c>
      <c r="C962" s="2">
        <v>22.2</v>
      </c>
      <c r="D962" s="2">
        <v>1</v>
      </c>
      <c r="E962" s="2" t="s">
        <v>12</v>
      </c>
      <c r="F962" s="2" t="s">
        <v>20</v>
      </c>
      <c r="G962" s="2">
        <v>1804.5393621372</v>
      </c>
      <c r="H962" s="2">
        <v>2122.9874848672948</v>
      </c>
      <c r="I962" s="2">
        <v>0</v>
      </c>
      <c r="J962" s="2">
        <v>0</v>
      </c>
    </row>
    <row r="963" spans="1:10" x14ac:dyDescent="0.25">
      <c r="A963" s="2">
        <v>29</v>
      </c>
      <c r="B963" s="2" t="s">
        <v>8</v>
      </c>
      <c r="C963" s="2">
        <v>24.2</v>
      </c>
      <c r="D963" s="2">
        <v>0</v>
      </c>
      <c r="E963" s="2" t="s">
        <v>12</v>
      </c>
      <c r="F963" s="2" t="s">
        <v>21</v>
      </c>
      <c r="G963" s="2">
        <v>1351.6807634551587</v>
      </c>
      <c r="H963" s="2">
        <v>1590.212662888423</v>
      </c>
      <c r="I963" s="2">
        <v>0</v>
      </c>
      <c r="J963" s="2">
        <v>0</v>
      </c>
    </row>
    <row r="964" spans="1:10" x14ac:dyDescent="0.25">
      <c r="A964" s="2">
        <v>63</v>
      </c>
      <c r="B964" s="2" t="s">
        <v>8</v>
      </c>
      <c r="C964" s="2">
        <v>35.200000000000003</v>
      </c>
      <c r="D964" s="2">
        <v>1</v>
      </c>
      <c r="E964" s="2" t="s">
        <v>12</v>
      </c>
      <c r="F964" s="2" t="s">
        <v>13</v>
      </c>
      <c r="G964" s="2">
        <v>3665.9652278932435</v>
      </c>
      <c r="H964" s="2">
        <v>3491.3954551364241</v>
      </c>
      <c r="I964" s="2">
        <v>0</v>
      </c>
      <c r="J964" s="2">
        <v>1</v>
      </c>
    </row>
    <row r="965" spans="1:10" x14ac:dyDescent="0.25">
      <c r="A965" s="2">
        <v>46</v>
      </c>
      <c r="B965" s="2" t="s">
        <v>11</v>
      </c>
      <c r="C965" s="2">
        <v>24.8</v>
      </c>
      <c r="D965" s="2">
        <v>3</v>
      </c>
      <c r="E965" s="2" t="s">
        <v>12</v>
      </c>
      <c r="F965" s="2" t="s">
        <v>15</v>
      </c>
      <c r="G965" s="2">
        <v>1964.3563993243633</v>
      </c>
      <c r="H965" s="2">
        <v>2619.1418657658178</v>
      </c>
      <c r="I965" s="2">
        <v>0</v>
      </c>
      <c r="J965" s="2">
        <v>3</v>
      </c>
    </row>
    <row r="966" spans="1:10" x14ac:dyDescent="0.25">
      <c r="A966" s="2">
        <v>52</v>
      </c>
      <c r="B966" s="2" t="s">
        <v>11</v>
      </c>
      <c r="C966" s="2">
        <v>36.799999999999997</v>
      </c>
      <c r="D966" s="2">
        <v>2</v>
      </c>
      <c r="E966" s="2" t="s">
        <v>12</v>
      </c>
      <c r="F966" s="2" t="s">
        <v>20</v>
      </c>
      <c r="G966" s="2">
        <v>2875.5592623193897</v>
      </c>
      <c r="H966" s="2">
        <v>3834.0790164258528</v>
      </c>
      <c r="I966" s="2">
        <v>0</v>
      </c>
      <c r="J966" s="2">
        <v>3</v>
      </c>
    </row>
    <row r="967" spans="1:10" x14ac:dyDescent="0.25">
      <c r="A967" s="2">
        <v>35</v>
      </c>
      <c r="B967" s="2" t="s">
        <v>11</v>
      </c>
      <c r="C967" s="2">
        <v>22.8</v>
      </c>
      <c r="D967" s="2">
        <v>1</v>
      </c>
      <c r="E967" s="2" t="s">
        <v>12</v>
      </c>
      <c r="F967" s="2" t="s">
        <v>21</v>
      </c>
      <c r="G967" s="2">
        <v>2352.0785190737251</v>
      </c>
      <c r="H967" s="2">
        <v>2767.1511989102655</v>
      </c>
      <c r="I967" s="2">
        <v>0</v>
      </c>
      <c r="J967" s="2">
        <v>0</v>
      </c>
    </row>
    <row r="968" spans="1:10" x14ac:dyDescent="0.25">
      <c r="A968" s="2">
        <v>51</v>
      </c>
      <c r="B968" s="2" t="s">
        <v>11</v>
      </c>
      <c r="C968" s="2">
        <v>24.8</v>
      </c>
      <c r="D968" s="2">
        <v>2</v>
      </c>
      <c r="E968" s="2" t="s">
        <v>9</v>
      </c>
      <c r="F968" s="2" t="s">
        <v>20</v>
      </c>
      <c r="G968" s="2">
        <v>1132.3082351699097</v>
      </c>
      <c r="H968" s="2">
        <v>1509.7443135598796</v>
      </c>
      <c r="I968" s="2">
        <v>1</v>
      </c>
      <c r="J968" s="2">
        <v>2</v>
      </c>
    </row>
    <row r="969" spans="1:10" x14ac:dyDescent="0.25">
      <c r="A969" s="2">
        <v>44</v>
      </c>
      <c r="B969" s="2" t="s">
        <v>11</v>
      </c>
      <c r="C969" s="2">
        <v>25.4</v>
      </c>
      <c r="D969" s="2">
        <v>1</v>
      </c>
      <c r="E969" s="2" t="s">
        <v>12</v>
      </c>
      <c r="F969" s="2" t="s">
        <v>20</v>
      </c>
      <c r="G969" s="2">
        <v>5454.4138247744213</v>
      </c>
      <c r="H969" s="2">
        <v>5194.6798331184973</v>
      </c>
      <c r="I969" s="2">
        <v>0</v>
      </c>
      <c r="J969" s="2">
        <v>1</v>
      </c>
    </row>
    <row r="970" spans="1:10" x14ac:dyDescent="0.25">
      <c r="A970" s="2">
        <v>21</v>
      </c>
      <c r="B970" s="2" t="s">
        <v>11</v>
      </c>
      <c r="C970" s="2">
        <v>20.9</v>
      </c>
      <c r="D970" s="2">
        <v>2</v>
      </c>
      <c r="E970" s="2" t="s">
        <v>12</v>
      </c>
      <c r="F970" s="2" t="s">
        <v>15</v>
      </c>
      <c r="G970" s="2">
        <v>1403.0816527221398</v>
      </c>
      <c r="H970" s="2">
        <v>1650.6842973201651</v>
      </c>
      <c r="I970" s="2">
        <v>0</v>
      </c>
      <c r="J970" s="2">
        <v>0</v>
      </c>
    </row>
    <row r="971" spans="1:10" x14ac:dyDescent="0.25">
      <c r="A971" s="2">
        <v>39</v>
      </c>
      <c r="B971" s="2" t="s">
        <v>8</v>
      </c>
      <c r="C971" s="2">
        <v>34.299999999999997</v>
      </c>
      <c r="D971" s="2">
        <v>5</v>
      </c>
      <c r="E971" s="2" t="s">
        <v>12</v>
      </c>
      <c r="F971" s="2" t="s">
        <v>13</v>
      </c>
      <c r="G971" s="2">
        <v>2547.6084435938524</v>
      </c>
      <c r="H971" s="2">
        <v>3396.8112581251366</v>
      </c>
      <c r="I971" s="2">
        <v>0</v>
      </c>
      <c r="J971" s="2">
        <v>3</v>
      </c>
    </row>
    <row r="972" spans="1:10" x14ac:dyDescent="0.25">
      <c r="A972" s="2">
        <v>50</v>
      </c>
      <c r="B972" s="2" t="s">
        <v>8</v>
      </c>
      <c r="C972" s="2">
        <v>28.2</v>
      </c>
      <c r="D972" s="2">
        <v>3</v>
      </c>
      <c r="E972" s="2" t="s">
        <v>12</v>
      </c>
      <c r="F972" s="2" t="s">
        <v>13</v>
      </c>
      <c r="G972" s="2">
        <v>1467.3926728822039</v>
      </c>
      <c r="H972" s="2">
        <v>1956.5235638429385</v>
      </c>
      <c r="I972" s="2">
        <v>0</v>
      </c>
      <c r="J972" s="2">
        <v>3</v>
      </c>
    </row>
    <row r="973" spans="1:10" x14ac:dyDescent="0.25">
      <c r="A973" s="2">
        <v>34</v>
      </c>
      <c r="B973" s="2" t="s">
        <v>8</v>
      </c>
      <c r="C973" s="2">
        <v>24</v>
      </c>
      <c r="D973" s="2">
        <v>0</v>
      </c>
      <c r="E973" s="2" t="s">
        <v>12</v>
      </c>
      <c r="F973" s="2" t="s">
        <v>15</v>
      </c>
      <c r="G973" s="2">
        <v>1906.9283398824975</v>
      </c>
      <c r="H973" s="2">
        <v>2243.4451057441156</v>
      </c>
      <c r="I973" s="2">
        <v>0</v>
      </c>
      <c r="J973" s="2">
        <v>0</v>
      </c>
    </row>
    <row r="974" spans="1:10" x14ac:dyDescent="0.25">
      <c r="A974" s="2">
        <v>22</v>
      </c>
      <c r="B974" s="2" t="s">
        <v>8</v>
      </c>
      <c r="C974" s="2">
        <v>24.3</v>
      </c>
      <c r="D974" s="2">
        <v>0</v>
      </c>
      <c r="E974" s="2" t="s">
        <v>12</v>
      </c>
      <c r="F974" s="2" t="s">
        <v>20</v>
      </c>
      <c r="G974" s="2">
        <v>1260.7220818981373</v>
      </c>
      <c r="H974" s="2">
        <v>1483.202449291927</v>
      </c>
      <c r="I974" s="2">
        <v>0</v>
      </c>
      <c r="J974" s="2">
        <v>0</v>
      </c>
    </row>
    <row r="975" spans="1:10" x14ac:dyDescent="0.25">
      <c r="A975" s="2">
        <v>19</v>
      </c>
      <c r="B975" s="2" t="s">
        <v>8</v>
      </c>
      <c r="C975" s="2">
        <v>22.6</v>
      </c>
      <c r="D975" s="2">
        <v>0</v>
      </c>
      <c r="E975" s="2" t="s">
        <v>12</v>
      </c>
      <c r="F975" s="2" t="s">
        <v>21</v>
      </c>
      <c r="G975" s="2">
        <v>1931.8381741817896</v>
      </c>
      <c r="H975" s="2">
        <v>2272.7507931550472</v>
      </c>
      <c r="I975" s="2">
        <v>0</v>
      </c>
      <c r="J975" s="2">
        <v>0</v>
      </c>
    </row>
    <row r="976" spans="1:10" x14ac:dyDescent="0.25">
      <c r="A976" s="2">
        <v>26</v>
      </c>
      <c r="B976" s="2" t="s">
        <v>11</v>
      </c>
      <c r="C976" s="2">
        <v>23.1</v>
      </c>
      <c r="D976" s="2">
        <v>0</v>
      </c>
      <c r="E976" s="2" t="s">
        <v>12</v>
      </c>
      <c r="F976" s="2" t="s">
        <v>13</v>
      </c>
      <c r="G976" s="2">
        <v>2189.6537841733875</v>
      </c>
      <c r="H976" s="2">
        <v>2576.0632754981034</v>
      </c>
      <c r="I976" s="2">
        <v>0</v>
      </c>
      <c r="J976" s="2">
        <v>0</v>
      </c>
    </row>
    <row r="977" spans="1:10" x14ac:dyDescent="0.25">
      <c r="A977" s="2">
        <v>29</v>
      </c>
      <c r="B977" s="2" t="s">
        <v>11</v>
      </c>
      <c r="C977" s="2">
        <v>22.4</v>
      </c>
      <c r="D977" s="2">
        <v>0</v>
      </c>
      <c r="E977" s="2" t="s">
        <v>9</v>
      </c>
      <c r="F977" s="2" t="s">
        <v>15</v>
      </c>
      <c r="G977" s="2">
        <v>1220.5400540318451</v>
      </c>
      <c r="H977" s="2">
        <v>1435.9294753315833</v>
      </c>
      <c r="I977" s="2">
        <v>1</v>
      </c>
      <c r="J977" s="2">
        <v>2</v>
      </c>
    </row>
    <row r="978" spans="1:10" x14ac:dyDescent="0.25">
      <c r="A978" s="2">
        <v>48</v>
      </c>
      <c r="B978" s="2" t="s">
        <v>11</v>
      </c>
      <c r="C978" s="2">
        <v>40.200000000000003</v>
      </c>
      <c r="D978" s="2">
        <v>0</v>
      </c>
      <c r="E978" s="2" t="s">
        <v>12</v>
      </c>
      <c r="F978" s="2" t="s">
        <v>13</v>
      </c>
      <c r="G978" s="2">
        <v>5966.8980066243748</v>
      </c>
      <c r="H978" s="2">
        <v>5682.7600063089294</v>
      </c>
      <c r="I978" s="2">
        <v>0</v>
      </c>
      <c r="J978" s="2">
        <v>1</v>
      </c>
    </row>
    <row r="979" spans="1:10" x14ac:dyDescent="0.25">
      <c r="A979" s="2">
        <v>26</v>
      </c>
      <c r="B979" s="2" t="s">
        <v>11</v>
      </c>
      <c r="C979" s="2">
        <v>21.6</v>
      </c>
      <c r="D979" s="2">
        <v>1</v>
      </c>
      <c r="E979" s="2" t="s">
        <v>12</v>
      </c>
      <c r="F979" s="2" t="s">
        <v>13</v>
      </c>
      <c r="G979" s="2">
        <v>1544.6230516973928</v>
      </c>
      <c r="H979" s="2">
        <v>1817.2035902322277</v>
      </c>
      <c r="I979" s="2">
        <v>0</v>
      </c>
      <c r="J979" s="2">
        <v>0</v>
      </c>
    </row>
    <row r="980" spans="1:10" x14ac:dyDescent="0.25">
      <c r="A980" s="2">
        <v>45</v>
      </c>
      <c r="B980" s="2" t="s">
        <v>8</v>
      </c>
      <c r="C980" s="2">
        <v>40</v>
      </c>
      <c r="D980" s="2">
        <v>3</v>
      </c>
      <c r="E980" s="2" t="s">
        <v>12</v>
      </c>
      <c r="F980" s="2" t="s">
        <v>15</v>
      </c>
      <c r="G980" s="2">
        <v>3207.2665926441268</v>
      </c>
      <c r="H980" s="2">
        <v>4276.3554568588361</v>
      </c>
      <c r="I980" s="2">
        <v>0</v>
      </c>
      <c r="J980" s="2">
        <v>3</v>
      </c>
    </row>
    <row r="981" spans="1:10" x14ac:dyDescent="0.25">
      <c r="A981" s="2">
        <v>36</v>
      </c>
      <c r="B981" s="2" t="s">
        <v>8</v>
      </c>
      <c r="C981" s="2">
        <v>25.9</v>
      </c>
      <c r="D981" s="2">
        <v>0</v>
      </c>
      <c r="E981" s="2" t="s">
        <v>12</v>
      </c>
      <c r="F981" s="2" t="s">
        <v>13</v>
      </c>
      <c r="G981" s="2">
        <v>1892.9240781170895</v>
      </c>
      <c r="H981" s="2">
        <v>2226.9695036671646</v>
      </c>
      <c r="I981" s="2">
        <v>0</v>
      </c>
      <c r="J981" s="2">
        <v>0</v>
      </c>
    </row>
    <row r="982" spans="1:10" x14ac:dyDescent="0.25">
      <c r="A982" s="2">
        <v>54</v>
      </c>
      <c r="B982" s="2" t="s">
        <v>11</v>
      </c>
      <c r="C982" s="2">
        <v>25.5</v>
      </c>
      <c r="D982" s="2">
        <v>1</v>
      </c>
      <c r="E982" s="2" t="s">
        <v>12</v>
      </c>
      <c r="F982" s="2" t="s">
        <v>15</v>
      </c>
      <c r="G982" s="2">
        <v>4333.4290508135618</v>
      </c>
      <c r="H982" s="2">
        <v>4127.0752864891083</v>
      </c>
      <c r="I982" s="2">
        <v>0</v>
      </c>
      <c r="J982" s="2">
        <v>1</v>
      </c>
    </row>
    <row r="983" spans="1:10" x14ac:dyDescent="0.25">
      <c r="A983" s="2">
        <v>34</v>
      </c>
      <c r="B983" s="2" t="s">
        <v>11</v>
      </c>
      <c r="C983" s="2">
        <v>24.7</v>
      </c>
      <c r="D983" s="2">
        <v>0</v>
      </c>
      <c r="E983" s="2" t="s">
        <v>12</v>
      </c>
      <c r="F983" s="2" t="s">
        <v>15</v>
      </c>
      <c r="G983" s="2">
        <v>1949.0969687850834</v>
      </c>
      <c r="H983" s="2">
        <v>2293.0552573942164</v>
      </c>
      <c r="I983" s="2">
        <v>0</v>
      </c>
      <c r="J983" s="2">
        <v>0</v>
      </c>
    </row>
    <row r="984" spans="1:10" x14ac:dyDescent="0.25">
      <c r="A984" s="2">
        <v>31</v>
      </c>
      <c r="B984" s="2" t="s">
        <v>11</v>
      </c>
      <c r="C984" s="2">
        <v>25.9</v>
      </c>
      <c r="D984" s="2">
        <v>3</v>
      </c>
      <c r="E984" s="2" t="s">
        <v>9</v>
      </c>
      <c r="F984" s="2" t="s">
        <v>21</v>
      </c>
      <c r="G984" s="2">
        <v>1935.5434393562218</v>
      </c>
      <c r="H984" s="2">
        <v>2580.7245858082956</v>
      </c>
      <c r="I984" s="2">
        <v>1</v>
      </c>
      <c r="J984" s="2">
        <v>2</v>
      </c>
    </row>
    <row r="985" spans="1:10" x14ac:dyDescent="0.25">
      <c r="A985" s="2">
        <v>27</v>
      </c>
      <c r="B985" s="2" t="s">
        <v>8</v>
      </c>
      <c r="C985" s="2">
        <v>20.9</v>
      </c>
      <c r="D985" s="2">
        <v>1</v>
      </c>
      <c r="E985" s="2" t="s">
        <v>12</v>
      </c>
      <c r="F985" s="2" t="s">
        <v>15</v>
      </c>
      <c r="G985" s="2">
        <v>1544.1241027969265</v>
      </c>
      <c r="H985" s="2">
        <v>1816.6165915257968</v>
      </c>
      <c r="I985" s="2">
        <v>0</v>
      </c>
      <c r="J985" s="2">
        <v>0</v>
      </c>
    </row>
    <row r="986" spans="1:10" x14ac:dyDescent="0.25">
      <c r="A986" s="2">
        <v>20</v>
      </c>
      <c r="B986" s="2" t="s">
        <v>11</v>
      </c>
      <c r="C986" s="2">
        <v>30.1</v>
      </c>
      <c r="D986" s="2">
        <v>5</v>
      </c>
      <c r="E986" s="2" t="s">
        <v>12</v>
      </c>
      <c r="F986" s="2" t="s">
        <v>15</v>
      </c>
      <c r="G986" s="2">
        <v>2711.1535046164736</v>
      </c>
      <c r="H986" s="2">
        <v>3614.8713394886313</v>
      </c>
      <c r="I986" s="2">
        <v>0</v>
      </c>
      <c r="J986" s="2">
        <v>3</v>
      </c>
    </row>
    <row r="987" spans="1:10" x14ac:dyDescent="0.25">
      <c r="A987" s="2">
        <v>44</v>
      </c>
      <c r="B987" s="2" t="s">
        <v>8</v>
      </c>
      <c r="C987" s="2">
        <v>25.8</v>
      </c>
      <c r="D987" s="2">
        <v>1</v>
      </c>
      <c r="E987" s="2" t="s">
        <v>12</v>
      </c>
      <c r="F987" s="2" t="s">
        <v>21</v>
      </c>
      <c r="G987" s="2">
        <v>4714.7495914632091</v>
      </c>
      <c r="H987" s="2">
        <v>4490.2377061554389</v>
      </c>
      <c r="I987" s="2">
        <v>0</v>
      </c>
      <c r="J987" s="2">
        <v>1</v>
      </c>
    </row>
    <row r="988" spans="1:10" x14ac:dyDescent="0.25">
      <c r="A988" s="2">
        <v>43</v>
      </c>
      <c r="B988" s="2" t="s">
        <v>11</v>
      </c>
      <c r="C988" s="2">
        <v>30.1</v>
      </c>
      <c r="D988" s="2">
        <v>3</v>
      </c>
      <c r="E988" s="2" t="s">
        <v>12</v>
      </c>
      <c r="F988" s="2" t="s">
        <v>20</v>
      </c>
      <c r="G988" s="2">
        <v>1541.8078776996376</v>
      </c>
      <c r="H988" s="2">
        <v>2055.7438369328502</v>
      </c>
      <c r="I988" s="2">
        <v>0</v>
      </c>
      <c r="J988" s="2">
        <v>3</v>
      </c>
    </row>
    <row r="989" spans="1:10" x14ac:dyDescent="0.25">
      <c r="A989" s="2">
        <v>45</v>
      </c>
      <c r="B989" s="2" t="s">
        <v>8</v>
      </c>
      <c r="C989" s="2">
        <v>27.6</v>
      </c>
      <c r="D989" s="2">
        <v>1</v>
      </c>
      <c r="E989" s="2" t="s">
        <v>12</v>
      </c>
      <c r="F989" s="2" t="s">
        <v>20</v>
      </c>
      <c r="G989" s="2">
        <v>4746.4517061873557</v>
      </c>
      <c r="H989" s="2">
        <v>4520.4301963689113</v>
      </c>
      <c r="I989" s="2">
        <v>0</v>
      </c>
      <c r="J989" s="2">
        <v>1</v>
      </c>
    </row>
    <row r="990" spans="1:10" x14ac:dyDescent="0.25">
      <c r="A990" s="2">
        <v>34</v>
      </c>
      <c r="B990" s="2" t="s">
        <v>11</v>
      </c>
      <c r="C990" s="2">
        <v>23.5</v>
      </c>
      <c r="D990" s="2">
        <v>0</v>
      </c>
      <c r="E990" s="2" t="s">
        <v>12</v>
      </c>
      <c r="F990" s="2" t="s">
        <v>15</v>
      </c>
      <c r="G990" s="2">
        <v>2782.6500840160506</v>
      </c>
      <c r="H990" s="2">
        <v>3273.705981195355</v>
      </c>
      <c r="I990" s="2">
        <v>0</v>
      </c>
      <c r="J990" s="2">
        <v>0</v>
      </c>
    </row>
    <row r="991" spans="1:10" x14ac:dyDescent="0.25">
      <c r="A991" s="2">
        <v>24</v>
      </c>
      <c r="B991" s="2" t="s">
        <v>8</v>
      </c>
      <c r="C991" s="2">
        <v>22.3</v>
      </c>
      <c r="D991" s="2">
        <v>0</v>
      </c>
      <c r="E991" s="2" t="s">
        <v>9</v>
      </c>
      <c r="F991" s="2" t="s">
        <v>15</v>
      </c>
      <c r="G991" s="2">
        <v>1912.9603283627137</v>
      </c>
      <c r="H991" s="2">
        <v>2250.5415627796642</v>
      </c>
      <c r="I991" s="2">
        <v>1</v>
      </c>
      <c r="J991" s="2">
        <v>2</v>
      </c>
    </row>
    <row r="992" spans="1:10" x14ac:dyDescent="0.25">
      <c r="A992" s="2">
        <v>26</v>
      </c>
      <c r="B992" s="2" t="s">
        <v>8</v>
      </c>
      <c r="C992" s="2">
        <v>25</v>
      </c>
      <c r="D992" s="2">
        <v>1</v>
      </c>
      <c r="E992" s="2" t="s">
        <v>12</v>
      </c>
      <c r="F992" s="2" t="s">
        <v>21</v>
      </c>
      <c r="G992" s="2">
        <v>1580.3770717384127</v>
      </c>
      <c r="H992" s="2">
        <v>1859.267143221663</v>
      </c>
      <c r="I992" s="2">
        <v>0</v>
      </c>
      <c r="J992" s="2">
        <v>0</v>
      </c>
    </row>
    <row r="993" spans="1:10" x14ac:dyDescent="0.25">
      <c r="A993" s="2">
        <v>38</v>
      </c>
      <c r="B993" s="2" t="s">
        <v>8</v>
      </c>
      <c r="C993" s="2">
        <v>27.8</v>
      </c>
      <c r="D993" s="2">
        <v>2</v>
      </c>
      <c r="E993" s="2" t="s">
        <v>12</v>
      </c>
      <c r="F993" s="2" t="s">
        <v>15</v>
      </c>
      <c r="G993" s="2">
        <v>2683.6486679685163</v>
      </c>
      <c r="H993" s="2">
        <v>3578.1982239580216</v>
      </c>
      <c r="I993" s="2">
        <v>0</v>
      </c>
      <c r="J993" s="2">
        <v>3</v>
      </c>
    </row>
    <row r="994" spans="1:10" x14ac:dyDescent="0.25">
      <c r="A994" s="2">
        <v>50</v>
      </c>
      <c r="B994" s="2" t="s">
        <v>8</v>
      </c>
      <c r="C994" s="2">
        <v>31.6</v>
      </c>
      <c r="D994" s="2">
        <v>2</v>
      </c>
      <c r="E994" s="2" t="s">
        <v>12</v>
      </c>
      <c r="F994" s="2" t="s">
        <v>21</v>
      </c>
      <c r="G994" s="2">
        <v>3308.1045286444987</v>
      </c>
      <c r="H994" s="2">
        <v>4410.8060381926653</v>
      </c>
      <c r="I994" s="2">
        <v>0</v>
      </c>
      <c r="J994" s="2">
        <v>3</v>
      </c>
    </row>
    <row r="995" spans="1:10" x14ac:dyDescent="0.25">
      <c r="A995" s="2">
        <v>38</v>
      </c>
      <c r="B995" s="2" t="s">
        <v>11</v>
      </c>
      <c r="C995" s="2">
        <v>24.1</v>
      </c>
      <c r="D995" s="2">
        <v>1</v>
      </c>
      <c r="E995" s="2" t="s">
        <v>12</v>
      </c>
      <c r="F995" s="2" t="s">
        <v>13</v>
      </c>
      <c r="G995" s="2">
        <v>2308.0281587687564</v>
      </c>
      <c r="H995" s="2">
        <v>2715.3272456103027</v>
      </c>
      <c r="I995" s="2">
        <v>0</v>
      </c>
      <c r="J995" s="2">
        <v>0</v>
      </c>
    </row>
    <row r="996" spans="1:10" x14ac:dyDescent="0.25">
      <c r="A996" s="2">
        <v>27</v>
      </c>
      <c r="B996" s="2" t="s">
        <v>8</v>
      </c>
      <c r="C996" s="2">
        <v>20</v>
      </c>
      <c r="D996" s="2">
        <v>3</v>
      </c>
      <c r="E996" s="2" t="s">
        <v>9</v>
      </c>
      <c r="F996" s="2" t="s">
        <v>20</v>
      </c>
      <c r="G996" s="2">
        <v>1989.0184627626018</v>
      </c>
      <c r="H996" s="2">
        <v>2340.021720897179</v>
      </c>
      <c r="I996" s="2">
        <v>1</v>
      </c>
      <c r="J996" s="2">
        <v>2</v>
      </c>
    </row>
    <row r="997" spans="1:10" x14ac:dyDescent="0.25">
      <c r="A997" s="2">
        <v>39</v>
      </c>
      <c r="B997" s="2" t="s">
        <v>8</v>
      </c>
      <c r="C997" s="2">
        <v>23.3</v>
      </c>
      <c r="D997" s="2">
        <v>3</v>
      </c>
      <c r="E997" s="2" t="s">
        <v>12</v>
      </c>
      <c r="F997" s="2" t="s">
        <v>15</v>
      </c>
      <c r="G997" s="2">
        <v>1657.1696639504903</v>
      </c>
      <c r="H997" s="2">
        <v>2209.5595519339872</v>
      </c>
      <c r="I997" s="2">
        <v>0</v>
      </c>
      <c r="J997" s="2">
        <v>3</v>
      </c>
    </row>
    <row r="998" spans="1:10" x14ac:dyDescent="0.25">
      <c r="A998" s="2">
        <v>39</v>
      </c>
      <c r="B998" s="2" t="s">
        <v>8</v>
      </c>
      <c r="C998" s="2">
        <v>34.1</v>
      </c>
      <c r="D998" s="2">
        <v>3</v>
      </c>
      <c r="E998" s="2" t="s">
        <v>12</v>
      </c>
      <c r="F998" s="2" t="s">
        <v>21</v>
      </c>
      <c r="G998" s="2">
        <v>1181.0489969788791</v>
      </c>
      <c r="H998" s="2">
        <v>1574.7319959718388</v>
      </c>
      <c r="I998" s="2">
        <v>0</v>
      </c>
      <c r="J998" s="2">
        <v>3</v>
      </c>
    </row>
    <row r="999" spans="1:10" x14ac:dyDescent="0.25">
      <c r="A999" s="2">
        <v>63</v>
      </c>
      <c r="B999" s="2" t="s">
        <v>8</v>
      </c>
      <c r="C999" s="2">
        <v>36.9</v>
      </c>
      <c r="D999" s="2">
        <v>0</v>
      </c>
      <c r="E999" s="2" t="s">
        <v>12</v>
      </c>
      <c r="F999" s="2" t="s">
        <v>13</v>
      </c>
      <c r="G999" s="2">
        <v>5186.0621042849116</v>
      </c>
      <c r="H999" s="2">
        <v>4939.1067659856317</v>
      </c>
      <c r="I999" s="2">
        <v>0</v>
      </c>
      <c r="J999" s="2">
        <v>1</v>
      </c>
    </row>
    <row r="1000" spans="1:10" x14ac:dyDescent="0.25">
      <c r="A1000" s="2">
        <v>33</v>
      </c>
      <c r="B1000" s="2" t="s">
        <v>8</v>
      </c>
      <c r="C1000" s="2">
        <v>36.299999999999997</v>
      </c>
      <c r="D1000" s="2">
        <v>3</v>
      </c>
      <c r="E1000" s="2" t="s">
        <v>12</v>
      </c>
      <c r="F1000" s="2" t="s">
        <v>15</v>
      </c>
      <c r="G1000" s="2">
        <v>3401.3227753582446</v>
      </c>
      <c r="H1000" s="2">
        <v>4535.0970338109928</v>
      </c>
      <c r="I1000" s="2">
        <v>0</v>
      </c>
      <c r="J1000" s="2">
        <v>3</v>
      </c>
    </row>
    <row r="1001" spans="1:10" x14ac:dyDescent="0.25">
      <c r="A1001" s="2">
        <v>36</v>
      </c>
      <c r="B1001" s="2" t="s">
        <v>8</v>
      </c>
      <c r="C1001" s="2">
        <v>23.5</v>
      </c>
      <c r="D1001" s="2">
        <v>0</v>
      </c>
      <c r="E1001" s="2" t="s">
        <v>12</v>
      </c>
      <c r="F1001" s="2" t="s">
        <v>20</v>
      </c>
      <c r="G1001" s="2">
        <v>2333.9603325552252</v>
      </c>
      <c r="H1001" s="2">
        <v>2745.8356853590894</v>
      </c>
      <c r="I1001" s="2">
        <v>0</v>
      </c>
      <c r="J1001" s="2">
        <v>0</v>
      </c>
    </row>
    <row r="1002" spans="1:10" x14ac:dyDescent="0.25">
      <c r="A1002" s="2">
        <v>30</v>
      </c>
      <c r="B1002" s="2" t="s">
        <v>11</v>
      </c>
      <c r="C1002" s="2">
        <v>23</v>
      </c>
      <c r="D1002" s="2">
        <v>2</v>
      </c>
      <c r="E1002" s="2" t="s">
        <v>9</v>
      </c>
      <c r="F1002" s="2" t="s">
        <v>20</v>
      </c>
      <c r="G1002" s="2">
        <v>2098.8033475888633</v>
      </c>
      <c r="H1002" s="2">
        <v>2469.1804089280754</v>
      </c>
      <c r="I1002" s="2">
        <v>1</v>
      </c>
      <c r="J1002" s="2">
        <v>2</v>
      </c>
    </row>
    <row r="1003" spans="1:10" x14ac:dyDescent="0.25">
      <c r="A1003" s="2">
        <v>24</v>
      </c>
      <c r="B1003" s="2" t="s">
        <v>11</v>
      </c>
      <c r="C1003" s="2">
        <v>20.5</v>
      </c>
      <c r="D1003" s="2">
        <v>0</v>
      </c>
      <c r="E1003" s="2" t="s">
        <v>9</v>
      </c>
      <c r="F1003" s="2" t="s">
        <v>21</v>
      </c>
      <c r="G1003" s="2">
        <v>1268.4097931246001</v>
      </c>
      <c r="H1003" s="2">
        <v>1492.246815440707</v>
      </c>
      <c r="I1003" s="2">
        <v>1</v>
      </c>
      <c r="J1003" s="2">
        <v>2</v>
      </c>
    </row>
    <row r="1004" spans="1:10" x14ac:dyDescent="0.25">
      <c r="A1004" s="2">
        <v>24</v>
      </c>
      <c r="B1004" s="2" t="s">
        <v>11</v>
      </c>
      <c r="C1004" s="2">
        <v>25.5</v>
      </c>
      <c r="D1004" s="2">
        <v>0</v>
      </c>
      <c r="E1004" s="2" t="s">
        <v>12</v>
      </c>
      <c r="F1004" s="2" t="s">
        <v>21</v>
      </c>
      <c r="G1004" s="2">
        <v>1695.6546636566163</v>
      </c>
      <c r="H1004" s="2">
        <v>1994.8878395960201</v>
      </c>
      <c r="I1004" s="2">
        <v>0</v>
      </c>
      <c r="J1004" s="2">
        <v>0</v>
      </c>
    </row>
    <row r="1005" spans="1:10" x14ac:dyDescent="0.25">
      <c r="A1005" s="2">
        <v>48</v>
      </c>
      <c r="B1005" s="2" t="s">
        <v>11</v>
      </c>
      <c r="C1005" s="2">
        <v>29.6</v>
      </c>
      <c r="D1005" s="2">
        <v>0</v>
      </c>
      <c r="E1005" s="2" t="s">
        <v>12</v>
      </c>
      <c r="F1005" s="2" t="s">
        <v>21</v>
      </c>
      <c r="G1005" s="2">
        <v>5320.3845464297692</v>
      </c>
      <c r="H1005" s="2">
        <v>5067.0329013616865</v>
      </c>
      <c r="I1005" s="2">
        <v>0</v>
      </c>
      <c r="J1005" s="2">
        <v>1</v>
      </c>
    </row>
    <row r="1006" spans="1:10" x14ac:dyDescent="0.25">
      <c r="A1006" s="2">
        <v>47</v>
      </c>
      <c r="B1006" s="2" t="s">
        <v>11</v>
      </c>
      <c r="C1006" s="2">
        <v>19.2</v>
      </c>
      <c r="D1006" s="2">
        <v>1</v>
      </c>
      <c r="E1006" s="2" t="s">
        <v>12</v>
      </c>
      <c r="F1006" s="2" t="s">
        <v>15</v>
      </c>
      <c r="G1006" s="2">
        <v>1935.3937115740109</v>
      </c>
      <c r="H1006" s="2">
        <v>2276.9337783223668</v>
      </c>
      <c r="I1006" s="2">
        <v>0</v>
      </c>
      <c r="J1006" s="2">
        <v>0</v>
      </c>
    </row>
    <row r="1007" spans="1:10" x14ac:dyDescent="0.25">
      <c r="A1007" s="2">
        <v>29</v>
      </c>
      <c r="B1007" s="2" t="s">
        <v>11</v>
      </c>
      <c r="C1007" s="2">
        <v>31.7</v>
      </c>
      <c r="D1007" s="2">
        <v>2</v>
      </c>
      <c r="E1007" s="2" t="s">
        <v>12</v>
      </c>
      <c r="F1007" s="2" t="s">
        <v>20</v>
      </c>
      <c r="G1007" s="2">
        <v>2314.2275128406818</v>
      </c>
      <c r="H1007" s="2">
        <v>3085.6366837875757</v>
      </c>
      <c r="I1007" s="2">
        <v>0</v>
      </c>
      <c r="J1007" s="2">
        <v>3</v>
      </c>
    </row>
    <row r="1008" spans="1:10" x14ac:dyDescent="0.25">
      <c r="A1008" s="2">
        <v>28</v>
      </c>
      <c r="B1008" s="2" t="s">
        <v>11</v>
      </c>
      <c r="C1008" s="2">
        <v>29.3</v>
      </c>
      <c r="D1008" s="2">
        <v>2</v>
      </c>
      <c r="E1008" s="2" t="s">
        <v>12</v>
      </c>
      <c r="F1008" s="2" t="s">
        <v>15</v>
      </c>
      <c r="G1008" s="2">
        <v>1421.0790174736285</v>
      </c>
      <c r="H1008" s="2">
        <v>1894.7720232981712</v>
      </c>
      <c r="I1008" s="2">
        <v>0</v>
      </c>
      <c r="J1008" s="2">
        <v>3</v>
      </c>
    </row>
    <row r="1009" spans="1:10" x14ac:dyDescent="0.25">
      <c r="A1009" s="2">
        <v>47</v>
      </c>
      <c r="B1009" s="2" t="s">
        <v>11</v>
      </c>
      <c r="C1009" s="2">
        <v>28.2</v>
      </c>
      <c r="D1009" s="2">
        <v>3</v>
      </c>
      <c r="E1009" s="2" t="s">
        <v>9</v>
      </c>
      <c r="F1009" s="2" t="s">
        <v>20</v>
      </c>
      <c r="G1009" s="2">
        <v>2664.0224870672819</v>
      </c>
      <c r="H1009" s="2">
        <v>3552.0299827563758</v>
      </c>
      <c r="I1009" s="2">
        <v>1</v>
      </c>
      <c r="J1009" s="2">
        <v>2</v>
      </c>
    </row>
    <row r="1010" spans="1:10" x14ac:dyDescent="0.25">
      <c r="A1010" s="2">
        <v>25</v>
      </c>
      <c r="B1010" s="2" t="s">
        <v>11</v>
      </c>
      <c r="C1010" s="2">
        <v>23.7</v>
      </c>
      <c r="D1010" s="2">
        <v>2</v>
      </c>
      <c r="E1010" s="2" t="s">
        <v>12</v>
      </c>
      <c r="F1010" s="2" t="s">
        <v>15</v>
      </c>
      <c r="G1010" s="2">
        <v>1746.54918228015</v>
      </c>
      <c r="H1010" s="2">
        <v>2054.7637438590009</v>
      </c>
      <c r="I1010" s="2">
        <v>0</v>
      </c>
      <c r="J1010" s="2">
        <v>0</v>
      </c>
    </row>
    <row r="1011" spans="1:10" x14ac:dyDescent="0.25">
      <c r="A1011" s="2">
        <v>51</v>
      </c>
      <c r="B1011" s="2" t="s">
        <v>11</v>
      </c>
      <c r="C1011" s="2">
        <v>27.7</v>
      </c>
      <c r="D1011" s="2">
        <v>1</v>
      </c>
      <c r="E1011" s="2" t="s">
        <v>12</v>
      </c>
      <c r="F1011" s="2" t="s">
        <v>15</v>
      </c>
      <c r="G1011" s="2">
        <v>3890.7884461142758</v>
      </c>
      <c r="H1011" s="2">
        <v>3705.5128058231217</v>
      </c>
      <c r="I1011" s="2">
        <v>0</v>
      </c>
      <c r="J1011" s="2">
        <v>1</v>
      </c>
    </row>
    <row r="1012" spans="1:10" x14ac:dyDescent="0.25">
      <c r="A1012" s="2">
        <v>48</v>
      </c>
      <c r="B1012" s="2" t="s">
        <v>8</v>
      </c>
      <c r="C1012" s="2">
        <v>22.8</v>
      </c>
      <c r="D1012" s="2">
        <v>0</v>
      </c>
      <c r="E1012" s="2" t="s">
        <v>12</v>
      </c>
      <c r="F1012" s="2" t="s">
        <v>21</v>
      </c>
      <c r="G1012" s="2">
        <v>5207.5110378288264</v>
      </c>
      <c r="H1012" s="2">
        <v>4959.5343217417403</v>
      </c>
      <c r="I1012" s="2">
        <v>0</v>
      </c>
      <c r="J1012" s="2">
        <v>1</v>
      </c>
    </row>
    <row r="1013" spans="1:10" x14ac:dyDescent="0.25">
      <c r="A1013" s="2">
        <v>43</v>
      </c>
      <c r="B1013" s="2" t="s">
        <v>11</v>
      </c>
      <c r="C1013" s="2">
        <v>20.100000000000001</v>
      </c>
      <c r="D1013" s="2">
        <v>2</v>
      </c>
      <c r="E1013" s="2" t="s">
        <v>9</v>
      </c>
      <c r="F1013" s="2" t="s">
        <v>13</v>
      </c>
      <c r="G1013" s="2">
        <v>2224.768234076374</v>
      </c>
      <c r="H1013" s="2">
        <v>2617.3743930310288</v>
      </c>
      <c r="I1013" s="2">
        <v>1</v>
      </c>
      <c r="J1013" s="2">
        <v>2</v>
      </c>
    </row>
    <row r="1014" spans="1:10" x14ac:dyDescent="0.25">
      <c r="A1014" s="2">
        <v>61</v>
      </c>
      <c r="B1014" s="2" t="s">
        <v>8</v>
      </c>
      <c r="C1014" s="2">
        <v>33.299999999999997</v>
      </c>
      <c r="D1014" s="2">
        <v>4</v>
      </c>
      <c r="E1014" s="2" t="s">
        <v>12</v>
      </c>
      <c r="F1014" s="2" t="s">
        <v>13</v>
      </c>
      <c r="G1014" s="2">
        <v>2273.5912449984535</v>
      </c>
      <c r="H1014" s="2">
        <v>3031.454993331271</v>
      </c>
      <c r="I1014" s="2">
        <v>0</v>
      </c>
      <c r="J1014" s="2">
        <v>3</v>
      </c>
    </row>
    <row r="1015" spans="1:10" x14ac:dyDescent="0.25">
      <c r="A1015" s="2">
        <v>48</v>
      </c>
      <c r="B1015" s="2" t="s">
        <v>11</v>
      </c>
      <c r="C1015" s="2">
        <v>32.299999999999997</v>
      </c>
      <c r="D1015" s="2">
        <v>1</v>
      </c>
      <c r="E1015" s="2" t="s">
        <v>12</v>
      </c>
      <c r="F1015" s="2" t="s">
        <v>20</v>
      </c>
      <c r="G1015" s="2">
        <v>5126.5167784026644</v>
      </c>
      <c r="H1015" s="2">
        <v>4882.3969318120626</v>
      </c>
      <c r="I1015" s="2">
        <v>0</v>
      </c>
      <c r="J1015" s="2">
        <v>1</v>
      </c>
    </row>
    <row r="1016" spans="1:10" x14ac:dyDescent="0.25">
      <c r="A1016" s="2">
        <v>38</v>
      </c>
      <c r="B1016" s="2" t="s">
        <v>8</v>
      </c>
      <c r="C1016" s="2">
        <v>25.8</v>
      </c>
      <c r="D1016" s="2">
        <v>0</v>
      </c>
      <c r="E1016" s="2" t="s">
        <v>12</v>
      </c>
      <c r="F1016" s="2" t="s">
        <v>21</v>
      </c>
      <c r="G1016" s="2">
        <v>2157.869121490523</v>
      </c>
      <c r="H1016" s="2">
        <v>2538.6695546947331</v>
      </c>
      <c r="I1016" s="2">
        <v>0</v>
      </c>
      <c r="J1016" s="2">
        <v>0</v>
      </c>
    </row>
    <row r="1017" spans="1:10" x14ac:dyDescent="0.25">
      <c r="A1017" s="2">
        <v>59</v>
      </c>
      <c r="B1017" s="2" t="s">
        <v>11</v>
      </c>
      <c r="C1017" s="2">
        <v>25.5</v>
      </c>
      <c r="D1017" s="2">
        <v>0</v>
      </c>
      <c r="E1017" s="2" t="s">
        <v>12</v>
      </c>
      <c r="F1017" s="2" t="s">
        <v>20</v>
      </c>
      <c r="G1017" s="2">
        <v>5018.551146310042</v>
      </c>
      <c r="H1017" s="2">
        <v>4779.572520295279</v>
      </c>
      <c r="I1017" s="2">
        <v>0</v>
      </c>
      <c r="J1017" s="2">
        <v>1</v>
      </c>
    </row>
    <row r="1018" spans="1:10" x14ac:dyDescent="0.25">
      <c r="A1018" s="2">
        <v>19</v>
      </c>
      <c r="B1018" s="2" t="s">
        <v>8</v>
      </c>
      <c r="C1018" s="2">
        <v>24.5</v>
      </c>
      <c r="D1018" s="2">
        <v>1</v>
      </c>
      <c r="E1018" s="2" t="s">
        <v>12</v>
      </c>
      <c r="F1018" s="2" t="s">
        <v>20</v>
      </c>
      <c r="G1018" s="2">
        <v>1978.7931035883817</v>
      </c>
      <c r="H1018" s="2">
        <v>2327.9918865745676</v>
      </c>
      <c r="I1018" s="2">
        <v>0</v>
      </c>
      <c r="J1018" s="2">
        <v>0</v>
      </c>
    </row>
    <row r="1019" spans="1:10" x14ac:dyDescent="0.25">
      <c r="A1019" s="2">
        <v>26</v>
      </c>
      <c r="B1019" s="2" t="s">
        <v>8</v>
      </c>
      <c r="C1019" s="2">
        <v>34.200000000000003</v>
      </c>
      <c r="D1019" s="2">
        <v>2</v>
      </c>
      <c r="E1019" s="2" t="s">
        <v>12</v>
      </c>
      <c r="F1019" s="2" t="s">
        <v>21</v>
      </c>
      <c r="G1019" s="2">
        <v>1427.382058173665</v>
      </c>
      <c r="H1019" s="2">
        <v>1903.1760775648868</v>
      </c>
      <c r="I1019" s="2">
        <v>0</v>
      </c>
      <c r="J1019" s="2">
        <v>3</v>
      </c>
    </row>
    <row r="1020" spans="1:10" x14ac:dyDescent="0.25">
      <c r="A1020" s="2">
        <v>54</v>
      </c>
      <c r="B1020" s="2" t="s">
        <v>8</v>
      </c>
      <c r="C1020" s="2">
        <v>35.799999999999997</v>
      </c>
      <c r="D1020" s="2">
        <v>3</v>
      </c>
      <c r="E1020" s="2" t="s">
        <v>12</v>
      </c>
      <c r="F1020" s="2" t="s">
        <v>20</v>
      </c>
      <c r="G1020" s="2">
        <v>1758.7296583830448</v>
      </c>
      <c r="H1020" s="2">
        <v>2344.9728778440599</v>
      </c>
      <c r="I1020" s="2">
        <v>0</v>
      </c>
      <c r="J1020" s="2">
        <v>3</v>
      </c>
    </row>
    <row r="1021" spans="1:10" x14ac:dyDescent="0.25">
      <c r="A1021" s="2">
        <v>21</v>
      </c>
      <c r="B1021" s="2" t="s">
        <v>8</v>
      </c>
      <c r="C1021" s="2">
        <v>25.8</v>
      </c>
      <c r="D1021" s="2">
        <v>2</v>
      </c>
      <c r="E1021" s="2" t="s">
        <v>12</v>
      </c>
      <c r="F1021" s="2" t="s">
        <v>20</v>
      </c>
      <c r="G1021" s="2">
        <v>1908.962839637974</v>
      </c>
      <c r="H1021" s="2">
        <v>2245.8386348682056</v>
      </c>
      <c r="I1021" s="2">
        <v>0</v>
      </c>
      <c r="J1021" s="2">
        <v>0</v>
      </c>
    </row>
    <row r="1022" spans="1:10" x14ac:dyDescent="0.25">
      <c r="A1022" s="2">
        <v>51</v>
      </c>
      <c r="B1022" s="2" t="s">
        <v>11</v>
      </c>
      <c r="C1022" s="2">
        <v>37</v>
      </c>
      <c r="D1022" s="2">
        <v>0</v>
      </c>
      <c r="E1022" s="2" t="s">
        <v>12</v>
      </c>
      <c r="F1022" s="2" t="s">
        <v>21</v>
      </c>
      <c r="G1022" s="2">
        <v>5159.5192494242765</v>
      </c>
      <c r="H1022" s="2">
        <v>4913.8278565945511</v>
      </c>
      <c r="I1022" s="2">
        <v>0</v>
      </c>
      <c r="J1022" s="2">
        <v>1</v>
      </c>
    </row>
    <row r="1023" spans="1:10" x14ac:dyDescent="0.25">
      <c r="A1023" s="2">
        <v>22</v>
      </c>
      <c r="B1023" s="2" t="s">
        <v>8</v>
      </c>
      <c r="C1023" s="2">
        <v>31</v>
      </c>
      <c r="D1023" s="2">
        <v>3</v>
      </c>
      <c r="E1023" s="2" t="s">
        <v>9</v>
      </c>
      <c r="F1023" s="2" t="s">
        <v>13</v>
      </c>
      <c r="G1023" s="2">
        <v>841.87453898069703</v>
      </c>
      <c r="H1023" s="2">
        <v>1122.499385307596</v>
      </c>
      <c r="I1023" s="2">
        <v>1</v>
      </c>
      <c r="J1023" s="2">
        <v>2</v>
      </c>
    </row>
    <row r="1024" spans="1:10" x14ac:dyDescent="0.25">
      <c r="A1024" s="2">
        <v>47</v>
      </c>
      <c r="B1024" s="2" t="s">
        <v>11</v>
      </c>
      <c r="C1024" s="2">
        <v>36.1</v>
      </c>
      <c r="D1024" s="2">
        <v>1</v>
      </c>
      <c r="E1024" s="2" t="s">
        <v>9</v>
      </c>
      <c r="F1024" s="2" t="s">
        <v>13</v>
      </c>
      <c r="G1024" s="2">
        <v>3559.5862017813324</v>
      </c>
      <c r="H1024" s="2">
        <v>3390.0820969346041</v>
      </c>
      <c r="I1024" s="2">
        <v>1</v>
      </c>
      <c r="J1024" s="2">
        <v>2</v>
      </c>
    </row>
    <row r="1025" spans="1:10" x14ac:dyDescent="0.25">
      <c r="A1025" s="2">
        <v>18</v>
      </c>
      <c r="B1025" s="2" t="s">
        <v>11</v>
      </c>
      <c r="C1025" s="2">
        <v>21.8</v>
      </c>
      <c r="D1025" s="2">
        <v>1</v>
      </c>
      <c r="E1025" s="2" t="s">
        <v>12</v>
      </c>
      <c r="F1025" s="2" t="s">
        <v>13</v>
      </c>
      <c r="G1025" s="2">
        <v>1531.6012863899214</v>
      </c>
      <c r="H1025" s="2">
        <v>1801.8838663410847</v>
      </c>
      <c r="I1025" s="2">
        <v>0</v>
      </c>
      <c r="J1025" s="2">
        <v>0</v>
      </c>
    </row>
    <row r="1026" spans="1:10" x14ac:dyDescent="0.25">
      <c r="A1026" s="2">
        <v>47</v>
      </c>
      <c r="B1026" s="2" t="s">
        <v>8</v>
      </c>
      <c r="C1026" s="2">
        <v>45.3</v>
      </c>
      <c r="D1026" s="2">
        <v>1</v>
      </c>
      <c r="E1026" s="2" t="s">
        <v>12</v>
      </c>
      <c r="F1026" s="2" t="s">
        <v>13</v>
      </c>
      <c r="G1026" s="2">
        <v>5543.7124904623997</v>
      </c>
      <c r="H1026" s="2">
        <v>5279.7261813927626</v>
      </c>
      <c r="I1026" s="2">
        <v>0</v>
      </c>
      <c r="J1026" s="2">
        <v>1</v>
      </c>
    </row>
    <row r="1027" spans="1:10" x14ac:dyDescent="0.25">
      <c r="A1027" s="2">
        <v>21</v>
      </c>
      <c r="B1027" s="2" t="s">
        <v>8</v>
      </c>
      <c r="C1027" s="2">
        <v>22.5</v>
      </c>
      <c r="D1027" s="2">
        <v>0</v>
      </c>
      <c r="E1027" s="2" t="s">
        <v>12</v>
      </c>
      <c r="F1027" s="2" t="s">
        <v>21</v>
      </c>
      <c r="G1027" s="2">
        <v>1388.7435980028549</v>
      </c>
      <c r="H1027" s="2">
        <v>1633.8159976504182</v>
      </c>
      <c r="I1027" s="2">
        <v>0</v>
      </c>
      <c r="J1027" s="2">
        <v>0</v>
      </c>
    </row>
    <row r="1028" spans="1:10" x14ac:dyDescent="0.25">
      <c r="A1028" s="2">
        <v>19</v>
      </c>
      <c r="B1028" s="2" t="s">
        <v>11</v>
      </c>
      <c r="C1028" s="2">
        <v>20.5</v>
      </c>
      <c r="D1028" s="2">
        <v>1</v>
      </c>
      <c r="E1028" s="2" t="s">
        <v>9</v>
      </c>
      <c r="F1028" s="2" t="s">
        <v>20</v>
      </c>
      <c r="G1028" s="2">
        <v>1700.7151958853658</v>
      </c>
      <c r="H1028" s="2">
        <v>2000.8414069239604</v>
      </c>
      <c r="I1028" s="2">
        <v>1</v>
      </c>
      <c r="J1028" s="2">
        <v>2</v>
      </c>
    </row>
    <row r="1029" spans="1:10" x14ac:dyDescent="0.25">
      <c r="A1029" s="2">
        <v>23</v>
      </c>
      <c r="B1029" s="2" t="s">
        <v>11</v>
      </c>
      <c r="C1029" s="2">
        <v>25.8</v>
      </c>
      <c r="D1029" s="2">
        <v>0</v>
      </c>
      <c r="E1029" s="2" t="s">
        <v>12</v>
      </c>
      <c r="F1029" s="2" t="s">
        <v>20</v>
      </c>
      <c r="G1029" s="2">
        <v>1515.0842381574853</v>
      </c>
      <c r="H1029" s="2">
        <v>1782.4520448911601</v>
      </c>
      <c r="I1029" s="2">
        <v>0</v>
      </c>
      <c r="J1029" s="2">
        <v>0</v>
      </c>
    </row>
    <row r="1030" spans="1:10" x14ac:dyDescent="0.25">
      <c r="A1030" s="2">
        <v>54</v>
      </c>
      <c r="B1030" s="2" t="s">
        <v>11</v>
      </c>
      <c r="C1030" s="2">
        <v>31.6</v>
      </c>
      <c r="D1030" s="2">
        <v>0</v>
      </c>
      <c r="E1030" s="2" t="s">
        <v>12</v>
      </c>
      <c r="F1030" s="2" t="s">
        <v>21</v>
      </c>
      <c r="G1030" s="2">
        <v>4093.3640964526735</v>
      </c>
      <c r="H1030" s="2">
        <v>3898.4419966215951</v>
      </c>
      <c r="I1030" s="2">
        <v>0</v>
      </c>
      <c r="J1030" s="2">
        <v>1</v>
      </c>
    </row>
    <row r="1031" spans="1:10" x14ac:dyDescent="0.25">
      <c r="A1031" s="2">
        <v>37</v>
      </c>
      <c r="B1031" s="2" t="s">
        <v>8</v>
      </c>
      <c r="C1031" s="2">
        <v>17.3</v>
      </c>
      <c r="D1031" s="2">
        <v>2</v>
      </c>
      <c r="E1031" s="2" t="s">
        <v>12</v>
      </c>
      <c r="F1031" s="2" t="s">
        <v>15</v>
      </c>
      <c r="G1031" s="2">
        <v>2211.7272888231992</v>
      </c>
      <c r="H1031" s="2">
        <v>2602.0321044978818</v>
      </c>
      <c r="I1031" s="2">
        <v>0</v>
      </c>
      <c r="J1031" s="2">
        <v>0</v>
      </c>
    </row>
    <row r="1032" spans="1:10" x14ac:dyDescent="0.25">
      <c r="A1032" s="2">
        <v>46</v>
      </c>
      <c r="B1032" s="2" t="s">
        <v>8</v>
      </c>
      <c r="C1032" s="2">
        <v>23.7</v>
      </c>
      <c r="D1032" s="2">
        <v>1</v>
      </c>
      <c r="E1032" s="2" t="s">
        <v>9</v>
      </c>
      <c r="F1032" s="2" t="s">
        <v>20</v>
      </c>
      <c r="G1032" s="2">
        <v>1960.5165556743063</v>
      </c>
      <c r="H1032" s="2">
        <v>2306.4900654991848</v>
      </c>
      <c r="I1032" s="2">
        <v>1</v>
      </c>
      <c r="J1032" s="2">
        <v>2</v>
      </c>
    </row>
    <row r="1033" spans="1:10" x14ac:dyDescent="0.25">
      <c r="A1033" s="2">
        <v>55</v>
      </c>
      <c r="B1033" s="2" t="s">
        <v>8</v>
      </c>
      <c r="C1033" s="2">
        <v>35.200000000000003</v>
      </c>
      <c r="D1033" s="2">
        <v>0</v>
      </c>
      <c r="E1033" s="2" t="s">
        <v>9</v>
      </c>
      <c r="F1033" s="2" t="s">
        <v>13</v>
      </c>
      <c r="G1033" s="2">
        <v>5030.0204642134659</v>
      </c>
      <c r="H1033" s="2">
        <v>4790.4956802033021</v>
      </c>
      <c r="I1033" s="2">
        <v>1</v>
      </c>
      <c r="J1033" s="2">
        <v>2</v>
      </c>
    </row>
    <row r="1034" spans="1:10" x14ac:dyDescent="0.25">
      <c r="A1034" s="2">
        <v>30</v>
      </c>
      <c r="B1034" s="2" t="s">
        <v>8</v>
      </c>
      <c r="C1034" s="2">
        <v>21.8</v>
      </c>
      <c r="D1034" s="2">
        <v>0</v>
      </c>
      <c r="E1034" s="2" t="s">
        <v>12</v>
      </c>
      <c r="F1034" s="2" t="s">
        <v>15</v>
      </c>
      <c r="G1034" s="2">
        <v>2036.3672938737784</v>
      </c>
      <c r="H1034" s="2">
        <v>2395.726228086799</v>
      </c>
      <c r="I1034" s="2">
        <v>0</v>
      </c>
      <c r="J1034" s="2">
        <v>0</v>
      </c>
    </row>
    <row r="1035" spans="1:10" x14ac:dyDescent="0.25">
      <c r="A1035" s="2">
        <v>18</v>
      </c>
      <c r="B1035" s="2" t="s">
        <v>11</v>
      </c>
      <c r="C1035" s="2">
        <v>25.9</v>
      </c>
      <c r="D1035" s="2">
        <v>0</v>
      </c>
      <c r="E1035" s="2" t="s">
        <v>9</v>
      </c>
      <c r="F1035" s="2" t="s">
        <v>15</v>
      </c>
      <c r="G1035" s="2">
        <v>2478.1722215728996</v>
      </c>
      <c r="H1035" s="2">
        <v>2915.4967312622357</v>
      </c>
      <c r="I1035" s="2">
        <v>1</v>
      </c>
      <c r="J1035" s="2">
        <v>2</v>
      </c>
    </row>
    <row r="1036" spans="1:10" x14ac:dyDescent="0.25">
      <c r="A1036" s="2">
        <v>61</v>
      </c>
      <c r="B1036" s="2" t="s">
        <v>11</v>
      </c>
      <c r="C1036" s="2">
        <v>38.4</v>
      </c>
      <c r="D1036" s="2">
        <v>0</v>
      </c>
      <c r="E1036" s="2" t="s">
        <v>12</v>
      </c>
      <c r="F1036" s="2" t="s">
        <v>20</v>
      </c>
      <c r="G1036" s="2">
        <v>4748.1390443990495</v>
      </c>
      <c r="H1036" s="2">
        <v>4522.0371851419532</v>
      </c>
      <c r="I1036" s="2">
        <v>0</v>
      </c>
      <c r="J1036" s="2">
        <v>1</v>
      </c>
    </row>
    <row r="1037" spans="1:10" x14ac:dyDescent="0.25">
      <c r="A1037" s="2">
        <v>54</v>
      </c>
      <c r="B1037" s="2" t="s">
        <v>8</v>
      </c>
      <c r="C1037" s="2">
        <v>23</v>
      </c>
      <c r="D1037" s="2">
        <v>3</v>
      </c>
      <c r="E1037" s="2" t="s">
        <v>12</v>
      </c>
      <c r="F1037" s="2" t="s">
        <v>21</v>
      </c>
      <c r="G1037" s="2">
        <v>1457.5881306508979</v>
      </c>
      <c r="H1037" s="2">
        <v>1943.4508408678639</v>
      </c>
      <c r="I1037" s="2">
        <v>0</v>
      </c>
      <c r="J1037" s="2">
        <v>3</v>
      </c>
    </row>
    <row r="1038" spans="1:10" x14ac:dyDescent="0.25">
      <c r="A1038" s="2">
        <v>22</v>
      </c>
      <c r="B1038" s="2" t="s">
        <v>11</v>
      </c>
      <c r="C1038" s="2">
        <v>37.1</v>
      </c>
      <c r="D1038" s="2">
        <v>2</v>
      </c>
      <c r="E1038" s="2" t="s">
        <v>9</v>
      </c>
      <c r="F1038" s="2" t="s">
        <v>13</v>
      </c>
      <c r="G1038" s="2">
        <v>1741.7797794669095</v>
      </c>
      <c r="H1038" s="2">
        <v>2322.3730392892126</v>
      </c>
      <c r="I1038" s="2">
        <v>1</v>
      </c>
      <c r="J1038" s="2">
        <v>2</v>
      </c>
    </row>
    <row r="1039" spans="1:10" x14ac:dyDescent="0.25">
      <c r="A1039" s="2">
        <v>45</v>
      </c>
      <c r="B1039" s="2" t="s">
        <v>8</v>
      </c>
      <c r="C1039" s="2">
        <v>30.5</v>
      </c>
      <c r="D1039" s="2">
        <v>1</v>
      </c>
      <c r="E1039" s="2" t="s">
        <v>9</v>
      </c>
      <c r="F1039" s="2" t="s">
        <v>20</v>
      </c>
      <c r="G1039" s="2">
        <v>4036.0757557225165</v>
      </c>
      <c r="H1039" s="2">
        <v>3843.8816721166841</v>
      </c>
      <c r="I1039" s="2">
        <v>1</v>
      </c>
      <c r="J1039" s="2">
        <v>2</v>
      </c>
    </row>
    <row r="1040" spans="1:10" x14ac:dyDescent="0.25">
      <c r="A1040" s="2">
        <v>22</v>
      </c>
      <c r="B1040" s="2" t="s">
        <v>11</v>
      </c>
      <c r="C1040" s="2">
        <v>23.1</v>
      </c>
      <c r="D1040" s="2">
        <v>0</v>
      </c>
      <c r="E1040" s="2" t="s">
        <v>12</v>
      </c>
      <c r="F1040" s="2" t="s">
        <v>15</v>
      </c>
      <c r="G1040" s="2">
        <v>1683.8623423984259</v>
      </c>
      <c r="H1040" s="2">
        <v>1981.0145204687371</v>
      </c>
      <c r="I1040" s="2">
        <v>0</v>
      </c>
      <c r="J1040" s="2">
        <v>0</v>
      </c>
    </row>
    <row r="1041" spans="1:10" x14ac:dyDescent="0.25">
      <c r="A1041" s="2">
        <v>19</v>
      </c>
      <c r="B1041" s="2" t="s">
        <v>11</v>
      </c>
      <c r="C1041" s="2">
        <v>21.4</v>
      </c>
      <c r="D1041" s="2">
        <v>2</v>
      </c>
      <c r="E1041" s="2" t="s">
        <v>12</v>
      </c>
      <c r="F1041" s="2" t="s">
        <v>20</v>
      </c>
      <c r="G1041" s="2">
        <v>1754.8784640103825</v>
      </c>
      <c r="H1041" s="2">
        <v>2064.5628988357448</v>
      </c>
      <c r="I1041" s="2">
        <v>0</v>
      </c>
      <c r="J1041" s="2">
        <v>0</v>
      </c>
    </row>
    <row r="1042" spans="1:10" x14ac:dyDescent="0.25">
      <c r="A1042" s="2">
        <v>35</v>
      </c>
      <c r="B1042" s="2" t="s">
        <v>8</v>
      </c>
      <c r="C1042" s="2">
        <v>24</v>
      </c>
      <c r="D1042" s="2">
        <v>0</v>
      </c>
      <c r="E1042" s="2" t="s">
        <v>9</v>
      </c>
      <c r="F1042" s="2" t="s">
        <v>20</v>
      </c>
      <c r="G1042" s="2">
        <v>1598.2892007261344</v>
      </c>
      <c r="H1042" s="2">
        <v>1880.3402361483943</v>
      </c>
      <c r="I1042" s="2">
        <v>1</v>
      </c>
      <c r="J1042" s="2">
        <v>2</v>
      </c>
    </row>
    <row r="1043" spans="1:10" x14ac:dyDescent="0.25">
      <c r="A1043" s="2">
        <v>18</v>
      </c>
      <c r="B1043" s="2" t="s">
        <v>11</v>
      </c>
      <c r="C1043" s="2">
        <v>24.8</v>
      </c>
      <c r="D1043" s="2">
        <v>0</v>
      </c>
      <c r="E1043" s="2" t="s">
        <v>12</v>
      </c>
      <c r="F1043" s="2" t="s">
        <v>15</v>
      </c>
      <c r="G1043" s="2">
        <v>1457.3416037085512</v>
      </c>
      <c r="H1043" s="2">
        <v>1714.5195337747671</v>
      </c>
      <c r="I1043" s="2">
        <v>0</v>
      </c>
      <c r="J1043" s="2">
        <v>0</v>
      </c>
    </row>
    <row r="1044" spans="1:10" x14ac:dyDescent="0.25">
      <c r="A1044" s="2">
        <v>20</v>
      </c>
      <c r="B1044" s="2" t="s">
        <v>11</v>
      </c>
      <c r="C1044" s="2">
        <v>21.9</v>
      </c>
      <c r="D1044" s="2">
        <v>0</v>
      </c>
      <c r="E1044" s="2" t="s">
        <v>9</v>
      </c>
      <c r="F1044" s="2" t="s">
        <v>15</v>
      </c>
      <c r="G1044" s="2">
        <v>1636.6726650662445</v>
      </c>
      <c r="H1044" s="2">
        <v>1925.4972530191119</v>
      </c>
      <c r="I1044" s="2">
        <v>1</v>
      </c>
      <c r="J1044" s="2">
        <v>2</v>
      </c>
    </row>
    <row r="1045" spans="1:10" x14ac:dyDescent="0.25">
      <c r="A1045" s="2">
        <v>28</v>
      </c>
      <c r="B1045" s="2" t="s">
        <v>8</v>
      </c>
      <c r="C1045" s="2">
        <v>25.9</v>
      </c>
      <c r="D1045" s="2">
        <v>0</v>
      </c>
      <c r="E1045" s="2" t="s">
        <v>12</v>
      </c>
      <c r="F1045" s="2" t="s">
        <v>21</v>
      </c>
      <c r="G1045" s="2">
        <v>1760.3325038563974</v>
      </c>
      <c r="H1045" s="2">
        <v>2070.979416301645</v>
      </c>
      <c r="I1045" s="2">
        <v>0</v>
      </c>
      <c r="J1045" s="2">
        <v>0</v>
      </c>
    </row>
    <row r="1046" spans="1:10" x14ac:dyDescent="0.25">
      <c r="A1046" s="2">
        <v>55</v>
      </c>
      <c r="B1046" s="2" t="s">
        <v>11</v>
      </c>
      <c r="C1046" s="2">
        <v>35.200000000000003</v>
      </c>
      <c r="D1046" s="2">
        <v>1</v>
      </c>
      <c r="E1046" s="2" t="s">
        <v>12</v>
      </c>
      <c r="F1046" s="2" t="s">
        <v>15</v>
      </c>
      <c r="G1046" s="2">
        <v>5468.5587565672231</v>
      </c>
      <c r="H1046" s="2">
        <v>5208.1511967306906</v>
      </c>
      <c r="I1046" s="2">
        <v>0</v>
      </c>
      <c r="J1046" s="2">
        <v>1</v>
      </c>
    </row>
    <row r="1047" spans="1:10" x14ac:dyDescent="0.25">
      <c r="A1047" s="2">
        <v>43</v>
      </c>
      <c r="B1047" s="2" t="s">
        <v>8</v>
      </c>
      <c r="C1047" s="2">
        <v>24.7</v>
      </c>
      <c r="D1047" s="2">
        <v>2</v>
      </c>
      <c r="E1047" s="2" t="s">
        <v>9</v>
      </c>
      <c r="F1047" s="2" t="s">
        <v>20</v>
      </c>
      <c r="G1047" s="2">
        <v>1489.3803363185136</v>
      </c>
      <c r="H1047" s="2">
        <v>1985.8404484246848</v>
      </c>
      <c r="I1047" s="2">
        <v>1</v>
      </c>
      <c r="J1047" s="2">
        <v>2</v>
      </c>
    </row>
    <row r="1048" spans="1:10" x14ac:dyDescent="0.25">
      <c r="A1048" s="2">
        <v>43</v>
      </c>
      <c r="B1048" s="2" t="s">
        <v>8</v>
      </c>
      <c r="C1048" s="2">
        <v>25.1</v>
      </c>
      <c r="D1048" s="2">
        <v>0</v>
      </c>
      <c r="E1048" s="2" t="s">
        <v>12</v>
      </c>
      <c r="F1048" s="2" t="s">
        <v>15</v>
      </c>
      <c r="G1048" s="2">
        <v>2103.8070158121673</v>
      </c>
      <c r="H1048" s="2">
        <v>2475.0670774260798</v>
      </c>
      <c r="I1048" s="2">
        <v>0</v>
      </c>
      <c r="J1048" s="2">
        <v>1</v>
      </c>
    </row>
    <row r="1049" spans="1:10" x14ac:dyDescent="0.25">
      <c r="A1049" s="2">
        <v>22</v>
      </c>
      <c r="B1049" s="2" t="s">
        <v>11</v>
      </c>
      <c r="C1049" s="2">
        <v>23.4</v>
      </c>
      <c r="D1049" s="2">
        <v>1</v>
      </c>
      <c r="E1049" s="2" t="s">
        <v>9</v>
      </c>
      <c r="F1049" s="2" t="s">
        <v>13</v>
      </c>
      <c r="G1049" s="2">
        <v>1403.8974556700741</v>
      </c>
      <c r="H1049" s="2">
        <v>1651.6440654942055</v>
      </c>
      <c r="I1049" s="2">
        <v>1</v>
      </c>
      <c r="J1049" s="2">
        <v>2</v>
      </c>
    </row>
    <row r="1050" spans="1:10" x14ac:dyDescent="0.25">
      <c r="A1050" s="2">
        <v>25</v>
      </c>
      <c r="B1050" s="2" t="s">
        <v>8</v>
      </c>
      <c r="C1050" s="2">
        <v>24.2</v>
      </c>
      <c r="D1050" s="2">
        <v>1</v>
      </c>
      <c r="E1050" s="2" t="s">
        <v>12</v>
      </c>
      <c r="F1050" s="2" t="s">
        <v>20</v>
      </c>
      <c r="G1050" s="2">
        <v>1583.8321306523108</v>
      </c>
      <c r="H1050" s="2">
        <v>1863.3319184144841</v>
      </c>
      <c r="I1050" s="2">
        <v>0</v>
      </c>
      <c r="J1050" s="2">
        <v>0</v>
      </c>
    </row>
    <row r="1051" spans="1:10" x14ac:dyDescent="0.25">
      <c r="A1051" s="2">
        <v>49</v>
      </c>
      <c r="B1051" s="2" t="s">
        <v>11</v>
      </c>
      <c r="C1051" s="2">
        <v>30.9</v>
      </c>
      <c r="D1051" s="2">
        <v>0</v>
      </c>
      <c r="E1051" s="2" t="s">
        <v>9</v>
      </c>
      <c r="F1051" s="2" t="s">
        <v>21</v>
      </c>
      <c r="G1051" s="2">
        <v>4670.6446827084419</v>
      </c>
      <c r="H1051" s="2">
        <v>4448.2330311508986</v>
      </c>
      <c r="I1051" s="2">
        <v>1</v>
      </c>
      <c r="J1051" s="2">
        <v>2</v>
      </c>
    </row>
    <row r="1052" spans="1:10" x14ac:dyDescent="0.25">
      <c r="A1052" s="2">
        <v>44</v>
      </c>
      <c r="B1052" s="2" t="s">
        <v>8</v>
      </c>
      <c r="C1052" s="2">
        <v>37</v>
      </c>
      <c r="D1052" s="2">
        <v>1</v>
      </c>
      <c r="E1052" s="2" t="s">
        <v>12</v>
      </c>
      <c r="F1052" s="2" t="s">
        <v>20</v>
      </c>
      <c r="G1052" s="2">
        <v>6035.3364342030563</v>
      </c>
      <c r="H1052" s="2">
        <v>5747.9394611457692</v>
      </c>
      <c r="I1052" s="2">
        <v>0</v>
      </c>
      <c r="J1052" s="2">
        <v>1</v>
      </c>
    </row>
    <row r="1053" spans="1:10" x14ac:dyDescent="0.25">
      <c r="A1053" s="2">
        <v>64</v>
      </c>
      <c r="B1053" s="2" t="s">
        <v>11</v>
      </c>
      <c r="C1053" s="2">
        <v>26.4</v>
      </c>
      <c r="D1053" s="2">
        <v>0</v>
      </c>
      <c r="E1053" s="2" t="s">
        <v>12</v>
      </c>
      <c r="F1053" s="2" t="s">
        <v>15</v>
      </c>
      <c r="G1053" s="2">
        <v>4227.2754731988944</v>
      </c>
      <c r="H1053" s="2">
        <v>4025.9766411418059</v>
      </c>
      <c r="I1053" s="2">
        <v>0</v>
      </c>
      <c r="J1053" s="2">
        <v>1</v>
      </c>
    </row>
    <row r="1054" spans="1:10" x14ac:dyDescent="0.25">
      <c r="A1054" s="2">
        <v>49</v>
      </c>
      <c r="B1054" s="2" t="s">
        <v>11</v>
      </c>
      <c r="C1054" s="2">
        <v>29.8</v>
      </c>
      <c r="D1054" s="2">
        <v>1</v>
      </c>
      <c r="E1054" s="2" t="s">
        <v>12</v>
      </c>
      <c r="F1054" s="2" t="s">
        <v>15</v>
      </c>
      <c r="G1054" s="2">
        <v>5840.448922180859</v>
      </c>
      <c r="H1054" s="2">
        <v>5562.3323068389145</v>
      </c>
      <c r="I1054" s="2">
        <v>0</v>
      </c>
      <c r="J1054" s="2">
        <v>1</v>
      </c>
    </row>
    <row r="1055" spans="1:10" x14ac:dyDescent="0.25">
      <c r="A1055" s="2">
        <v>47</v>
      </c>
      <c r="B1055" s="2" t="s">
        <v>11</v>
      </c>
      <c r="C1055" s="2">
        <v>29.8</v>
      </c>
      <c r="D1055" s="2">
        <v>3</v>
      </c>
      <c r="E1055" s="2" t="s">
        <v>9</v>
      </c>
      <c r="F1055" s="2" t="s">
        <v>21</v>
      </c>
      <c r="G1055" s="2">
        <v>1703.2005875176774</v>
      </c>
      <c r="H1055" s="2">
        <v>2270.9341166902364</v>
      </c>
      <c r="I1055" s="2">
        <v>1</v>
      </c>
      <c r="J1055" s="2">
        <v>2</v>
      </c>
    </row>
    <row r="1056" spans="1:10" x14ac:dyDescent="0.25">
      <c r="A1056" s="2">
        <v>27</v>
      </c>
      <c r="B1056" s="2" t="s">
        <v>8</v>
      </c>
      <c r="C1056" s="2">
        <v>22.3</v>
      </c>
      <c r="D1056" s="2">
        <v>0</v>
      </c>
      <c r="E1056" s="2" t="s">
        <v>12</v>
      </c>
      <c r="F1056" s="2" t="s">
        <v>20</v>
      </c>
      <c r="G1056" s="2">
        <v>2291.9274457970755</v>
      </c>
      <c r="H1056" s="2">
        <v>2696.3852303495014</v>
      </c>
      <c r="I1056" s="2">
        <v>0</v>
      </c>
      <c r="J1056" s="2">
        <v>0</v>
      </c>
    </row>
    <row r="1057" spans="1:10" x14ac:dyDescent="0.25">
      <c r="A1057" s="2">
        <v>55</v>
      </c>
      <c r="B1057" s="2" t="s">
        <v>11</v>
      </c>
      <c r="C1057" s="2">
        <v>27.6</v>
      </c>
      <c r="D1057" s="2">
        <v>0</v>
      </c>
      <c r="E1057" s="2" t="s">
        <v>12</v>
      </c>
      <c r="F1057" s="2" t="s">
        <v>20</v>
      </c>
      <c r="G1057" s="2">
        <v>3679.3955930165366</v>
      </c>
      <c r="H1057" s="2">
        <v>3504.1862790633695</v>
      </c>
      <c r="I1057" s="2">
        <v>0</v>
      </c>
      <c r="J1057" s="2">
        <v>1</v>
      </c>
    </row>
    <row r="1058" spans="1:10" x14ac:dyDescent="0.25">
      <c r="A1058" s="2">
        <v>48</v>
      </c>
      <c r="B1058" s="2" t="s">
        <v>8</v>
      </c>
      <c r="C1058" s="2">
        <v>28.9</v>
      </c>
      <c r="D1058" s="2">
        <v>0</v>
      </c>
      <c r="E1058" s="2" t="s">
        <v>12</v>
      </c>
      <c r="F1058" s="2" t="s">
        <v>21</v>
      </c>
      <c r="G1058" s="2">
        <v>4504.2452876915622</v>
      </c>
      <c r="H1058" s="2">
        <v>4289.7574168491083</v>
      </c>
      <c r="I1058" s="2">
        <v>0</v>
      </c>
      <c r="J1058" s="2">
        <v>1</v>
      </c>
    </row>
    <row r="1059" spans="1:10" x14ac:dyDescent="0.25">
      <c r="A1059" s="2">
        <v>45</v>
      </c>
      <c r="B1059" s="2" t="s">
        <v>8</v>
      </c>
      <c r="C1059" s="2">
        <v>31.8</v>
      </c>
      <c r="D1059" s="2">
        <v>0</v>
      </c>
      <c r="E1059" s="2" t="s">
        <v>12</v>
      </c>
      <c r="F1059" s="2" t="s">
        <v>13</v>
      </c>
      <c r="G1059" s="2">
        <v>5107.7361104540205</v>
      </c>
      <c r="H1059" s="2">
        <v>4864.5105813847822</v>
      </c>
      <c r="I1059" s="2">
        <v>0</v>
      </c>
      <c r="J1059" s="2">
        <v>1</v>
      </c>
    </row>
    <row r="1060" spans="1:10" x14ac:dyDescent="0.25">
      <c r="A1060" s="2">
        <v>24</v>
      </c>
      <c r="B1060" s="2" t="s">
        <v>8</v>
      </c>
      <c r="C1060" s="2">
        <v>24.5</v>
      </c>
      <c r="D1060" s="2">
        <v>0</v>
      </c>
      <c r="E1060" s="2" t="s">
        <v>12</v>
      </c>
      <c r="F1060" s="2" t="s">
        <v>13</v>
      </c>
      <c r="G1060" s="2">
        <v>1523.6591255520352</v>
      </c>
      <c r="H1060" s="2">
        <v>1792.5401477082776</v>
      </c>
      <c r="I1060" s="2">
        <v>0</v>
      </c>
      <c r="J1060" s="2">
        <v>0</v>
      </c>
    </row>
    <row r="1061" spans="1:10" x14ac:dyDescent="0.25">
      <c r="A1061" s="2">
        <v>32</v>
      </c>
      <c r="B1061" s="2" t="s">
        <v>11</v>
      </c>
      <c r="C1061" s="2">
        <v>20.3</v>
      </c>
      <c r="D1061" s="2">
        <v>1</v>
      </c>
      <c r="E1061" s="2" t="s">
        <v>12</v>
      </c>
      <c r="F1061" s="2" t="s">
        <v>20</v>
      </c>
      <c r="G1061" s="2">
        <v>1641.5686871612636</v>
      </c>
      <c r="H1061" s="2">
        <v>1931.2572790132519</v>
      </c>
      <c r="I1061" s="2">
        <v>0</v>
      </c>
      <c r="J1061" s="2">
        <v>0</v>
      </c>
    </row>
    <row r="1062" spans="1:10" x14ac:dyDescent="0.25">
      <c r="A1062" s="2">
        <v>24</v>
      </c>
      <c r="B1062" s="2" t="s">
        <v>11</v>
      </c>
      <c r="C1062" s="2">
        <v>25.1</v>
      </c>
      <c r="D1062" s="2">
        <v>0</v>
      </c>
      <c r="E1062" s="2" t="s">
        <v>12</v>
      </c>
      <c r="F1062" s="2" t="s">
        <v>13</v>
      </c>
      <c r="G1062" s="2">
        <v>1872.0232723000147</v>
      </c>
      <c r="H1062" s="2">
        <v>2202.3803203529592</v>
      </c>
      <c r="I1062" s="2">
        <v>0</v>
      </c>
      <c r="J1062" s="2">
        <v>0</v>
      </c>
    </row>
    <row r="1063" spans="1:10" x14ac:dyDescent="0.25">
      <c r="A1063" s="2">
        <v>57</v>
      </c>
      <c r="B1063" s="2" t="s">
        <v>11</v>
      </c>
      <c r="C1063" s="2">
        <v>27.9</v>
      </c>
      <c r="D1063" s="2">
        <v>1</v>
      </c>
      <c r="E1063" s="2" t="s">
        <v>12</v>
      </c>
      <c r="F1063" s="2" t="s">
        <v>13</v>
      </c>
      <c r="G1063" s="2">
        <v>5019.5994184593956</v>
      </c>
      <c r="H1063" s="2">
        <v>4780.5708747232347</v>
      </c>
      <c r="I1063" s="2">
        <v>0</v>
      </c>
      <c r="J1063" s="2">
        <v>1</v>
      </c>
    </row>
    <row r="1064" spans="1:10" x14ac:dyDescent="0.25">
      <c r="A1064" s="2">
        <v>59</v>
      </c>
      <c r="B1064" s="2" t="s">
        <v>11</v>
      </c>
      <c r="C1064" s="2">
        <v>41.1</v>
      </c>
      <c r="D1064" s="2">
        <v>1</v>
      </c>
      <c r="E1064" s="2" t="s">
        <v>9</v>
      </c>
      <c r="F1064" s="2" t="s">
        <v>13</v>
      </c>
      <c r="G1064" s="2">
        <v>4519.2535492514589</v>
      </c>
      <c r="H1064" s="2">
        <v>4304.0509992871057</v>
      </c>
      <c r="I1064" s="2">
        <v>1</v>
      </c>
      <c r="J1064" s="2">
        <v>2</v>
      </c>
    </row>
    <row r="1065" spans="1:10" x14ac:dyDescent="0.25">
      <c r="A1065" s="2">
        <v>36</v>
      </c>
      <c r="B1065" s="2" t="s">
        <v>11</v>
      </c>
      <c r="C1065" s="2">
        <v>28.6</v>
      </c>
      <c r="D1065" s="2">
        <v>3</v>
      </c>
      <c r="E1065" s="2" t="s">
        <v>12</v>
      </c>
      <c r="F1065" s="2" t="s">
        <v>20</v>
      </c>
      <c r="G1065" s="2">
        <v>1711.3842855211078</v>
      </c>
      <c r="H1065" s="2">
        <v>2281.8457140281439</v>
      </c>
      <c r="I1065" s="2">
        <v>0</v>
      </c>
      <c r="J1065" s="2">
        <v>3</v>
      </c>
    </row>
    <row r="1066" spans="1:10" x14ac:dyDescent="0.25">
      <c r="A1066" s="2">
        <v>29</v>
      </c>
      <c r="B1066" s="2" t="s">
        <v>8</v>
      </c>
      <c r="C1066" s="2">
        <v>25.6</v>
      </c>
      <c r="D1066" s="2">
        <v>4</v>
      </c>
      <c r="E1066" s="2" t="s">
        <v>12</v>
      </c>
      <c r="F1066" s="2" t="s">
        <v>21</v>
      </c>
      <c r="G1066" s="2">
        <v>2037.5325546459676</v>
      </c>
      <c r="H1066" s="2">
        <v>2716.71007286129</v>
      </c>
      <c r="I1066" s="2">
        <v>0</v>
      </c>
      <c r="J1066" s="2">
        <v>3</v>
      </c>
    </row>
    <row r="1067" spans="1:10" x14ac:dyDescent="0.25">
      <c r="A1067" s="2">
        <v>42</v>
      </c>
      <c r="B1067" s="2" t="s">
        <v>8</v>
      </c>
      <c r="C1067" s="2">
        <v>25.3</v>
      </c>
      <c r="D1067" s="2">
        <v>1</v>
      </c>
      <c r="E1067" s="2" t="s">
        <v>12</v>
      </c>
      <c r="F1067" s="2" t="s">
        <v>21</v>
      </c>
      <c r="G1067" s="2">
        <v>2130.9581090674492</v>
      </c>
      <c r="H1067" s="2">
        <v>2507.0095400793525</v>
      </c>
      <c r="I1067" s="2">
        <v>0</v>
      </c>
      <c r="J1067" s="2">
        <v>0</v>
      </c>
    </row>
    <row r="1068" spans="1:10" x14ac:dyDescent="0.25">
      <c r="A1068" s="2">
        <v>48</v>
      </c>
      <c r="B1068" s="2" t="s">
        <v>11</v>
      </c>
      <c r="C1068" s="2">
        <v>37.299999999999997</v>
      </c>
      <c r="D1068" s="2">
        <v>2</v>
      </c>
      <c r="E1068" s="2" t="s">
        <v>12</v>
      </c>
      <c r="F1068" s="2" t="s">
        <v>13</v>
      </c>
      <c r="G1068" s="2">
        <v>1531.1793644389777</v>
      </c>
      <c r="H1068" s="2">
        <v>2041.5724859186369</v>
      </c>
      <c r="I1068" s="2">
        <v>0</v>
      </c>
      <c r="J1068" s="2">
        <v>3</v>
      </c>
    </row>
    <row r="1069" spans="1:10" x14ac:dyDescent="0.25">
      <c r="A1069" s="2">
        <v>39</v>
      </c>
      <c r="B1069" s="2" t="s">
        <v>11</v>
      </c>
      <c r="C1069" s="2">
        <v>42.7</v>
      </c>
      <c r="D1069" s="2">
        <v>0</v>
      </c>
      <c r="E1069" s="2" t="s">
        <v>12</v>
      </c>
      <c r="F1069" s="2" t="s">
        <v>15</v>
      </c>
      <c r="G1069" s="2">
        <v>4032.4108735329005</v>
      </c>
      <c r="H1069" s="2">
        <v>3840.3913081265732</v>
      </c>
      <c r="I1069" s="2">
        <v>0</v>
      </c>
      <c r="J1069" s="2">
        <v>1</v>
      </c>
    </row>
    <row r="1070" spans="1:10" x14ac:dyDescent="0.25">
      <c r="A1070" s="2">
        <v>63</v>
      </c>
      <c r="B1070" s="2" t="s">
        <v>11</v>
      </c>
      <c r="C1070" s="2">
        <v>21.7</v>
      </c>
      <c r="D1070" s="2">
        <v>1</v>
      </c>
      <c r="E1070" s="2" t="s">
        <v>12</v>
      </c>
      <c r="F1070" s="2" t="s">
        <v>20</v>
      </c>
      <c r="G1070" s="2">
        <v>4152.4206232771076</v>
      </c>
      <c r="H1070" s="2">
        <v>3954.686307882961</v>
      </c>
      <c r="I1070" s="2">
        <v>0</v>
      </c>
      <c r="J1070" s="2">
        <v>1</v>
      </c>
    </row>
    <row r="1071" spans="1:10" x14ac:dyDescent="0.25">
      <c r="A1071" s="2">
        <v>54</v>
      </c>
      <c r="B1071" s="2" t="s">
        <v>8</v>
      </c>
      <c r="C1071" s="2">
        <v>31.9</v>
      </c>
      <c r="D1071" s="2">
        <v>1</v>
      </c>
      <c r="E1071" s="2" t="s">
        <v>12</v>
      </c>
      <c r="F1071" s="2" t="s">
        <v>13</v>
      </c>
      <c r="G1071" s="2">
        <v>5570.6653222694995</v>
      </c>
      <c r="H1071" s="2">
        <v>5305.3955450185731</v>
      </c>
      <c r="I1071" s="2">
        <v>0</v>
      </c>
      <c r="J1071" s="2">
        <v>1</v>
      </c>
    </row>
    <row r="1072" spans="1:10" x14ac:dyDescent="0.25">
      <c r="A1072" s="2">
        <v>37</v>
      </c>
      <c r="B1072" s="2" t="s">
        <v>11</v>
      </c>
      <c r="C1072" s="2">
        <v>37.1</v>
      </c>
      <c r="D1072" s="2">
        <v>1</v>
      </c>
      <c r="E1072" s="2" t="s">
        <v>9</v>
      </c>
      <c r="F1072" s="2" t="s">
        <v>13</v>
      </c>
      <c r="G1072" s="2">
        <v>5427.7938781035227</v>
      </c>
      <c r="H1072" s="2">
        <v>5169.3275029557371</v>
      </c>
      <c r="I1072" s="2">
        <v>1</v>
      </c>
      <c r="J1072" s="2">
        <v>2</v>
      </c>
    </row>
    <row r="1073" spans="1:10" x14ac:dyDescent="0.25">
      <c r="A1073" s="2">
        <v>63</v>
      </c>
      <c r="B1073" s="2" t="s">
        <v>11</v>
      </c>
      <c r="C1073" s="2">
        <v>31.4</v>
      </c>
      <c r="D1073" s="2">
        <v>0</v>
      </c>
      <c r="E1073" s="2" t="s">
        <v>12</v>
      </c>
      <c r="F1073" s="2" t="s">
        <v>15</v>
      </c>
      <c r="G1073" s="2">
        <v>5221.9425605370825</v>
      </c>
      <c r="H1073" s="2">
        <v>4973.2786290829363</v>
      </c>
      <c r="I1073" s="2">
        <v>0</v>
      </c>
      <c r="J1073" s="2">
        <v>1</v>
      </c>
    </row>
    <row r="1074" spans="1:10" x14ac:dyDescent="0.25">
      <c r="A1074" s="2">
        <v>21</v>
      </c>
      <c r="B1074" s="2" t="s">
        <v>11</v>
      </c>
      <c r="C1074" s="2">
        <v>21.5</v>
      </c>
      <c r="D1074" s="2">
        <v>0</v>
      </c>
      <c r="E1074" s="2" t="s">
        <v>12</v>
      </c>
      <c r="F1074" s="2" t="s">
        <v>20</v>
      </c>
      <c r="G1074" s="2">
        <v>1412.0310235780269</v>
      </c>
      <c r="H1074" s="2">
        <v>1661.2129689153267</v>
      </c>
      <c r="I1074" s="2">
        <v>0</v>
      </c>
      <c r="J1074" s="2">
        <v>0</v>
      </c>
    </row>
    <row r="1075" spans="1:10" x14ac:dyDescent="0.25">
      <c r="A1075" s="2">
        <v>54</v>
      </c>
      <c r="B1075" s="2" t="s">
        <v>8</v>
      </c>
      <c r="C1075" s="2">
        <v>28.9</v>
      </c>
      <c r="D1075" s="2">
        <v>2</v>
      </c>
      <c r="E1075" s="2" t="s">
        <v>12</v>
      </c>
      <c r="F1075" s="2" t="s">
        <v>15</v>
      </c>
      <c r="G1075" s="2">
        <v>1919.1017903131349</v>
      </c>
      <c r="H1075" s="2">
        <v>2558.8023870841798</v>
      </c>
      <c r="I1075" s="2">
        <v>0</v>
      </c>
      <c r="J1075" s="2">
        <v>3</v>
      </c>
    </row>
    <row r="1076" spans="1:10" x14ac:dyDescent="0.25">
      <c r="A1076" s="2">
        <v>60</v>
      </c>
      <c r="B1076" s="2" t="s">
        <v>8</v>
      </c>
      <c r="C1076" s="2">
        <v>18.3</v>
      </c>
      <c r="D1076" s="2">
        <v>0</v>
      </c>
      <c r="E1076" s="2" t="s">
        <v>12</v>
      </c>
      <c r="F1076" s="2" t="s">
        <v>15</v>
      </c>
      <c r="G1076" s="2">
        <v>5589.9913769262203</v>
      </c>
      <c r="H1076" s="2">
        <v>5323.8013113583056</v>
      </c>
      <c r="I1076" s="2">
        <v>0</v>
      </c>
      <c r="J1076" s="2">
        <v>1</v>
      </c>
    </row>
    <row r="1077" spans="1:10" x14ac:dyDescent="0.25">
      <c r="A1077" s="2">
        <v>32</v>
      </c>
      <c r="B1077" s="2" t="s">
        <v>8</v>
      </c>
      <c r="C1077" s="2">
        <v>23.8</v>
      </c>
      <c r="D1077" s="2">
        <v>1</v>
      </c>
      <c r="E1077" s="2" t="s">
        <v>12</v>
      </c>
      <c r="F1077" s="2" t="s">
        <v>13</v>
      </c>
      <c r="G1077" s="2">
        <v>1741.8165311944856</v>
      </c>
      <c r="H1077" s="2">
        <v>2049.1959190523366</v>
      </c>
      <c r="I1077" s="2">
        <v>0</v>
      </c>
      <c r="J1077" s="2">
        <v>0</v>
      </c>
    </row>
    <row r="1078" spans="1:10" x14ac:dyDescent="0.25">
      <c r="A1078" s="2">
        <v>47</v>
      </c>
      <c r="B1078" s="2" t="s">
        <v>8</v>
      </c>
      <c r="C1078" s="2">
        <v>32</v>
      </c>
      <c r="D1078" s="2">
        <v>1</v>
      </c>
      <c r="E1078" s="2" t="s">
        <v>12</v>
      </c>
      <c r="F1078" s="2" t="s">
        <v>21</v>
      </c>
      <c r="G1078" s="2">
        <v>4775.8163899403735</v>
      </c>
      <c r="H1078" s="2">
        <v>4548.396561847977</v>
      </c>
      <c r="I1078" s="2">
        <v>0</v>
      </c>
      <c r="J1078" s="2">
        <v>1</v>
      </c>
    </row>
    <row r="1079" spans="1:10" x14ac:dyDescent="0.25">
      <c r="A1079" s="2">
        <v>21</v>
      </c>
      <c r="B1079" s="2" t="s">
        <v>11</v>
      </c>
      <c r="C1079" s="2">
        <v>24.4</v>
      </c>
      <c r="D1079" s="2">
        <v>0</v>
      </c>
      <c r="E1079" s="2" t="s">
        <v>12</v>
      </c>
      <c r="F1079" s="2" t="s">
        <v>15</v>
      </c>
      <c r="G1079" s="2">
        <v>1596.7062974165797</v>
      </c>
      <c r="H1079" s="2">
        <v>1878.477996960683</v>
      </c>
      <c r="I1079" s="2">
        <v>0</v>
      </c>
      <c r="J1079" s="2">
        <v>0</v>
      </c>
    </row>
    <row r="1080" spans="1:10" x14ac:dyDescent="0.25">
      <c r="A1080" s="2">
        <v>28</v>
      </c>
      <c r="B1080" s="2" t="s">
        <v>11</v>
      </c>
      <c r="C1080" s="2">
        <v>21.1</v>
      </c>
      <c r="D1080" s="2">
        <v>0</v>
      </c>
      <c r="E1080" s="2" t="s">
        <v>9</v>
      </c>
      <c r="F1080" s="2" t="s">
        <v>13</v>
      </c>
      <c r="G1080" s="2">
        <v>1992.0756758797852</v>
      </c>
      <c r="H1080" s="2">
        <v>2343.618442211513</v>
      </c>
      <c r="I1080" s="2">
        <v>1</v>
      </c>
      <c r="J1080" s="2">
        <v>2</v>
      </c>
    </row>
    <row r="1081" spans="1:10" x14ac:dyDescent="0.25">
      <c r="A1081" s="2">
        <v>63</v>
      </c>
      <c r="B1081" s="2" t="s">
        <v>11</v>
      </c>
      <c r="C1081" s="2">
        <v>33.700000000000003</v>
      </c>
      <c r="D1081" s="2">
        <v>3</v>
      </c>
      <c r="E1081" s="2" t="s">
        <v>12</v>
      </c>
      <c r="F1081" s="2" t="s">
        <v>13</v>
      </c>
      <c r="G1081" s="2">
        <v>3475.1706017141305</v>
      </c>
      <c r="H1081" s="2">
        <v>4633.5608022855076</v>
      </c>
      <c r="I1081" s="2">
        <v>0</v>
      </c>
      <c r="J1081" s="2">
        <v>3</v>
      </c>
    </row>
    <row r="1082" spans="1:10" x14ac:dyDescent="0.25">
      <c r="A1082" s="2">
        <v>18</v>
      </c>
      <c r="B1082" s="2" t="s">
        <v>11</v>
      </c>
      <c r="C1082" s="2">
        <v>25.1</v>
      </c>
      <c r="D1082" s="2">
        <v>2</v>
      </c>
      <c r="E1082" s="2" t="s">
        <v>12</v>
      </c>
      <c r="F1082" s="2" t="s">
        <v>13</v>
      </c>
      <c r="G1082" s="2">
        <v>1524.6047501329999</v>
      </c>
      <c r="H1082" s="2">
        <v>1793.652647215295</v>
      </c>
      <c r="I1082" s="2">
        <v>0</v>
      </c>
      <c r="J1082" s="2">
        <v>0</v>
      </c>
    </row>
    <row r="1083" spans="1:10" x14ac:dyDescent="0.25">
      <c r="A1083" s="2">
        <v>32</v>
      </c>
      <c r="B1083" s="2" t="s">
        <v>11</v>
      </c>
      <c r="C1083" s="2">
        <v>20.3</v>
      </c>
      <c r="D1083" s="2">
        <v>1</v>
      </c>
      <c r="E1083" s="2" t="s">
        <v>12</v>
      </c>
      <c r="F1083" s="2" t="s">
        <v>20</v>
      </c>
      <c r="G1083" s="2">
        <v>2061.749807570864</v>
      </c>
      <c r="H1083" s="2">
        <v>2425.5880089068992</v>
      </c>
      <c r="I1083" s="2">
        <v>0</v>
      </c>
      <c r="J1083" s="2">
        <v>0</v>
      </c>
    </row>
    <row r="1084" spans="1:10" x14ac:dyDescent="0.25">
      <c r="A1084" s="2">
        <v>38</v>
      </c>
      <c r="B1084" s="2" t="s">
        <v>11</v>
      </c>
      <c r="C1084" s="2">
        <v>20.8</v>
      </c>
      <c r="D1084" s="2">
        <v>1</v>
      </c>
      <c r="E1084" s="2" t="s">
        <v>12</v>
      </c>
      <c r="F1084" s="2" t="s">
        <v>20</v>
      </c>
      <c r="G1084" s="2">
        <v>1520.9504873222211</v>
      </c>
      <c r="H1084" s="2">
        <v>1789.3535144967313</v>
      </c>
      <c r="I1084" s="2">
        <v>0</v>
      </c>
      <c r="J1084" s="2">
        <v>0</v>
      </c>
    </row>
    <row r="1085" spans="1:10" x14ac:dyDescent="0.25">
      <c r="A1085" s="2">
        <v>32</v>
      </c>
      <c r="B1085" s="2" t="s">
        <v>11</v>
      </c>
      <c r="C1085" s="2">
        <v>25.8</v>
      </c>
      <c r="D1085" s="2">
        <v>1</v>
      </c>
      <c r="E1085" s="2" t="s">
        <v>12</v>
      </c>
      <c r="F1085" s="2" t="s">
        <v>21</v>
      </c>
      <c r="G1085" s="2">
        <v>2011.5630690675853</v>
      </c>
      <c r="H1085" s="2">
        <v>2366.5447871383362</v>
      </c>
      <c r="I1085" s="2">
        <v>0</v>
      </c>
      <c r="J1085" s="2">
        <v>0</v>
      </c>
    </row>
    <row r="1086" spans="1:10" x14ac:dyDescent="0.25">
      <c r="A1086" s="2">
        <v>62</v>
      </c>
      <c r="B1086" s="2" t="s">
        <v>8</v>
      </c>
      <c r="C1086" s="2">
        <v>30.5</v>
      </c>
      <c r="D1086" s="2">
        <v>2</v>
      </c>
      <c r="E1086" s="2" t="s">
        <v>12</v>
      </c>
      <c r="F1086" s="2" t="s">
        <v>20</v>
      </c>
      <c r="G1086" s="2">
        <v>3861.7566518788713</v>
      </c>
      <c r="H1086" s="2">
        <v>3677.863477979879</v>
      </c>
      <c r="I1086" s="2">
        <v>0</v>
      </c>
      <c r="J1086" s="2">
        <v>1</v>
      </c>
    </row>
    <row r="1087" spans="1:10" x14ac:dyDescent="0.25">
      <c r="A1087" s="2">
        <v>39</v>
      </c>
      <c r="B1087" s="2" t="s">
        <v>8</v>
      </c>
      <c r="C1087" s="2">
        <v>18.3</v>
      </c>
      <c r="D1087" s="2">
        <v>5</v>
      </c>
      <c r="E1087" s="2" t="s">
        <v>9</v>
      </c>
      <c r="F1087" s="2" t="s">
        <v>21</v>
      </c>
      <c r="G1087" s="2">
        <v>1159.0161856990621</v>
      </c>
      <c r="H1087" s="2">
        <v>1545.3549142654163</v>
      </c>
      <c r="I1087" s="2">
        <v>1</v>
      </c>
      <c r="J1087" s="2">
        <v>2</v>
      </c>
    </row>
    <row r="1088" spans="1:10" x14ac:dyDescent="0.25">
      <c r="A1088" s="2">
        <v>55</v>
      </c>
      <c r="B1088" s="2" t="s">
        <v>11</v>
      </c>
      <c r="C1088" s="2">
        <v>29</v>
      </c>
      <c r="D1088" s="2">
        <v>0</v>
      </c>
      <c r="E1088" s="2" t="s">
        <v>12</v>
      </c>
      <c r="F1088" s="2" t="s">
        <v>15</v>
      </c>
      <c r="G1088" s="2">
        <v>5417.4595229667593</v>
      </c>
      <c r="H1088" s="2">
        <v>5159.4852599683436</v>
      </c>
      <c r="I1088" s="2">
        <v>0</v>
      </c>
      <c r="J1088" s="2">
        <v>1</v>
      </c>
    </row>
    <row r="1089" spans="1:10" x14ac:dyDescent="0.25">
      <c r="A1089" s="2">
        <v>57</v>
      </c>
      <c r="B1089" s="2" t="s">
        <v>11</v>
      </c>
      <c r="C1089" s="2">
        <v>31.5</v>
      </c>
      <c r="D1089" s="2">
        <v>0</v>
      </c>
      <c r="E1089" s="2" t="s">
        <v>12</v>
      </c>
      <c r="F1089" s="2" t="s">
        <v>20</v>
      </c>
      <c r="G1089" s="2">
        <v>5588.9963239420467</v>
      </c>
      <c r="H1089" s="2">
        <v>5322.8536418495705</v>
      </c>
      <c r="I1089" s="2">
        <v>0</v>
      </c>
      <c r="J1089" s="2">
        <v>1</v>
      </c>
    </row>
    <row r="1090" spans="1:10" x14ac:dyDescent="0.25">
      <c r="A1090" s="2">
        <v>52</v>
      </c>
      <c r="B1090" s="2" t="s">
        <v>11</v>
      </c>
      <c r="C1090" s="2">
        <v>47.7</v>
      </c>
      <c r="D1090" s="2">
        <v>1</v>
      </c>
      <c r="E1090" s="2" t="s">
        <v>12</v>
      </c>
      <c r="F1090" s="2" t="s">
        <v>13</v>
      </c>
      <c r="G1090" s="2">
        <v>4920.3113204769625</v>
      </c>
      <c r="H1090" s="2">
        <v>4686.0107814066323</v>
      </c>
      <c r="I1090" s="2">
        <v>0</v>
      </c>
      <c r="J1090" s="2">
        <v>1</v>
      </c>
    </row>
    <row r="1091" spans="1:10" x14ac:dyDescent="0.25">
      <c r="A1091" s="2">
        <v>56</v>
      </c>
      <c r="B1091" s="2" t="s">
        <v>11</v>
      </c>
      <c r="C1091" s="2">
        <v>22.1</v>
      </c>
      <c r="D1091" s="2">
        <v>0</v>
      </c>
      <c r="E1091" s="2" t="s">
        <v>12</v>
      </c>
      <c r="F1091" s="2" t="s">
        <v>21</v>
      </c>
      <c r="G1091" s="2">
        <v>4554.9488794309855</v>
      </c>
      <c r="H1091" s="2">
        <v>4338.0465518390347</v>
      </c>
      <c r="I1091" s="2">
        <v>0</v>
      </c>
      <c r="J1091" s="2">
        <v>1</v>
      </c>
    </row>
    <row r="1092" spans="1:10" x14ac:dyDescent="0.25">
      <c r="A1092" s="2">
        <v>47</v>
      </c>
      <c r="B1092" s="2" t="s">
        <v>11</v>
      </c>
      <c r="C1092" s="2">
        <v>36.200000000000003</v>
      </c>
      <c r="D1092" s="2">
        <v>0</v>
      </c>
      <c r="E1092" s="2" t="s">
        <v>9</v>
      </c>
      <c r="F1092" s="2" t="s">
        <v>13</v>
      </c>
      <c r="G1092" s="2">
        <v>5152.1519845069624</v>
      </c>
      <c r="H1092" s="2">
        <v>4906.8114138161563</v>
      </c>
      <c r="I1092" s="2">
        <v>1</v>
      </c>
      <c r="J1092" s="2">
        <v>2</v>
      </c>
    </row>
    <row r="1093" spans="1:10" x14ac:dyDescent="0.25">
      <c r="A1093" s="2">
        <v>55</v>
      </c>
      <c r="B1093" s="2" t="s">
        <v>8</v>
      </c>
      <c r="C1093" s="2">
        <v>29.8</v>
      </c>
      <c r="D1093" s="2">
        <v>0</v>
      </c>
      <c r="E1093" s="2" t="s">
        <v>12</v>
      </c>
      <c r="F1093" s="2" t="s">
        <v>15</v>
      </c>
      <c r="G1093" s="2">
        <v>4731.6515357468252</v>
      </c>
      <c r="H1093" s="2">
        <v>4506.3347959493585</v>
      </c>
      <c r="I1093" s="2">
        <v>0</v>
      </c>
      <c r="J1093" s="2">
        <v>1</v>
      </c>
    </row>
    <row r="1094" spans="1:10" x14ac:dyDescent="0.25">
      <c r="A1094" s="2">
        <v>23</v>
      </c>
      <c r="B1094" s="2" t="s">
        <v>11</v>
      </c>
      <c r="C1094" s="2">
        <v>32.700000000000003</v>
      </c>
      <c r="D1094" s="2">
        <v>3</v>
      </c>
      <c r="E1094" s="2" t="s">
        <v>12</v>
      </c>
      <c r="F1094" s="2" t="s">
        <v>21</v>
      </c>
      <c r="G1094" s="2">
        <v>1076.9622344689758</v>
      </c>
      <c r="H1094" s="2">
        <v>1435.9496459586344</v>
      </c>
      <c r="I1094" s="2">
        <v>0</v>
      </c>
      <c r="J1094" s="2">
        <v>3</v>
      </c>
    </row>
    <row r="1095" spans="1:10" x14ac:dyDescent="0.25">
      <c r="A1095" s="2">
        <v>22</v>
      </c>
      <c r="B1095" s="2" t="s">
        <v>8</v>
      </c>
      <c r="C1095" s="2">
        <v>22.2</v>
      </c>
      <c r="D1095" s="2">
        <v>0</v>
      </c>
      <c r="E1095" s="2" t="s">
        <v>9</v>
      </c>
      <c r="F1095" s="2" t="s">
        <v>20</v>
      </c>
      <c r="G1095" s="2">
        <v>1972.8371144516482</v>
      </c>
      <c r="H1095" s="2">
        <v>2320.9848405313514</v>
      </c>
      <c r="I1095" s="2">
        <v>1</v>
      </c>
      <c r="J1095" s="2">
        <v>2</v>
      </c>
    </row>
    <row r="1096" spans="1:10" x14ac:dyDescent="0.25">
      <c r="A1096" s="2">
        <v>50</v>
      </c>
      <c r="B1096" s="2" t="s">
        <v>8</v>
      </c>
      <c r="C1096" s="2">
        <v>33.700000000000003</v>
      </c>
      <c r="D1096" s="2">
        <v>4</v>
      </c>
      <c r="E1096" s="2" t="s">
        <v>12</v>
      </c>
      <c r="F1096" s="2" t="s">
        <v>21</v>
      </c>
      <c r="G1096" s="2">
        <v>1841.1928397445038</v>
      </c>
      <c r="H1096" s="2">
        <v>2454.923786326005</v>
      </c>
      <c r="I1096" s="2">
        <v>0</v>
      </c>
      <c r="J1096" s="2">
        <v>3</v>
      </c>
    </row>
    <row r="1097" spans="1:10" x14ac:dyDescent="0.25">
      <c r="A1097" s="2">
        <v>18</v>
      </c>
      <c r="B1097" s="2" t="s">
        <v>8</v>
      </c>
      <c r="C1097" s="2">
        <v>31.4</v>
      </c>
      <c r="D1097" s="2">
        <v>4</v>
      </c>
      <c r="E1097" s="2" t="s">
        <v>12</v>
      </c>
      <c r="F1097" s="2" t="s">
        <v>15</v>
      </c>
      <c r="G1097" s="2">
        <v>1263.3851748121324</v>
      </c>
      <c r="H1097" s="2">
        <v>1684.5135664161764</v>
      </c>
      <c r="I1097" s="2">
        <v>0</v>
      </c>
      <c r="J1097" s="2">
        <v>3</v>
      </c>
    </row>
    <row r="1098" spans="1:10" x14ac:dyDescent="0.25">
      <c r="A1098" s="2">
        <v>51</v>
      </c>
      <c r="B1098" s="2" t="s">
        <v>8</v>
      </c>
      <c r="C1098" s="2">
        <v>35</v>
      </c>
      <c r="D1098" s="2">
        <v>2</v>
      </c>
      <c r="E1098" s="2" t="s">
        <v>9</v>
      </c>
      <c r="F1098" s="2" t="s">
        <v>15</v>
      </c>
      <c r="G1098" s="2">
        <v>2525.8093854614881</v>
      </c>
      <c r="H1098" s="2">
        <v>3367.7458472819844</v>
      </c>
      <c r="I1098" s="2">
        <v>1</v>
      </c>
      <c r="J1098" s="2">
        <v>2</v>
      </c>
    </row>
    <row r="1099" spans="1:10" x14ac:dyDescent="0.25">
      <c r="A1099" s="2">
        <v>22</v>
      </c>
      <c r="B1099" s="2" t="s">
        <v>11</v>
      </c>
      <c r="C1099" s="2">
        <v>25.6</v>
      </c>
      <c r="D1099" s="2">
        <v>0</v>
      </c>
      <c r="E1099" s="2" t="s">
        <v>12</v>
      </c>
      <c r="F1099" s="2" t="s">
        <v>13</v>
      </c>
      <c r="G1099" s="2">
        <v>2255.9898903267772</v>
      </c>
      <c r="H1099" s="2">
        <v>2654.1057533256212</v>
      </c>
      <c r="I1099" s="2">
        <v>0</v>
      </c>
      <c r="J1099" s="2">
        <v>0</v>
      </c>
    </row>
    <row r="1100" spans="1:10" x14ac:dyDescent="0.25">
      <c r="A1100" s="2">
        <v>52</v>
      </c>
      <c r="B1100" s="2" t="s">
        <v>8</v>
      </c>
      <c r="C1100" s="2">
        <v>30.9</v>
      </c>
      <c r="D1100" s="2">
        <v>0</v>
      </c>
      <c r="E1100" s="2" t="s">
        <v>12</v>
      </c>
      <c r="F1100" s="2" t="s">
        <v>15</v>
      </c>
      <c r="G1100" s="2">
        <v>5354.3032703448753</v>
      </c>
      <c r="H1100" s="2">
        <v>5099.3364479475003</v>
      </c>
      <c r="I1100" s="2">
        <v>0</v>
      </c>
      <c r="J1100" s="2">
        <v>1</v>
      </c>
    </row>
    <row r="1101" spans="1:10" x14ac:dyDescent="0.25">
      <c r="A1101" s="2">
        <v>25</v>
      </c>
      <c r="B1101" s="2" t="s">
        <v>8</v>
      </c>
      <c r="C1101" s="2">
        <v>21.5</v>
      </c>
      <c r="D1101" s="2">
        <v>1</v>
      </c>
      <c r="E1101" s="2" t="s">
        <v>12</v>
      </c>
      <c r="F1101" s="2" t="s">
        <v>13</v>
      </c>
      <c r="G1101" s="2">
        <v>2036.5188812111187</v>
      </c>
      <c r="H1101" s="2">
        <v>2395.9045661307287</v>
      </c>
      <c r="I1101" s="2">
        <v>0</v>
      </c>
      <c r="J1101" s="2">
        <v>0</v>
      </c>
    </row>
    <row r="1102" spans="1:10" x14ac:dyDescent="0.25">
      <c r="A1102" s="2">
        <v>33</v>
      </c>
      <c r="B1102" s="2" t="s">
        <v>8</v>
      </c>
      <c r="C1102" s="2">
        <v>19.100000000000001</v>
      </c>
      <c r="D1102" s="2">
        <v>2</v>
      </c>
      <c r="E1102" s="2" t="s">
        <v>9</v>
      </c>
      <c r="F1102" s="2" t="s">
        <v>15</v>
      </c>
      <c r="G1102" s="2">
        <v>2708.81778027357</v>
      </c>
      <c r="H1102" s="2">
        <v>3186.8444473806717</v>
      </c>
      <c r="I1102" s="2">
        <v>1</v>
      </c>
      <c r="J1102" s="2">
        <v>2</v>
      </c>
    </row>
    <row r="1103" spans="1:10" x14ac:dyDescent="0.25">
      <c r="A1103" s="2">
        <v>53</v>
      </c>
      <c r="B1103" s="2" t="s">
        <v>11</v>
      </c>
      <c r="C1103" s="2">
        <v>28.6</v>
      </c>
      <c r="D1103" s="2">
        <v>3</v>
      </c>
      <c r="E1103" s="2" t="s">
        <v>12</v>
      </c>
      <c r="F1103" s="2" t="s">
        <v>21</v>
      </c>
      <c r="G1103" s="2">
        <v>1207.4768178743359</v>
      </c>
      <c r="H1103" s="2">
        <v>1609.9690904991146</v>
      </c>
      <c r="I1103" s="2">
        <v>0</v>
      </c>
      <c r="J1103" s="2">
        <v>3</v>
      </c>
    </row>
    <row r="1104" spans="1:10" x14ac:dyDescent="0.25">
      <c r="A1104" s="2">
        <v>29</v>
      </c>
      <c r="B1104" s="2" t="s">
        <v>11</v>
      </c>
      <c r="C1104" s="2">
        <v>25.3</v>
      </c>
      <c r="D1104" s="2">
        <v>1</v>
      </c>
      <c r="E1104" s="2" t="s">
        <v>12</v>
      </c>
      <c r="F1104" s="2" t="s">
        <v>13</v>
      </c>
      <c r="G1104" s="2">
        <v>2219.2781174511592</v>
      </c>
      <c r="H1104" s="2">
        <v>2610.9154322954828</v>
      </c>
      <c r="I1104" s="2">
        <v>0</v>
      </c>
      <c r="J1104" s="2">
        <v>0</v>
      </c>
    </row>
    <row r="1105" spans="1:10" x14ac:dyDescent="0.25">
      <c r="A1105" s="2">
        <v>58</v>
      </c>
      <c r="B1105" s="2" t="s">
        <v>11</v>
      </c>
      <c r="C1105" s="2">
        <v>36.1</v>
      </c>
      <c r="D1105" s="2">
        <v>0</v>
      </c>
      <c r="E1105" s="2" t="s">
        <v>12</v>
      </c>
      <c r="F1105" s="2" t="s">
        <v>13</v>
      </c>
      <c r="G1105" s="2">
        <v>6294.8813658228619</v>
      </c>
      <c r="H1105" s="2">
        <v>5995.1251103074892</v>
      </c>
      <c r="I1105" s="2">
        <v>0</v>
      </c>
      <c r="J1105" s="2">
        <v>1</v>
      </c>
    </row>
    <row r="1106" spans="1:10" x14ac:dyDescent="0.25">
      <c r="A1106" s="2">
        <v>37</v>
      </c>
      <c r="B1106" s="2" t="s">
        <v>11</v>
      </c>
      <c r="C1106" s="2">
        <v>21.4</v>
      </c>
      <c r="D1106" s="2">
        <v>0</v>
      </c>
      <c r="E1106" s="2" t="s">
        <v>12</v>
      </c>
      <c r="F1106" s="2" t="s">
        <v>21</v>
      </c>
      <c r="G1106" s="2">
        <v>1713.0738334346652</v>
      </c>
      <c r="H1106" s="2">
        <v>2015.3809805113715</v>
      </c>
      <c r="I1106" s="2">
        <v>0</v>
      </c>
      <c r="J1106" s="2">
        <v>0</v>
      </c>
    </row>
    <row r="1107" spans="1:10" x14ac:dyDescent="0.25">
      <c r="A1107" s="2">
        <v>54</v>
      </c>
      <c r="B1107" s="2" t="s">
        <v>8</v>
      </c>
      <c r="C1107" s="2">
        <v>31.2</v>
      </c>
      <c r="D1107" s="2">
        <v>0</v>
      </c>
      <c r="E1107" s="2" t="s">
        <v>12</v>
      </c>
      <c r="F1107" s="2" t="s">
        <v>13</v>
      </c>
      <c r="G1107" s="2">
        <v>5261.4683353449973</v>
      </c>
      <c r="H1107" s="2">
        <v>5010.9222241380949</v>
      </c>
      <c r="I1107" s="2">
        <v>0</v>
      </c>
      <c r="J1107" s="2">
        <v>1</v>
      </c>
    </row>
    <row r="1108" spans="1:10" x14ac:dyDescent="0.25">
      <c r="A1108" s="2">
        <v>49</v>
      </c>
      <c r="B1108" s="2" t="s">
        <v>8</v>
      </c>
      <c r="C1108" s="2">
        <v>29.9</v>
      </c>
      <c r="D1108" s="2">
        <v>0</v>
      </c>
      <c r="E1108" s="2" t="s">
        <v>12</v>
      </c>
      <c r="F1108" s="2" t="s">
        <v>20</v>
      </c>
      <c r="G1108" s="2">
        <v>4107.1775954388577</v>
      </c>
      <c r="H1108" s="2">
        <v>3911.5977099417705</v>
      </c>
      <c r="I1108" s="2">
        <v>0</v>
      </c>
      <c r="J1108" s="2">
        <v>1</v>
      </c>
    </row>
    <row r="1109" spans="1:10" x14ac:dyDescent="0.25">
      <c r="A1109" s="2">
        <v>50</v>
      </c>
      <c r="B1109" s="2" t="s">
        <v>8</v>
      </c>
      <c r="C1109" s="2">
        <v>26.2</v>
      </c>
      <c r="D1109" s="2">
        <v>2</v>
      </c>
      <c r="E1109" s="2" t="s">
        <v>12</v>
      </c>
      <c r="F1109" s="2" t="s">
        <v>20</v>
      </c>
      <c r="G1109" s="2">
        <v>2488.1397920585041</v>
      </c>
      <c r="H1109" s="2">
        <v>3317.5197227446724</v>
      </c>
      <c r="I1109" s="2">
        <v>0</v>
      </c>
      <c r="J1109" s="2">
        <v>3</v>
      </c>
    </row>
    <row r="1110" spans="1:10" x14ac:dyDescent="0.25">
      <c r="A1110" s="2">
        <v>26</v>
      </c>
      <c r="B1110" s="2" t="s">
        <v>11</v>
      </c>
      <c r="C1110" s="2">
        <v>25.8</v>
      </c>
      <c r="D1110" s="2">
        <v>1</v>
      </c>
      <c r="E1110" s="2" t="s">
        <v>12</v>
      </c>
      <c r="F1110" s="2" t="s">
        <v>21</v>
      </c>
      <c r="G1110" s="2">
        <v>2045.3876378739849</v>
      </c>
      <c r="H1110" s="2">
        <v>2406.3383974988064</v>
      </c>
      <c r="I1110" s="2">
        <v>0</v>
      </c>
      <c r="J1110" s="2">
        <v>0</v>
      </c>
    </row>
    <row r="1111" spans="1:10" x14ac:dyDescent="0.25">
      <c r="A1111" s="2">
        <v>45</v>
      </c>
      <c r="B1111" s="2" t="s">
        <v>11</v>
      </c>
      <c r="C1111" s="2">
        <v>20.399999999999999</v>
      </c>
      <c r="D1111" s="2">
        <v>3</v>
      </c>
      <c r="E1111" s="2" t="s">
        <v>12</v>
      </c>
      <c r="F1111" s="2" t="s">
        <v>13</v>
      </c>
      <c r="G1111" s="2">
        <v>1938.199337943601</v>
      </c>
      <c r="H1111" s="2">
        <v>2584.2657839248013</v>
      </c>
      <c r="I1111" s="2">
        <v>0</v>
      </c>
      <c r="J1111" s="2">
        <v>3</v>
      </c>
    </row>
    <row r="1112" spans="1:10" x14ac:dyDescent="0.25">
      <c r="A1112" s="2">
        <v>54</v>
      </c>
      <c r="B1112" s="2" t="s">
        <v>8</v>
      </c>
      <c r="C1112" s="2">
        <v>32.299999999999997</v>
      </c>
      <c r="D1112" s="2">
        <v>1</v>
      </c>
      <c r="E1112" s="2" t="s">
        <v>12</v>
      </c>
      <c r="F1112" s="2" t="s">
        <v>15</v>
      </c>
      <c r="G1112" s="2">
        <v>5065.7206836023925</v>
      </c>
      <c r="H1112" s="2">
        <v>4824.495889145137</v>
      </c>
      <c r="I1112" s="2">
        <v>0</v>
      </c>
      <c r="J1112" s="2">
        <v>1</v>
      </c>
    </row>
    <row r="1113" spans="1:10" x14ac:dyDescent="0.25">
      <c r="A1113" s="2">
        <v>38</v>
      </c>
      <c r="B1113" s="2" t="s">
        <v>11</v>
      </c>
      <c r="C1113" s="2">
        <v>38.4</v>
      </c>
      <c r="D1113" s="2">
        <v>3</v>
      </c>
      <c r="E1113" s="2" t="s">
        <v>9</v>
      </c>
      <c r="F1113" s="2" t="s">
        <v>13</v>
      </c>
      <c r="G1113" s="2">
        <v>2510.7586824907708</v>
      </c>
      <c r="H1113" s="2">
        <v>3347.6782433210278</v>
      </c>
      <c r="I1113" s="2">
        <v>1</v>
      </c>
      <c r="J1113" s="2">
        <v>2</v>
      </c>
    </row>
    <row r="1114" spans="1:10" x14ac:dyDescent="0.25">
      <c r="A1114" s="2">
        <v>48</v>
      </c>
      <c r="B1114" s="2" t="s">
        <v>8</v>
      </c>
      <c r="C1114" s="2">
        <v>25.9</v>
      </c>
      <c r="D1114" s="2">
        <v>3</v>
      </c>
      <c r="E1114" s="2" t="s">
        <v>9</v>
      </c>
      <c r="F1114" s="2" t="s">
        <v>13</v>
      </c>
      <c r="G1114" s="2">
        <v>1261.8929327874898</v>
      </c>
      <c r="H1114" s="2">
        <v>1682.5239103833198</v>
      </c>
      <c r="I1114" s="2">
        <v>1</v>
      </c>
      <c r="J1114" s="2">
        <v>2</v>
      </c>
    </row>
    <row r="1115" spans="1:10" x14ac:dyDescent="0.25">
      <c r="A1115" s="2">
        <v>28</v>
      </c>
      <c r="B1115" s="2" t="s">
        <v>8</v>
      </c>
      <c r="C1115" s="2">
        <v>26.3</v>
      </c>
      <c r="D1115" s="2">
        <v>3</v>
      </c>
      <c r="E1115" s="2" t="s">
        <v>12</v>
      </c>
      <c r="F1115" s="2" t="s">
        <v>20</v>
      </c>
      <c r="G1115" s="2">
        <v>1384.4110165028533</v>
      </c>
      <c r="H1115" s="2">
        <v>1845.8813553371378</v>
      </c>
      <c r="I1115" s="2">
        <v>0</v>
      </c>
      <c r="J1115" s="2">
        <v>3</v>
      </c>
    </row>
    <row r="1116" spans="1:10" x14ac:dyDescent="0.25">
      <c r="A1116" s="2">
        <v>23</v>
      </c>
      <c r="B1116" s="2" t="s">
        <v>11</v>
      </c>
      <c r="C1116" s="2">
        <v>24.2</v>
      </c>
      <c r="D1116" s="2">
        <v>0</v>
      </c>
      <c r="E1116" s="2" t="s">
        <v>12</v>
      </c>
      <c r="F1116" s="2" t="s">
        <v>15</v>
      </c>
      <c r="G1116" s="2">
        <v>2158.0564867335152</v>
      </c>
      <c r="H1116" s="2">
        <v>2538.8899843923718</v>
      </c>
      <c r="I1116" s="2">
        <v>0</v>
      </c>
      <c r="J1116" s="2">
        <v>0</v>
      </c>
    </row>
    <row r="1117" spans="1:10" x14ac:dyDescent="0.25">
      <c r="A1117" s="2">
        <v>55</v>
      </c>
      <c r="B1117" s="2" t="s">
        <v>11</v>
      </c>
      <c r="C1117" s="2">
        <v>32.700000000000003</v>
      </c>
      <c r="D1117" s="2">
        <v>1</v>
      </c>
      <c r="E1117" s="2" t="s">
        <v>12</v>
      </c>
      <c r="F1117" s="2" t="s">
        <v>13</v>
      </c>
      <c r="G1117" s="2">
        <v>4656.6803582857274</v>
      </c>
      <c r="H1117" s="2">
        <v>4434.9336745578366</v>
      </c>
      <c r="I1117" s="2">
        <v>0</v>
      </c>
      <c r="J1117" s="2">
        <v>1</v>
      </c>
    </row>
    <row r="1118" spans="1:10" x14ac:dyDescent="0.25">
      <c r="A1118" s="2">
        <v>41</v>
      </c>
      <c r="B1118" s="2" t="s">
        <v>11</v>
      </c>
      <c r="C1118" s="2">
        <v>29.6</v>
      </c>
      <c r="D1118" s="2">
        <v>5</v>
      </c>
      <c r="E1118" s="2" t="s">
        <v>12</v>
      </c>
      <c r="F1118" s="2" t="s">
        <v>15</v>
      </c>
      <c r="G1118" s="2">
        <v>2114.5125599579669</v>
      </c>
      <c r="H1118" s="2">
        <v>2819.3500799439557</v>
      </c>
      <c r="I1118" s="2">
        <v>0</v>
      </c>
      <c r="J1118" s="2">
        <v>3</v>
      </c>
    </row>
    <row r="1119" spans="1:10" x14ac:dyDescent="0.25">
      <c r="A1119" s="2">
        <v>25</v>
      </c>
      <c r="B1119" s="2" t="s">
        <v>11</v>
      </c>
      <c r="C1119" s="2">
        <v>33.299999999999997</v>
      </c>
      <c r="D1119" s="2">
        <v>2</v>
      </c>
      <c r="E1119" s="2" t="s">
        <v>9</v>
      </c>
      <c r="F1119" s="2" t="s">
        <v>13</v>
      </c>
      <c r="G1119" s="2">
        <v>1069.4044552872585</v>
      </c>
      <c r="H1119" s="2">
        <v>1425.872607049678</v>
      </c>
      <c r="I1119" s="2">
        <v>1</v>
      </c>
      <c r="J1119" s="2">
        <v>2</v>
      </c>
    </row>
    <row r="1120" spans="1:10" x14ac:dyDescent="0.25">
      <c r="A1120" s="2">
        <v>33</v>
      </c>
      <c r="B1120" s="2" t="s">
        <v>11</v>
      </c>
      <c r="C1120" s="2">
        <v>24.1</v>
      </c>
      <c r="D1120" s="2">
        <v>1</v>
      </c>
      <c r="E1120" s="2" t="s">
        <v>9</v>
      </c>
      <c r="F1120" s="2" t="s">
        <v>13</v>
      </c>
      <c r="G1120" s="2">
        <v>1939.6676792807723</v>
      </c>
      <c r="H1120" s="2">
        <v>2281.9619756244388</v>
      </c>
      <c r="I1120" s="2">
        <v>1</v>
      </c>
      <c r="J1120" s="2">
        <v>2</v>
      </c>
    </row>
    <row r="1121" spans="1:10" x14ac:dyDescent="0.25">
      <c r="A1121" s="2">
        <v>30</v>
      </c>
      <c r="B1121" s="2" t="s">
        <v>8</v>
      </c>
      <c r="C1121" s="2">
        <v>20</v>
      </c>
      <c r="D1121" s="2">
        <v>3</v>
      </c>
      <c r="E1121" s="2" t="s">
        <v>12</v>
      </c>
      <c r="F1121" s="2" t="s">
        <v>20</v>
      </c>
      <c r="G1121" s="2">
        <v>1392.1706165699159</v>
      </c>
      <c r="H1121" s="2">
        <v>1856.2274887598878</v>
      </c>
      <c r="I1121" s="2">
        <v>0</v>
      </c>
      <c r="J1121" s="2">
        <v>3</v>
      </c>
    </row>
    <row r="1122" spans="1:10" x14ac:dyDescent="0.25">
      <c r="A1122" s="2">
        <v>23</v>
      </c>
      <c r="B1122" s="2" t="s">
        <v>8</v>
      </c>
      <c r="C1122" s="2">
        <v>21</v>
      </c>
      <c r="D1122" s="2">
        <v>0</v>
      </c>
      <c r="E1122" s="2" t="s">
        <v>9</v>
      </c>
      <c r="F1122" s="2" t="s">
        <v>21</v>
      </c>
      <c r="G1122" s="2">
        <v>1813.54341974317</v>
      </c>
      <c r="H1122" s="2">
        <v>2133.5804938154952</v>
      </c>
      <c r="I1122" s="2">
        <v>1</v>
      </c>
      <c r="J1122" s="2">
        <v>2</v>
      </c>
    </row>
    <row r="1123" spans="1:10" x14ac:dyDescent="0.25">
      <c r="A1123" s="2">
        <v>46</v>
      </c>
      <c r="B1123" s="2" t="s">
        <v>11</v>
      </c>
      <c r="C1123" s="2">
        <v>38.200000000000003</v>
      </c>
      <c r="D1123" s="2">
        <v>2</v>
      </c>
      <c r="E1123" s="2" t="s">
        <v>12</v>
      </c>
      <c r="F1123" s="2" t="s">
        <v>13</v>
      </c>
      <c r="G1123" s="2">
        <v>1632.5003968795218</v>
      </c>
      <c r="H1123" s="2">
        <v>2176.6671958393622</v>
      </c>
      <c r="I1123" s="2">
        <v>0</v>
      </c>
      <c r="J1123" s="2">
        <v>3</v>
      </c>
    </row>
    <row r="1124" spans="1:10" x14ac:dyDescent="0.25">
      <c r="A1124" s="2">
        <v>53</v>
      </c>
      <c r="B1124" s="2" t="s">
        <v>8</v>
      </c>
      <c r="C1124" s="2">
        <v>36.9</v>
      </c>
      <c r="D1124" s="2">
        <v>3</v>
      </c>
      <c r="E1124" s="2" t="s">
        <v>9</v>
      </c>
      <c r="F1124" s="2" t="s">
        <v>20</v>
      </c>
      <c r="G1124" s="2">
        <v>1748.8271868605361</v>
      </c>
      <c r="H1124" s="2">
        <v>2331.7695824807147</v>
      </c>
      <c r="I1124" s="2">
        <v>1</v>
      </c>
      <c r="J1124" s="2">
        <v>2</v>
      </c>
    </row>
    <row r="1125" spans="1:10" x14ac:dyDescent="0.25">
      <c r="A1125" s="2">
        <v>27</v>
      </c>
      <c r="B1125" s="2" t="s">
        <v>8</v>
      </c>
      <c r="C1125" s="2">
        <v>23.4</v>
      </c>
      <c r="D1125" s="2">
        <v>1</v>
      </c>
      <c r="E1125" s="2" t="s">
        <v>12</v>
      </c>
      <c r="F1125" s="2" t="s">
        <v>15</v>
      </c>
      <c r="G1125" s="2">
        <v>1764.0052041706501</v>
      </c>
      <c r="H1125" s="2">
        <v>2075.300240200766</v>
      </c>
      <c r="I1125" s="2">
        <v>0</v>
      </c>
      <c r="J1125" s="2">
        <v>0</v>
      </c>
    </row>
    <row r="1126" spans="1:10" x14ac:dyDescent="0.25">
      <c r="A1126" s="2">
        <v>23</v>
      </c>
      <c r="B1126" s="2" t="s">
        <v>8</v>
      </c>
      <c r="C1126" s="2">
        <v>22</v>
      </c>
      <c r="D1126" s="2">
        <v>1</v>
      </c>
      <c r="E1126" s="2" t="s">
        <v>9</v>
      </c>
      <c r="F1126" s="2" t="s">
        <v>15</v>
      </c>
      <c r="G1126" s="2">
        <v>1379.4881747900549</v>
      </c>
      <c r="H1126" s="2">
        <v>1622.9272644588889</v>
      </c>
      <c r="I1126" s="2">
        <v>1</v>
      </c>
      <c r="J1126" s="2">
        <v>2</v>
      </c>
    </row>
    <row r="1127" spans="1:10" x14ac:dyDescent="0.25">
      <c r="A1127" s="2">
        <v>63</v>
      </c>
      <c r="B1127" s="2" t="s">
        <v>8</v>
      </c>
      <c r="C1127" s="2">
        <v>25.1</v>
      </c>
      <c r="D1127" s="2">
        <v>0</v>
      </c>
      <c r="E1127" s="2" t="s">
        <v>12</v>
      </c>
      <c r="F1127" s="2" t="s">
        <v>20</v>
      </c>
      <c r="G1127" s="2">
        <v>4121.9155823878555</v>
      </c>
      <c r="H1127" s="2">
        <v>3925.6338879884361</v>
      </c>
      <c r="I1127" s="2">
        <v>0</v>
      </c>
      <c r="J1127" s="2">
        <v>1</v>
      </c>
    </row>
    <row r="1128" spans="1:10" x14ac:dyDescent="0.25">
      <c r="A1128" s="2">
        <v>55</v>
      </c>
      <c r="B1128" s="2" t="s">
        <v>11</v>
      </c>
      <c r="C1128" s="2">
        <v>29.9</v>
      </c>
      <c r="D1128" s="2">
        <v>0</v>
      </c>
      <c r="E1128" s="2" t="s">
        <v>12</v>
      </c>
      <c r="F1128" s="2" t="s">
        <v>21</v>
      </c>
      <c r="G1128" s="2">
        <v>4234.8832224391663</v>
      </c>
      <c r="H1128" s="2">
        <v>4033.2221166087315</v>
      </c>
      <c r="I1128" s="2">
        <v>0</v>
      </c>
      <c r="J1128" s="2">
        <v>1</v>
      </c>
    </row>
    <row r="1129" spans="1:10" x14ac:dyDescent="0.25">
      <c r="A1129" s="2">
        <v>35</v>
      </c>
      <c r="B1129" s="2" t="s">
        <v>8</v>
      </c>
      <c r="C1129" s="2">
        <v>35.9</v>
      </c>
      <c r="D1129" s="2">
        <v>2</v>
      </c>
      <c r="E1129" s="2" t="s">
        <v>12</v>
      </c>
      <c r="F1129" s="2" t="s">
        <v>13</v>
      </c>
      <c r="G1129" s="2">
        <v>1229.8167626607212</v>
      </c>
      <c r="H1129" s="2">
        <v>1639.7556835476282</v>
      </c>
      <c r="I1129" s="2">
        <v>0</v>
      </c>
      <c r="J1129" s="2">
        <v>3</v>
      </c>
    </row>
    <row r="1130" spans="1:10" x14ac:dyDescent="0.25">
      <c r="A1130" s="2">
        <v>34</v>
      </c>
      <c r="B1130" s="2" t="s">
        <v>11</v>
      </c>
      <c r="C1130" s="2">
        <v>25</v>
      </c>
      <c r="D1130" s="2">
        <v>1</v>
      </c>
      <c r="E1130" s="2" t="s">
        <v>12</v>
      </c>
      <c r="F1130" s="2" t="s">
        <v>21</v>
      </c>
      <c r="G1130" s="2">
        <v>2329.0537506827977</v>
      </c>
      <c r="H1130" s="2">
        <v>2740.0632360974096</v>
      </c>
      <c r="I1130" s="2">
        <v>0</v>
      </c>
      <c r="J1130" s="2">
        <v>0</v>
      </c>
    </row>
    <row r="1131" spans="1:10" x14ac:dyDescent="0.25">
      <c r="A1131" s="2">
        <v>19</v>
      </c>
      <c r="B1131" s="2" t="s">
        <v>8</v>
      </c>
      <c r="C1131" s="2">
        <v>21.7</v>
      </c>
      <c r="D1131" s="2">
        <v>0</v>
      </c>
      <c r="E1131" s="2" t="s">
        <v>12</v>
      </c>
      <c r="F1131" s="2" t="s">
        <v>21</v>
      </c>
      <c r="G1131" s="2">
        <v>1708.5260865149435</v>
      </c>
      <c r="H1131" s="2">
        <v>2010.0306900175813</v>
      </c>
      <c r="I1131" s="2">
        <v>0</v>
      </c>
      <c r="J1131" s="2">
        <v>0</v>
      </c>
    </row>
    <row r="1132" spans="1:10" x14ac:dyDescent="0.25">
      <c r="A1132" s="2">
        <v>39</v>
      </c>
      <c r="B1132" s="2" t="s">
        <v>8</v>
      </c>
      <c r="C1132" s="2">
        <v>23.9</v>
      </c>
      <c r="D1132" s="2">
        <v>5</v>
      </c>
      <c r="E1132" s="2" t="s">
        <v>12</v>
      </c>
      <c r="F1132" s="2" t="s">
        <v>13</v>
      </c>
      <c r="G1132" s="2">
        <v>2747.1692663894464</v>
      </c>
      <c r="H1132" s="2">
        <v>3662.8923551859289</v>
      </c>
      <c r="I1132" s="2">
        <v>0</v>
      </c>
      <c r="J1132" s="2">
        <v>3</v>
      </c>
    </row>
    <row r="1133" spans="1:10" x14ac:dyDescent="0.25">
      <c r="A1133" s="2">
        <v>27</v>
      </c>
      <c r="B1133" s="2" t="s">
        <v>11</v>
      </c>
      <c r="C1133" s="2">
        <v>45.9</v>
      </c>
      <c r="D1133" s="2">
        <v>2</v>
      </c>
      <c r="E1133" s="2" t="s">
        <v>12</v>
      </c>
      <c r="F1133" s="2" t="s">
        <v>21</v>
      </c>
      <c r="G1133" s="2">
        <v>2565.9316788557485</v>
      </c>
      <c r="H1133" s="2">
        <v>3421.2422384743313</v>
      </c>
      <c r="I1133" s="2">
        <v>0</v>
      </c>
      <c r="J1133" s="2">
        <v>3</v>
      </c>
    </row>
    <row r="1134" spans="1:10" x14ac:dyDescent="0.25">
      <c r="A1134" s="2">
        <v>57</v>
      </c>
      <c r="B1134" s="2" t="s">
        <v>11</v>
      </c>
      <c r="C1134" s="2">
        <v>40.299999999999997</v>
      </c>
      <c r="D1134" s="2">
        <v>0</v>
      </c>
      <c r="E1134" s="2" t="s">
        <v>12</v>
      </c>
      <c r="F1134" s="2" t="s">
        <v>15</v>
      </c>
      <c r="G1134" s="2">
        <v>5120.5655945150756</v>
      </c>
      <c r="H1134" s="2">
        <v>4876.7291376334069</v>
      </c>
      <c r="I1134" s="2">
        <v>0</v>
      </c>
      <c r="J1134" s="2">
        <v>1</v>
      </c>
    </row>
    <row r="1135" spans="1:10" x14ac:dyDescent="0.25">
      <c r="A1135" s="2">
        <v>52</v>
      </c>
      <c r="B1135" s="2" t="s">
        <v>8</v>
      </c>
      <c r="C1135" s="2">
        <v>18.3</v>
      </c>
      <c r="D1135" s="2">
        <v>0</v>
      </c>
      <c r="E1135" s="2" t="s">
        <v>12</v>
      </c>
      <c r="F1135" s="2" t="s">
        <v>20</v>
      </c>
      <c r="G1135" s="2">
        <v>1535.7138035250678</v>
      </c>
      <c r="H1135" s="2">
        <v>1806.7221217941981</v>
      </c>
      <c r="I1135" s="2">
        <v>0</v>
      </c>
      <c r="J1135" s="2">
        <v>0</v>
      </c>
    </row>
    <row r="1136" spans="1:10" x14ac:dyDescent="0.25">
      <c r="A1136" s="2">
        <v>28</v>
      </c>
      <c r="B1136" s="2" t="s">
        <v>11</v>
      </c>
      <c r="C1136" s="2">
        <v>21.4</v>
      </c>
      <c r="D1136" s="2">
        <v>0</v>
      </c>
      <c r="E1136" s="2" t="s">
        <v>12</v>
      </c>
      <c r="F1136" s="2" t="s">
        <v>20</v>
      </c>
      <c r="G1136" s="2">
        <v>1767.0139424303238</v>
      </c>
      <c r="H1136" s="2">
        <v>2078.8399322709702</v>
      </c>
      <c r="I1136" s="2">
        <v>0</v>
      </c>
      <c r="J1136" s="2">
        <v>0</v>
      </c>
    </row>
    <row r="1137" spans="1:10" x14ac:dyDescent="0.25">
      <c r="A1137" s="2">
        <v>50</v>
      </c>
      <c r="B1137" s="2" t="s">
        <v>8</v>
      </c>
      <c r="C1137" s="2">
        <v>28.1</v>
      </c>
      <c r="D1137" s="2">
        <v>3</v>
      </c>
      <c r="E1137" s="2" t="s">
        <v>12</v>
      </c>
      <c r="F1137" s="2" t="s">
        <v>20</v>
      </c>
      <c r="G1137" s="2">
        <v>2149.4353178833599</v>
      </c>
      <c r="H1137" s="2">
        <v>2865.9137571778133</v>
      </c>
      <c r="I1137" s="2">
        <v>0</v>
      </c>
      <c r="J1137" s="2">
        <v>3</v>
      </c>
    </row>
    <row r="1138" spans="1:10" x14ac:dyDescent="0.25">
      <c r="A1138" s="2">
        <v>44</v>
      </c>
      <c r="B1138" s="2" t="s">
        <v>8</v>
      </c>
      <c r="C1138" s="2">
        <v>25</v>
      </c>
      <c r="D1138" s="2">
        <v>1</v>
      </c>
      <c r="E1138" s="2" t="s">
        <v>12</v>
      </c>
      <c r="F1138" s="2" t="s">
        <v>21</v>
      </c>
      <c r="G1138" s="2">
        <v>2845.831537329037</v>
      </c>
      <c r="H1138" s="2">
        <v>3348.0371027400442</v>
      </c>
      <c r="I1138" s="2">
        <v>0</v>
      </c>
      <c r="J1138" s="2">
        <v>1</v>
      </c>
    </row>
    <row r="1139" spans="1:10" x14ac:dyDescent="0.25">
      <c r="A1139" s="2">
        <v>26</v>
      </c>
      <c r="B1139" s="2" t="s">
        <v>8</v>
      </c>
      <c r="C1139" s="2">
        <v>22.7</v>
      </c>
      <c r="D1139" s="2">
        <v>0</v>
      </c>
      <c r="E1139" s="2" t="s">
        <v>12</v>
      </c>
      <c r="F1139" s="2" t="s">
        <v>20</v>
      </c>
      <c r="G1139" s="2">
        <v>1850.9318882678276</v>
      </c>
      <c r="H1139" s="2">
        <v>2177.5669273739154</v>
      </c>
      <c r="I1139" s="2">
        <v>0</v>
      </c>
      <c r="J1139" s="2">
        <v>0</v>
      </c>
    </row>
    <row r="1140" spans="1:10" x14ac:dyDescent="0.25">
      <c r="A1140" s="2">
        <v>33</v>
      </c>
      <c r="B1140" s="2" t="s">
        <v>11</v>
      </c>
      <c r="C1140" s="2">
        <v>23</v>
      </c>
      <c r="D1140" s="2">
        <v>0</v>
      </c>
      <c r="E1140" s="2" t="s">
        <v>12</v>
      </c>
      <c r="F1140" s="2" t="s">
        <v>13</v>
      </c>
      <c r="G1140" s="2">
        <v>1481.6712773234626</v>
      </c>
      <c r="H1140" s="2">
        <v>1743.1426792040743</v>
      </c>
      <c r="I1140" s="2">
        <v>0</v>
      </c>
      <c r="J1140" s="2">
        <v>0</v>
      </c>
    </row>
    <row r="1141" spans="1:10" x14ac:dyDescent="0.25">
      <c r="A1141" s="2">
        <v>19</v>
      </c>
      <c r="B1141" s="2" t="s">
        <v>8</v>
      </c>
      <c r="C1141" s="2">
        <v>24</v>
      </c>
      <c r="D1141" s="2">
        <v>0</v>
      </c>
      <c r="E1141" s="2" t="s">
        <v>9</v>
      </c>
      <c r="F1141" s="2" t="s">
        <v>20</v>
      </c>
      <c r="G1141" s="2">
        <v>1806.5192571123414</v>
      </c>
      <c r="H1141" s="2">
        <v>2125.3167730733435</v>
      </c>
      <c r="I1141" s="2">
        <v>1</v>
      </c>
      <c r="J1141" s="2">
        <v>2</v>
      </c>
    </row>
    <row r="1142" spans="1:10" x14ac:dyDescent="0.25">
      <c r="A1142" s="2">
        <v>50</v>
      </c>
      <c r="B1142" s="2" t="s">
        <v>11</v>
      </c>
      <c r="C1142" s="2">
        <v>37.1</v>
      </c>
      <c r="D1142" s="2">
        <v>1</v>
      </c>
      <c r="E1142" s="2" t="s">
        <v>12</v>
      </c>
      <c r="F1142" s="2" t="s">
        <v>13</v>
      </c>
      <c r="G1142" s="2">
        <v>5185.7366379293308</v>
      </c>
      <c r="H1142" s="2">
        <v>4938.7967980279354</v>
      </c>
      <c r="I1142" s="2">
        <v>0</v>
      </c>
      <c r="J1142" s="2">
        <v>1</v>
      </c>
    </row>
    <row r="1143" spans="1:10" x14ac:dyDescent="0.25">
      <c r="A1143" s="2">
        <v>41</v>
      </c>
      <c r="B1143" s="2" t="s">
        <v>8</v>
      </c>
      <c r="C1143" s="2">
        <v>32.6</v>
      </c>
      <c r="D1143" s="2">
        <v>3</v>
      </c>
      <c r="E1143" s="2" t="s">
        <v>12</v>
      </c>
      <c r="F1143" s="2" t="s">
        <v>21</v>
      </c>
      <c r="G1143" s="2">
        <v>2663.7353035930141</v>
      </c>
      <c r="H1143" s="2">
        <v>3551.647071457352</v>
      </c>
      <c r="I1143" s="2">
        <v>0</v>
      </c>
      <c r="J1143" s="2">
        <v>3</v>
      </c>
    </row>
    <row r="1144" spans="1:10" x14ac:dyDescent="0.25">
      <c r="A1144" s="2">
        <v>52</v>
      </c>
      <c r="B1144" s="2" t="s">
        <v>8</v>
      </c>
      <c r="C1144" s="2">
        <v>24.9</v>
      </c>
      <c r="D1144" s="2">
        <v>0</v>
      </c>
      <c r="E1144" s="2" t="s">
        <v>12</v>
      </c>
      <c r="F1144" s="2" t="s">
        <v>13</v>
      </c>
      <c r="G1144" s="2">
        <v>4078.6933006476384</v>
      </c>
      <c r="H1144" s="2">
        <v>3884.4698101406098</v>
      </c>
      <c r="I1144" s="2">
        <v>0</v>
      </c>
      <c r="J1144" s="2">
        <v>1</v>
      </c>
    </row>
    <row r="1145" spans="1:10" x14ac:dyDescent="0.25">
      <c r="A1145" s="2">
        <v>39</v>
      </c>
      <c r="B1145" s="2" t="s">
        <v>11</v>
      </c>
      <c r="C1145" s="2">
        <v>32.299999999999997</v>
      </c>
      <c r="D1145" s="2">
        <v>2</v>
      </c>
      <c r="E1145" s="2" t="s">
        <v>12</v>
      </c>
      <c r="F1145" s="2" t="s">
        <v>13</v>
      </c>
      <c r="G1145" s="2">
        <v>2905.3350063889629</v>
      </c>
      <c r="H1145" s="2">
        <v>3873.7800085186173</v>
      </c>
      <c r="I1145" s="2">
        <v>0</v>
      </c>
      <c r="J1145" s="2">
        <v>3</v>
      </c>
    </row>
    <row r="1146" spans="1:10" x14ac:dyDescent="0.25">
      <c r="A1146" s="2">
        <v>50</v>
      </c>
      <c r="B1146" s="2" t="s">
        <v>11</v>
      </c>
      <c r="C1146" s="2">
        <v>32.299999999999997</v>
      </c>
      <c r="D1146" s="2">
        <v>2</v>
      </c>
      <c r="E1146" s="2" t="s">
        <v>12</v>
      </c>
      <c r="F1146" s="2" t="s">
        <v>21</v>
      </c>
      <c r="G1146" s="2">
        <v>1819.2652398905657</v>
      </c>
      <c r="H1146" s="2">
        <v>2425.6869865207541</v>
      </c>
      <c r="I1146" s="2">
        <v>0</v>
      </c>
      <c r="J1146" s="2">
        <v>3</v>
      </c>
    </row>
    <row r="1147" spans="1:10" x14ac:dyDescent="0.25">
      <c r="A1147" s="2">
        <v>52</v>
      </c>
      <c r="B1147" s="2" t="s">
        <v>11</v>
      </c>
      <c r="C1147" s="2">
        <v>32.799999999999997</v>
      </c>
      <c r="D1147" s="2">
        <v>3</v>
      </c>
      <c r="E1147" s="2" t="s">
        <v>12</v>
      </c>
      <c r="F1147" s="2" t="s">
        <v>20</v>
      </c>
      <c r="G1147" s="2">
        <v>2364.427261600662</v>
      </c>
      <c r="H1147" s="2">
        <v>3152.5696821342158</v>
      </c>
      <c r="I1147" s="2">
        <v>0</v>
      </c>
      <c r="J1147" s="2">
        <v>3</v>
      </c>
    </row>
    <row r="1148" spans="1:10" x14ac:dyDescent="0.25">
      <c r="A1148" s="2">
        <v>60</v>
      </c>
      <c r="B1148" s="2" t="s">
        <v>11</v>
      </c>
      <c r="C1148" s="2">
        <v>32.799999999999997</v>
      </c>
      <c r="D1148" s="2">
        <v>0</v>
      </c>
      <c r="E1148" s="2" t="s">
        <v>9</v>
      </c>
      <c r="F1148" s="2" t="s">
        <v>21</v>
      </c>
      <c r="G1148" s="2">
        <v>4660.810285309828</v>
      </c>
      <c r="H1148" s="2">
        <v>4438.8669383903134</v>
      </c>
      <c r="I1148" s="2">
        <v>1</v>
      </c>
      <c r="J1148" s="2">
        <v>2</v>
      </c>
    </row>
    <row r="1149" spans="1:10" x14ac:dyDescent="0.25">
      <c r="A1149" s="2">
        <v>20</v>
      </c>
      <c r="B1149" s="2" t="s">
        <v>8</v>
      </c>
      <c r="C1149" s="2">
        <v>24.8</v>
      </c>
      <c r="D1149" s="2">
        <v>0</v>
      </c>
      <c r="E1149" s="2" t="s">
        <v>12</v>
      </c>
      <c r="F1149" s="2" t="s">
        <v>20</v>
      </c>
      <c r="G1149" s="2">
        <v>1614.4057622945957</v>
      </c>
      <c r="H1149" s="2">
        <v>1899.3008968171721</v>
      </c>
      <c r="I1149" s="2">
        <v>0</v>
      </c>
      <c r="J1149" s="2">
        <v>0</v>
      </c>
    </row>
    <row r="1150" spans="1:10" x14ac:dyDescent="0.25">
      <c r="A1150" s="2">
        <v>55</v>
      </c>
      <c r="B1150" s="2" t="s">
        <v>11</v>
      </c>
      <c r="C1150" s="2">
        <v>21.5</v>
      </c>
      <c r="D1150" s="2">
        <v>1</v>
      </c>
      <c r="E1150" s="2" t="s">
        <v>12</v>
      </c>
      <c r="F1150" s="2" t="s">
        <v>21</v>
      </c>
      <c r="G1150" s="2">
        <v>5018.0355710217291</v>
      </c>
      <c r="H1150" s="2">
        <v>4779.0814962111717</v>
      </c>
      <c r="I1150" s="2">
        <v>0</v>
      </c>
      <c r="J1150" s="2">
        <v>1</v>
      </c>
    </row>
    <row r="1151" spans="1:10" x14ac:dyDescent="0.25">
      <c r="A1151" s="2">
        <v>42</v>
      </c>
      <c r="B1151" s="2" t="s">
        <v>11</v>
      </c>
      <c r="C1151" s="2">
        <v>34.1</v>
      </c>
      <c r="D1151" s="2">
        <v>0</v>
      </c>
      <c r="E1151" s="2" t="s">
        <v>12</v>
      </c>
      <c r="F1151" s="2" t="s">
        <v>21</v>
      </c>
      <c r="G1151" s="2">
        <v>5142.5321327294587</v>
      </c>
      <c r="H1151" s="2">
        <v>4897.6496502185337</v>
      </c>
      <c r="I1151" s="2">
        <v>0</v>
      </c>
      <c r="J1151" s="2">
        <v>1</v>
      </c>
    </row>
    <row r="1152" spans="1:10" x14ac:dyDescent="0.25">
      <c r="A1152" s="2">
        <v>18</v>
      </c>
      <c r="B1152" s="2" t="s">
        <v>8</v>
      </c>
      <c r="C1152" s="2">
        <v>20.7</v>
      </c>
      <c r="D1152" s="2">
        <v>0</v>
      </c>
      <c r="E1152" s="2" t="s">
        <v>12</v>
      </c>
      <c r="F1152" s="2" t="s">
        <v>15</v>
      </c>
      <c r="G1152" s="2">
        <v>2352.1177029313062</v>
      </c>
      <c r="H1152" s="2">
        <v>2767.1972975662438</v>
      </c>
      <c r="I1152" s="2">
        <v>0</v>
      </c>
      <c r="J1152" s="2">
        <v>0</v>
      </c>
    </row>
    <row r="1153" spans="1:10" x14ac:dyDescent="0.25">
      <c r="A1153" s="2">
        <v>58</v>
      </c>
      <c r="B1153" s="2" t="s">
        <v>8</v>
      </c>
      <c r="C1153" s="2">
        <v>36.5</v>
      </c>
      <c r="D1153" s="2">
        <v>0</v>
      </c>
      <c r="E1153" s="2" t="s">
        <v>12</v>
      </c>
      <c r="F1153" s="2" t="s">
        <v>20</v>
      </c>
      <c r="G1153" s="2">
        <v>4979.4703701468825</v>
      </c>
      <c r="H1153" s="2">
        <v>4742.3527334732235</v>
      </c>
      <c r="I1153" s="2">
        <v>0</v>
      </c>
      <c r="J1153" s="2">
        <v>1</v>
      </c>
    </row>
    <row r="1154" spans="1:10" x14ac:dyDescent="0.25">
      <c r="A1154" s="2">
        <v>43</v>
      </c>
      <c r="B1154" s="2" t="s">
        <v>8</v>
      </c>
      <c r="C1154" s="2">
        <v>32.6</v>
      </c>
      <c r="D1154" s="2">
        <v>3</v>
      </c>
      <c r="E1154" s="2" t="s">
        <v>9</v>
      </c>
      <c r="F1154" s="2" t="s">
        <v>13</v>
      </c>
      <c r="G1154" s="2">
        <v>1228.7459242733712</v>
      </c>
      <c r="H1154" s="2">
        <v>1638.3278990311617</v>
      </c>
      <c r="I1154" s="2">
        <v>1</v>
      </c>
      <c r="J1154" s="2">
        <v>2</v>
      </c>
    </row>
    <row r="1155" spans="1:10" x14ac:dyDescent="0.25">
      <c r="A1155" s="2">
        <v>35</v>
      </c>
      <c r="B1155" s="2" t="s">
        <v>8</v>
      </c>
      <c r="C1155" s="2">
        <v>22.7</v>
      </c>
      <c r="D1155" s="2">
        <v>1</v>
      </c>
      <c r="E1155" s="2" t="s">
        <v>12</v>
      </c>
      <c r="F1155" s="2" t="s">
        <v>20</v>
      </c>
      <c r="G1155" s="2">
        <v>2175.7755714728737</v>
      </c>
      <c r="H1155" s="2">
        <v>2559.7359664386754</v>
      </c>
      <c r="I1155" s="2">
        <v>0</v>
      </c>
      <c r="J1155" s="2">
        <v>0</v>
      </c>
    </row>
    <row r="1156" spans="1:10" x14ac:dyDescent="0.25">
      <c r="A1156" s="2">
        <v>48</v>
      </c>
      <c r="B1156" s="2" t="s">
        <v>8</v>
      </c>
      <c r="C1156" s="2">
        <v>27.9</v>
      </c>
      <c r="D1156" s="2">
        <v>4</v>
      </c>
      <c r="E1156" s="2" t="s">
        <v>12</v>
      </c>
      <c r="F1156" s="2" t="s">
        <v>20</v>
      </c>
      <c r="G1156" s="2">
        <v>1290.7719709121366</v>
      </c>
      <c r="H1156" s="2">
        <v>1721.0292945495153</v>
      </c>
      <c r="I1156" s="2">
        <v>0</v>
      </c>
      <c r="J1156" s="2">
        <v>3</v>
      </c>
    </row>
    <row r="1157" spans="1:10" x14ac:dyDescent="0.25">
      <c r="A1157" s="2">
        <v>36</v>
      </c>
      <c r="B1157" s="2" t="s">
        <v>8</v>
      </c>
      <c r="C1157" s="2">
        <v>22.1</v>
      </c>
      <c r="D1157" s="2">
        <v>3</v>
      </c>
      <c r="E1157" s="2" t="s">
        <v>12</v>
      </c>
      <c r="F1157" s="2" t="s">
        <v>15</v>
      </c>
      <c r="G1157" s="2">
        <v>2063.0008245412569</v>
      </c>
      <c r="H1157" s="2">
        <v>2750.667766055009</v>
      </c>
      <c r="I1157" s="2">
        <v>0</v>
      </c>
      <c r="J1157" s="2">
        <v>3</v>
      </c>
    </row>
    <row r="1158" spans="1:10" x14ac:dyDescent="0.25">
      <c r="A1158" s="2">
        <v>19</v>
      </c>
      <c r="B1158" s="2" t="s">
        <v>11</v>
      </c>
      <c r="C1158" s="2">
        <v>21.5</v>
      </c>
      <c r="D1158" s="2">
        <v>0</v>
      </c>
      <c r="E1158" s="2" t="s">
        <v>9</v>
      </c>
      <c r="F1158" s="2" t="s">
        <v>13</v>
      </c>
      <c r="G1158" s="2">
        <v>1487.8344806226792</v>
      </c>
      <c r="H1158" s="2">
        <v>1750.3935066149174</v>
      </c>
      <c r="I1158" s="2">
        <v>1</v>
      </c>
      <c r="J1158" s="2">
        <v>2</v>
      </c>
    </row>
    <row r="1159" spans="1:10" x14ac:dyDescent="0.25">
      <c r="A1159" s="2">
        <v>23</v>
      </c>
      <c r="B1159" s="2" t="s">
        <v>8</v>
      </c>
      <c r="C1159" s="2">
        <v>24.8</v>
      </c>
      <c r="D1159" s="2">
        <v>2</v>
      </c>
      <c r="E1159" s="2" t="s">
        <v>12</v>
      </c>
      <c r="F1159" s="2" t="s">
        <v>20</v>
      </c>
      <c r="G1159" s="2">
        <v>1560.4851024012869</v>
      </c>
      <c r="H1159" s="2">
        <v>1835.864826354456</v>
      </c>
      <c r="I1159" s="2">
        <v>0</v>
      </c>
      <c r="J1159" s="2">
        <v>0</v>
      </c>
    </row>
    <row r="1160" spans="1:10" x14ac:dyDescent="0.25">
      <c r="A1160" s="2">
        <v>20</v>
      </c>
      <c r="B1160" s="2" t="s">
        <v>8</v>
      </c>
      <c r="C1160" s="2">
        <v>21.2</v>
      </c>
      <c r="D1160" s="2">
        <v>0</v>
      </c>
      <c r="E1160" s="2" t="s">
        <v>12</v>
      </c>
      <c r="F1160" s="2" t="s">
        <v>15</v>
      </c>
      <c r="G1160" s="2">
        <v>1562.3453275901929</v>
      </c>
      <c r="H1160" s="2">
        <v>1838.0533265766985</v>
      </c>
      <c r="I1160" s="2">
        <v>0</v>
      </c>
      <c r="J1160" s="2">
        <v>0</v>
      </c>
    </row>
    <row r="1161" spans="1:10" x14ac:dyDescent="0.25">
      <c r="A1161" s="2">
        <v>32</v>
      </c>
      <c r="B1161" s="2" t="s">
        <v>8</v>
      </c>
      <c r="C1161" s="2">
        <v>20.6</v>
      </c>
      <c r="D1161" s="2">
        <v>0</v>
      </c>
      <c r="E1161" s="2" t="s">
        <v>12</v>
      </c>
      <c r="F1161" s="2" t="s">
        <v>21</v>
      </c>
      <c r="G1161" s="2">
        <v>2055.7311295093596</v>
      </c>
      <c r="H1161" s="2">
        <v>2418.5072111874829</v>
      </c>
      <c r="I1161" s="2">
        <v>0</v>
      </c>
      <c r="J1161" s="2">
        <v>0</v>
      </c>
    </row>
    <row r="1162" spans="1:10" x14ac:dyDescent="0.25">
      <c r="A1162" s="2">
        <v>43</v>
      </c>
      <c r="B1162" s="2" t="s">
        <v>8</v>
      </c>
      <c r="C1162" s="2">
        <v>34.6</v>
      </c>
      <c r="D1162" s="2">
        <v>1</v>
      </c>
      <c r="E1162" s="2" t="s">
        <v>12</v>
      </c>
      <c r="F1162" s="2" t="s">
        <v>20</v>
      </c>
      <c r="G1162" s="2">
        <v>4881.3052814107323</v>
      </c>
      <c r="H1162" s="2">
        <v>4648.8621727721275</v>
      </c>
      <c r="I1162" s="2">
        <v>0</v>
      </c>
      <c r="J1162" s="2">
        <v>1</v>
      </c>
    </row>
    <row r="1163" spans="1:10" x14ac:dyDescent="0.25">
      <c r="A1163" s="2">
        <v>34</v>
      </c>
      <c r="B1163" s="2" t="s">
        <v>11</v>
      </c>
      <c r="C1163" s="2">
        <v>42.1</v>
      </c>
      <c r="D1163" s="2">
        <v>2</v>
      </c>
      <c r="E1163" s="2" t="s">
        <v>12</v>
      </c>
      <c r="F1163" s="2" t="s">
        <v>13</v>
      </c>
      <c r="G1163" s="2">
        <v>3386.1180025179392</v>
      </c>
      <c r="H1163" s="2">
        <v>4514.824003357252</v>
      </c>
      <c r="I1163" s="2">
        <v>0</v>
      </c>
      <c r="J1163" s="2">
        <v>3</v>
      </c>
    </row>
    <row r="1164" spans="1:10" x14ac:dyDescent="0.25">
      <c r="A1164" s="2">
        <v>30</v>
      </c>
      <c r="B1164" s="2" t="s">
        <v>11</v>
      </c>
      <c r="C1164" s="2">
        <v>21.2</v>
      </c>
      <c r="D1164" s="2">
        <v>1</v>
      </c>
      <c r="E1164" s="2" t="s">
        <v>12</v>
      </c>
      <c r="F1164" s="2" t="s">
        <v>13</v>
      </c>
      <c r="G1164" s="2">
        <v>2543.7884064148898</v>
      </c>
      <c r="H1164" s="2">
        <v>2992.6922428410476</v>
      </c>
      <c r="I1164" s="2">
        <v>0</v>
      </c>
      <c r="J1164" s="2">
        <v>0</v>
      </c>
    </row>
    <row r="1165" spans="1:10" x14ac:dyDescent="0.25">
      <c r="A1165" s="2">
        <v>18</v>
      </c>
      <c r="B1165" s="2" t="s">
        <v>8</v>
      </c>
      <c r="C1165" s="2">
        <v>20.5</v>
      </c>
      <c r="D1165" s="2">
        <v>0</v>
      </c>
      <c r="E1165" s="2" t="s">
        <v>12</v>
      </c>
      <c r="F1165" s="2" t="s">
        <v>15</v>
      </c>
      <c r="G1165" s="2">
        <v>1379.225892382198</v>
      </c>
      <c r="H1165" s="2">
        <v>1622.6186969202338</v>
      </c>
      <c r="I1165" s="2">
        <v>0</v>
      </c>
      <c r="J1165" s="2">
        <v>0</v>
      </c>
    </row>
    <row r="1166" spans="1:10" x14ac:dyDescent="0.25">
      <c r="A1166" s="2">
        <v>41</v>
      </c>
      <c r="B1166" s="2" t="s">
        <v>8</v>
      </c>
      <c r="C1166" s="2">
        <v>28.3</v>
      </c>
      <c r="D1166" s="2">
        <v>1</v>
      </c>
      <c r="E1166" s="2" t="s">
        <v>12</v>
      </c>
      <c r="F1166" s="2" t="s">
        <v>20</v>
      </c>
      <c r="G1166" s="2">
        <v>5879.2083576814684</v>
      </c>
      <c r="H1166" s="2">
        <v>5599.2460549347334</v>
      </c>
      <c r="I1166" s="2">
        <v>0</v>
      </c>
      <c r="J1166" s="2">
        <v>1</v>
      </c>
    </row>
    <row r="1167" spans="1:10" x14ac:dyDescent="0.25">
      <c r="A1167" s="2">
        <v>35</v>
      </c>
      <c r="B1167" s="2" t="s">
        <v>8</v>
      </c>
      <c r="C1167" s="2">
        <v>25.8</v>
      </c>
      <c r="D1167" s="2">
        <v>0</v>
      </c>
      <c r="E1167" s="2" t="s">
        <v>12</v>
      </c>
      <c r="F1167" s="2" t="s">
        <v>15</v>
      </c>
      <c r="G1167" s="2">
        <v>1686.8901640235338</v>
      </c>
      <c r="H1167" s="2">
        <v>1984.576663557099</v>
      </c>
      <c r="I1167" s="2">
        <v>0</v>
      </c>
      <c r="J1167" s="2">
        <v>0</v>
      </c>
    </row>
    <row r="1168" spans="1:10" x14ac:dyDescent="0.25">
      <c r="A1168" s="2">
        <v>57</v>
      </c>
      <c r="B1168" s="2" t="s">
        <v>11</v>
      </c>
      <c r="C1168" s="2">
        <v>40.4</v>
      </c>
      <c r="D1168" s="2">
        <v>0</v>
      </c>
      <c r="E1168" s="2" t="s">
        <v>12</v>
      </c>
      <c r="F1168" s="2" t="s">
        <v>13</v>
      </c>
      <c r="G1168" s="2">
        <v>4321.894825598506</v>
      </c>
      <c r="H1168" s="2">
        <v>4116.0903100938167</v>
      </c>
      <c r="I1168" s="2">
        <v>0</v>
      </c>
      <c r="J1168" s="2">
        <v>1</v>
      </c>
    </row>
    <row r="1169" spans="1:10" x14ac:dyDescent="0.25">
      <c r="A1169" s="2">
        <v>29</v>
      </c>
      <c r="B1169" s="2" t="s">
        <v>8</v>
      </c>
      <c r="C1169" s="2">
        <v>24.6</v>
      </c>
      <c r="D1169" s="2">
        <v>2</v>
      </c>
      <c r="E1169" s="2" t="s">
        <v>12</v>
      </c>
      <c r="F1169" s="2" t="s">
        <v>21</v>
      </c>
      <c r="G1169" s="2">
        <v>1921.5201433241823</v>
      </c>
      <c r="H1169" s="2">
        <v>2260.6119333225683</v>
      </c>
      <c r="I1169" s="2">
        <v>0</v>
      </c>
      <c r="J1169" s="2">
        <v>0</v>
      </c>
    </row>
    <row r="1170" spans="1:10" x14ac:dyDescent="0.25">
      <c r="A1170" s="2">
        <v>32</v>
      </c>
      <c r="B1170" s="2" t="s">
        <v>11</v>
      </c>
      <c r="C1170" s="2">
        <v>35.200000000000003</v>
      </c>
      <c r="D1170" s="2">
        <v>2</v>
      </c>
      <c r="E1170" s="2" t="s">
        <v>12</v>
      </c>
      <c r="F1170" s="2" t="s">
        <v>21</v>
      </c>
      <c r="G1170" s="2">
        <v>2669.9180098681131</v>
      </c>
      <c r="H1170" s="2">
        <v>3559.890679824151</v>
      </c>
      <c r="I1170" s="2">
        <v>0</v>
      </c>
      <c r="J1170" s="2">
        <v>3</v>
      </c>
    </row>
    <row r="1171" spans="1:10" x14ac:dyDescent="0.25">
      <c r="A1171" s="2">
        <v>37</v>
      </c>
      <c r="B1171" s="2" t="s">
        <v>8</v>
      </c>
      <c r="C1171" s="2">
        <v>20.9</v>
      </c>
      <c r="D1171" s="2">
        <v>1</v>
      </c>
      <c r="E1171" s="2" t="s">
        <v>12</v>
      </c>
      <c r="F1171" s="2" t="s">
        <v>20</v>
      </c>
      <c r="G1171" s="2">
        <v>2010.1798948544103</v>
      </c>
      <c r="H1171" s="2">
        <v>2364.9175233581304</v>
      </c>
      <c r="I1171" s="2">
        <v>0</v>
      </c>
      <c r="J1171" s="2">
        <v>0</v>
      </c>
    </row>
    <row r="1172" spans="1:10" x14ac:dyDescent="0.25">
      <c r="A1172" s="2">
        <v>18</v>
      </c>
      <c r="B1172" s="2" t="s">
        <v>11</v>
      </c>
      <c r="C1172" s="2">
        <v>22.5</v>
      </c>
      <c r="D1172" s="2">
        <v>1</v>
      </c>
      <c r="E1172" s="2" t="s">
        <v>9</v>
      </c>
      <c r="F1172" s="2" t="s">
        <v>15</v>
      </c>
      <c r="G1172" s="2">
        <v>1283.8903771637515</v>
      </c>
      <c r="H1172" s="2">
        <v>1510.4592672514732</v>
      </c>
      <c r="I1172" s="2">
        <v>1</v>
      </c>
      <c r="J1172" s="2">
        <v>2</v>
      </c>
    </row>
    <row r="1173" spans="1:10" x14ac:dyDescent="0.25">
      <c r="A1173" s="2">
        <v>43</v>
      </c>
      <c r="B1173" s="2" t="s">
        <v>8</v>
      </c>
      <c r="C1173" s="2">
        <v>26.7</v>
      </c>
      <c r="D1173" s="2">
        <v>2</v>
      </c>
      <c r="E1173" s="2" t="s">
        <v>9</v>
      </c>
      <c r="F1173" s="2" t="s">
        <v>21</v>
      </c>
      <c r="G1173" s="2">
        <v>1104.8807591803168</v>
      </c>
      <c r="H1173" s="2">
        <v>1473.1743455737558</v>
      </c>
      <c r="I1173" s="2">
        <v>1</v>
      </c>
      <c r="J1173" s="2">
        <v>2</v>
      </c>
    </row>
    <row r="1174" spans="1:10" x14ac:dyDescent="0.25">
      <c r="A1174" s="2">
        <v>56</v>
      </c>
      <c r="B1174" s="2" t="s">
        <v>8</v>
      </c>
      <c r="C1174" s="2">
        <v>41.9</v>
      </c>
      <c r="D1174" s="2">
        <v>0</v>
      </c>
      <c r="E1174" s="2" t="s">
        <v>12</v>
      </c>
      <c r="F1174" s="2" t="s">
        <v>13</v>
      </c>
      <c r="G1174" s="2">
        <v>4392.9191197526416</v>
      </c>
      <c r="H1174" s="2">
        <v>4183.7324950025177</v>
      </c>
      <c r="I1174" s="2">
        <v>0</v>
      </c>
      <c r="J1174" s="2">
        <v>1</v>
      </c>
    </row>
    <row r="1175" spans="1:10" x14ac:dyDescent="0.25">
      <c r="A1175" s="2">
        <v>38</v>
      </c>
      <c r="B1175" s="2" t="s">
        <v>11</v>
      </c>
      <c r="C1175" s="2">
        <v>29.3</v>
      </c>
      <c r="D1175" s="2">
        <v>2</v>
      </c>
      <c r="E1175" s="2" t="s">
        <v>12</v>
      </c>
      <c r="F1175" s="2" t="s">
        <v>20</v>
      </c>
      <c r="G1175" s="2">
        <v>1213.4537369366853</v>
      </c>
      <c r="H1175" s="2">
        <v>1617.9383159155805</v>
      </c>
      <c r="I1175" s="2">
        <v>0</v>
      </c>
      <c r="J1175" s="2">
        <v>3</v>
      </c>
    </row>
    <row r="1176" spans="1:10" x14ac:dyDescent="0.25">
      <c r="A1176" s="2">
        <v>29</v>
      </c>
      <c r="B1176" s="2" t="s">
        <v>11</v>
      </c>
      <c r="C1176" s="2">
        <v>32.1</v>
      </c>
      <c r="D1176" s="2">
        <v>2</v>
      </c>
      <c r="E1176" s="2" t="s">
        <v>12</v>
      </c>
      <c r="F1176" s="2" t="s">
        <v>20</v>
      </c>
      <c r="G1176" s="2">
        <v>1677.5255681699571</v>
      </c>
      <c r="H1176" s="2">
        <v>2236.7007575599428</v>
      </c>
      <c r="I1176" s="2">
        <v>0</v>
      </c>
      <c r="J1176" s="2">
        <v>3</v>
      </c>
    </row>
    <row r="1177" spans="1:10" x14ac:dyDescent="0.25">
      <c r="A1177" s="2">
        <v>22</v>
      </c>
      <c r="B1177" s="2" t="s">
        <v>8</v>
      </c>
      <c r="C1177" s="2">
        <v>23.4</v>
      </c>
      <c r="D1177" s="2">
        <v>0</v>
      </c>
      <c r="E1177" s="2" t="s">
        <v>12</v>
      </c>
      <c r="F1177" s="2" t="s">
        <v>21</v>
      </c>
      <c r="G1177" s="2">
        <v>1937.6314665148852</v>
      </c>
      <c r="H1177" s="2">
        <v>2279.5664311939831</v>
      </c>
      <c r="I1177" s="2">
        <v>0</v>
      </c>
      <c r="J1177" s="2">
        <v>0</v>
      </c>
    </row>
    <row r="1178" spans="1:10" x14ac:dyDescent="0.25">
      <c r="A1178" s="2">
        <v>52</v>
      </c>
      <c r="B1178" s="2" t="s">
        <v>8</v>
      </c>
      <c r="C1178" s="2">
        <v>24.1</v>
      </c>
      <c r="D1178" s="2">
        <v>1</v>
      </c>
      <c r="E1178" s="2" t="s">
        <v>9</v>
      </c>
      <c r="F1178" s="2" t="s">
        <v>20</v>
      </c>
      <c r="G1178" s="2">
        <v>4160.3150781130062</v>
      </c>
      <c r="H1178" s="2">
        <v>3962.2048362981027</v>
      </c>
      <c r="I1178" s="2">
        <v>1</v>
      </c>
      <c r="J1178" s="2">
        <v>2</v>
      </c>
    </row>
    <row r="1179" spans="1:10" x14ac:dyDescent="0.25">
      <c r="A1179" s="2">
        <v>40</v>
      </c>
      <c r="B1179" s="2" t="s">
        <v>8</v>
      </c>
      <c r="C1179" s="2">
        <v>23.9</v>
      </c>
      <c r="D1179" s="2">
        <v>1</v>
      </c>
      <c r="E1179" s="2" t="s">
        <v>12</v>
      </c>
      <c r="F1179" s="2" t="s">
        <v>21</v>
      </c>
      <c r="G1179" s="2">
        <v>1799.7076096806088</v>
      </c>
      <c r="H1179" s="2">
        <v>2117.3030702124815</v>
      </c>
      <c r="I1179" s="2">
        <v>0</v>
      </c>
      <c r="J1179" s="2">
        <v>0</v>
      </c>
    </row>
    <row r="1180" spans="1:10" x14ac:dyDescent="0.25">
      <c r="A1180" s="2">
        <v>23</v>
      </c>
      <c r="B1180" s="2" t="s">
        <v>8</v>
      </c>
      <c r="C1180" s="2">
        <v>21.2</v>
      </c>
      <c r="D1180" s="2">
        <v>0</v>
      </c>
      <c r="E1180" s="2" t="s">
        <v>12</v>
      </c>
      <c r="F1180" s="2" t="s">
        <v>15</v>
      </c>
      <c r="G1180" s="2">
        <v>1857.0839130615625</v>
      </c>
      <c r="H1180" s="2">
        <v>2184.8046036018386</v>
      </c>
      <c r="I1180" s="2">
        <v>0</v>
      </c>
      <c r="J1180" s="2">
        <v>0</v>
      </c>
    </row>
    <row r="1181" spans="1:10" x14ac:dyDescent="0.25">
      <c r="A1181" s="2">
        <v>31</v>
      </c>
      <c r="B1181" s="2" t="s">
        <v>11</v>
      </c>
      <c r="C1181" s="2">
        <v>23.8</v>
      </c>
      <c r="D1181" s="2">
        <v>0</v>
      </c>
      <c r="E1181" s="2" t="s">
        <v>9</v>
      </c>
      <c r="F1181" s="2" t="s">
        <v>13</v>
      </c>
      <c r="G1181" s="2">
        <v>1713.4848418716367</v>
      </c>
      <c r="H1181" s="2">
        <v>2015.8645198489851</v>
      </c>
      <c r="I1181" s="2">
        <v>1</v>
      </c>
      <c r="J1181" s="2">
        <v>2</v>
      </c>
    </row>
    <row r="1182" spans="1:10" x14ac:dyDescent="0.25">
      <c r="A1182" s="2">
        <v>42</v>
      </c>
      <c r="B1182" s="2" t="s">
        <v>8</v>
      </c>
      <c r="C1182" s="2">
        <v>41.3</v>
      </c>
      <c r="D1182" s="2">
        <v>1</v>
      </c>
      <c r="E1182" s="2" t="s">
        <v>12</v>
      </c>
      <c r="F1182" s="2" t="s">
        <v>15</v>
      </c>
      <c r="G1182" s="2">
        <v>3603.1329133594936</v>
      </c>
      <c r="H1182" s="2">
        <v>3431.5551555804714</v>
      </c>
      <c r="I1182" s="2">
        <v>0</v>
      </c>
      <c r="J1182" s="2">
        <v>1</v>
      </c>
    </row>
    <row r="1183" spans="1:10" x14ac:dyDescent="0.25">
      <c r="A1183" s="2">
        <v>24</v>
      </c>
      <c r="B1183" s="2" t="s">
        <v>8</v>
      </c>
      <c r="C1183" s="2">
        <v>21.8</v>
      </c>
      <c r="D1183" s="2">
        <v>0</v>
      </c>
      <c r="E1183" s="2" t="s">
        <v>12</v>
      </c>
      <c r="F1183" s="2" t="s">
        <v>20</v>
      </c>
      <c r="G1183" s="2">
        <v>2032.5470674782953</v>
      </c>
      <c r="H1183" s="2">
        <v>2391.2318440921126</v>
      </c>
      <c r="I1183" s="2">
        <v>0</v>
      </c>
      <c r="J1183" s="2">
        <v>0</v>
      </c>
    </row>
    <row r="1184" spans="1:10" x14ac:dyDescent="0.25">
      <c r="A1184" s="2">
        <v>25</v>
      </c>
      <c r="B1184" s="2" t="s">
        <v>8</v>
      </c>
      <c r="C1184" s="2">
        <v>24.7</v>
      </c>
      <c r="D1184" s="2">
        <v>0</v>
      </c>
      <c r="E1184" s="2" t="s">
        <v>12</v>
      </c>
      <c r="F1184" s="2" t="s">
        <v>21</v>
      </c>
      <c r="G1184" s="2">
        <v>1398.0615265311453</v>
      </c>
      <c r="H1184" s="2">
        <v>1644.7782665072307</v>
      </c>
      <c r="I1184" s="2">
        <v>0</v>
      </c>
      <c r="J1184" s="2">
        <v>0</v>
      </c>
    </row>
    <row r="1185" spans="1:10" x14ac:dyDescent="0.25">
      <c r="A1185" s="2">
        <v>48</v>
      </c>
      <c r="B1185" s="2" t="s">
        <v>8</v>
      </c>
      <c r="C1185" s="2">
        <v>27.4</v>
      </c>
      <c r="D1185" s="2">
        <v>1</v>
      </c>
      <c r="E1185" s="2" t="s">
        <v>12</v>
      </c>
      <c r="F1185" s="2" t="s">
        <v>15</v>
      </c>
      <c r="G1185" s="2">
        <v>4571.3446453612487</v>
      </c>
      <c r="H1185" s="2">
        <v>4353.661567010714</v>
      </c>
      <c r="I1185" s="2">
        <v>0</v>
      </c>
      <c r="J1185" s="2">
        <v>1</v>
      </c>
    </row>
    <row r="1186" spans="1:10" x14ac:dyDescent="0.25">
      <c r="A1186" s="2">
        <v>23</v>
      </c>
      <c r="B1186" s="2" t="s">
        <v>8</v>
      </c>
      <c r="C1186" s="2">
        <v>25.9</v>
      </c>
      <c r="D1186" s="2">
        <v>1</v>
      </c>
      <c r="E1186" s="2" t="s">
        <v>9</v>
      </c>
      <c r="F1186" s="2" t="s">
        <v>13</v>
      </c>
      <c r="G1186" s="2">
        <v>1862.2297811137382</v>
      </c>
      <c r="H1186" s="2">
        <v>2190.8585660161634</v>
      </c>
      <c r="I1186" s="2">
        <v>1</v>
      </c>
      <c r="J1186" s="2">
        <v>2</v>
      </c>
    </row>
    <row r="1187" spans="1:10" x14ac:dyDescent="0.25">
      <c r="A1187" s="2">
        <v>45</v>
      </c>
      <c r="B1187" s="2" t="s">
        <v>11</v>
      </c>
      <c r="C1187" s="2">
        <v>23.6</v>
      </c>
      <c r="D1187" s="2">
        <v>2</v>
      </c>
      <c r="E1187" s="2" t="s">
        <v>12</v>
      </c>
      <c r="F1187" s="2" t="s">
        <v>15</v>
      </c>
      <c r="G1187" s="2">
        <v>1711.4349761890612</v>
      </c>
      <c r="H1187" s="2">
        <v>2281.913301585415</v>
      </c>
      <c r="I1187" s="2">
        <v>0</v>
      </c>
      <c r="J1187" s="2">
        <v>3</v>
      </c>
    </row>
    <row r="1188" spans="1:10" x14ac:dyDescent="0.25">
      <c r="A1188" s="2">
        <v>20</v>
      </c>
      <c r="B1188" s="2" t="s">
        <v>11</v>
      </c>
      <c r="C1188" s="2">
        <v>35.6</v>
      </c>
      <c r="D1188" s="2">
        <v>3</v>
      </c>
      <c r="E1188" s="2" t="s">
        <v>9</v>
      </c>
      <c r="F1188" s="2" t="s">
        <v>20</v>
      </c>
      <c r="G1188" s="2">
        <v>2141.905254827217</v>
      </c>
      <c r="H1188" s="2">
        <v>2855.8736731029562</v>
      </c>
      <c r="I1188" s="2">
        <v>1</v>
      </c>
      <c r="J1188" s="2">
        <v>2</v>
      </c>
    </row>
    <row r="1189" spans="1:10" x14ac:dyDescent="0.25">
      <c r="A1189" s="2">
        <v>62</v>
      </c>
      <c r="B1189" s="2" t="s">
        <v>8</v>
      </c>
      <c r="C1189" s="2">
        <v>32.700000000000003</v>
      </c>
      <c r="D1189" s="2">
        <v>0</v>
      </c>
      <c r="E1189" s="2" t="s">
        <v>12</v>
      </c>
      <c r="F1189" s="2" t="s">
        <v>20</v>
      </c>
      <c r="G1189" s="2">
        <v>4530.7236717423157</v>
      </c>
      <c r="H1189" s="2">
        <v>4314.9749254688732</v>
      </c>
      <c r="I1189" s="2">
        <v>0</v>
      </c>
      <c r="J1189" s="2">
        <v>1</v>
      </c>
    </row>
    <row r="1190" spans="1:10" x14ac:dyDescent="0.25">
      <c r="A1190" s="2">
        <v>43</v>
      </c>
      <c r="B1190" s="2" t="s">
        <v>8</v>
      </c>
      <c r="C1190" s="2">
        <v>25.3</v>
      </c>
      <c r="D1190" s="2">
        <v>1</v>
      </c>
      <c r="E1190" s="2" t="s">
        <v>9</v>
      </c>
      <c r="F1190" s="2" t="s">
        <v>15</v>
      </c>
      <c r="G1190" s="2">
        <v>2644.9357599574882</v>
      </c>
      <c r="H1190" s="2">
        <v>3111.6891293617514</v>
      </c>
      <c r="I1190" s="2">
        <v>1</v>
      </c>
      <c r="J1190" s="2">
        <v>2</v>
      </c>
    </row>
    <row r="1191" spans="1:10" x14ac:dyDescent="0.25">
      <c r="A1191" s="2">
        <v>23</v>
      </c>
      <c r="B1191" s="2" t="s">
        <v>8</v>
      </c>
      <c r="C1191" s="2">
        <v>22.4</v>
      </c>
      <c r="D1191" s="2">
        <v>0</v>
      </c>
      <c r="E1191" s="2" t="s">
        <v>12</v>
      </c>
      <c r="F1191" s="2" t="s">
        <v>21</v>
      </c>
      <c r="G1191" s="2">
        <v>1460.1031324670857</v>
      </c>
      <c r="H1191" s="2">
        <v>1717.7683911377487</v>
      </c>
      <c r="I1191" s="2">
        <v>0</v>
      </c>
      <c r="J1191" s="2">
        <v>0</v>
      </c>
    </row>
    <row r="1192" spans="1:10" x14ac:dyDescent="0.25">
      <c r="A1192" s="2">
        <v>31</v>
      </c>
      <c r="B1192" s="2" t="s">
        <v>8</v>
      </c>
      <c r="C1192" s="2">
        <v>32.799999999999997</v>
      </c>
      <c r="D1192" s="2">
        <v>2</v>
      </c>
      <c r="E1192" s="2" t="s">
        <v>12</v>
      </c>
      <c r="F1192" s="2" t="s">
        <v>20</v>
      </c>
      <c r="G1192" s="2">
        <v>969.78986014282054</v>
      </c>
      <c r="H1192" s="2">
        <v>1293.0531468570941</v>
      </c>
      <c r="I1192" s="2">
        <v>0</v>
      </c>
      <c r="J1192" s="2">
        <v>3</v>
      </c>
    </row>
    <row r="1193" spans="1:10" x14ac:dyDescent="0.25">
      <c r="A1193" s="2">
        <v>41</v>
      </c>
      <c r="B1193" s="2" t="s">
        <v>8</v>
      </c>
      <c r="C1193" s="2">
        <v>21.9</v>
      </c>
      <c r="D1193" s="2">
        <v>1</v>
      </c>
      <c r="E1193" s="2" t="s">
        <v>12</v>
      </c>
      <c r="F1193" s="2" t="s">
        <v>15</v>
      </c>
      <c r="G1193" s="2">
        <v>1882.6226142624273</v>
      </c>
      <c r="H1193" s="2">
        <v>2214.8501344263855</v>
      </c>
      <c r="I1193" s="2">
        <v>0</v>
      </c>
      <c r="J1193" s="2">
        <v>0</v>
      </c>
    </row>
    <row r="1194" spans="1:10" x14ac:dyDescent="0.25">
      <c r="A1194" s="2">
        <v>58</v>
      </c>
      <c r="B1194" s="2" t="s">
        <v>8</v>
      </c>
      <c r="C1194" s="2">
        <v>32.4</v>
      </c>
      <c r="D1194" s="2">
        <v>1</v>
      </c>
      <c r="E1194" s="2" t="s">
        <v>12</v>
      </c>
      <c r="F1194" s="2" t="s">
        <v>15</v>
      </c>
      <c r="G1194" s="2">
        <v>5305.588642902876</v>
      </c>
      <c r="H1194" s="2">
        <v>5052.9415646694069</v>
      </c>
      <c r="I1194" s="2">
        <v>0</v>
      </c>
      <c r="J1194" s="2">
        <v>1</v>
      </c>
    </row>
    <row r="1195" spans="1:10" x14ac:dyDescent="0.25">
      <c r="A1195" s="2">
        <v>48</v>
      </c>
      <c r="B1195" s="2" t="s">
        <v>8</v>
      </c>
      <c r="C1195" s="2">
        <v>36.6</v>
      </c>
      <c r="D1195" s="2">
        <v>0</v>
      </c>
      <c r="E1195" s="2" t="s">
        <v>12</v>
      </c>
      <c r="F1195" s="2" t="s">
        <v>20</v>
      </c>
      <c r="G1195" s="2">
        <v>5316.8821972415144</v>
      </c>
      <c r="H1195" s="2">
        <v>5063.6973307062062</v>
      </c>
      <c r="I1195" s="2">
        <v>0</v>
      </c>
      <c r="J1195" s="2">
        <v>1</v>
      </c>
    </row>
    <row r="1196" spans="1:10" x14ac:dyDescent="0.25">
      <c r="A1196" s="2">
        <v>31</v>
      </c>
      <c r="B1196" s="2" t="s">
        <v>8</v>
      </c>
      <c r="C1196" s="2">
        <v>25.3</v>
      </c>
      <c r="D1196" s="2">
        <v>0</v>
      </c>
      <c r="E1196" s="2" t="s">
        <v>12</v>
      </c>
      <c r="F1196" s="2" t="s">
        <v>20</v>
      </c>
      <c r="G1196" s="2">
        <v>1500.4873812564385</v>
      </c>
      <c r="H1196" s="2">
        <v>1765.2792720663992</v>
      </c>
      <c r="I1196" s="2">
        <v>0</v>
      </c>
      <c r="J1196" s="2">
        <v>0</v>
      </c>
    </row>
    <row r="1197" spans="1:10" x14ac:dyDescent="0.25">
      <c r="A1197" s="2">
        <v>19</v>
      </c>
      <c r="B1197" s="2" t="s">
        <v>8</v>
      </c>
      <c r="C1197" s="2">
        <v>27.9</v>
      </c>
      <c r="D1197" s="2">
        <v>3</v>
      </c>
      <c r="E1197" s="2" t="s">
        <v>12</v>
      </c>
      <c r="F1197" s="2" t="s">
        <v>20</v>
      </c>
      <c r="G1197" s="2">
        <v>1311.2611833139633</v>
      </c>
      <c r="H1197" s="2">
        <v>1748.3482444186177</v>
      </c>
      <c r="I1197" s="2">
        <v>0</v>
      </c>
      <c r="J1197" s="2">
        <v>3</v>
      </c>
    </row>
    <row r="1198" spans="1:10" x14ac:dyDescent="0.25">
      <c r="A1198" s="2">
        <v>19</v>
      </c>
      <c r="B1198" s="2" t="s">
        <v>8</v>
      </c>
      <c r="C1198" s="2">
        <v>22.4</v>
      </c>
      <c r="D1198" s="2">
        <v>0</v>
      </c>
      <c r="E1198" s="2" t="s">
        <v>9</v>
      </c>
      <c r="F1198" s="2" t="s">
        <v>20</v>
      </c>
      <c r="G1198" s="2">
        <v>1868.7024748123515</v>
      </c>
      <c r="H1198" s="2">
        <v>2198.473499779238</v>
      </c>
      <c r="I1198" s="2">
        <v>1</v>
      </c>
      <c r="J1198" s="2">
        <v>2</v>
      </c>
    </row>
    <row r="1199" spans="1:10" x14ac:dyDescent="0.25">
      <c r="A1199" s="2">
        <v>41</v>
      </c>
      <c r="B1199" s="2" t="s">
        <v>11</v>
      </c>
      <c r="C1199" s="2">
        <v>33.6</v>
      </c>
      <c r="D1199" s="2">
        <v>0</v>
      </c>
      <c r="E1199" s="2" t="s">
        <v>12</v>
      </c>
      <c r="F1199" s="2" t="s">
        <v>13</v>
      </c>
      <c r="G1199" s="2">
        <v>3627.4163266912069</v>
      </c>
      <c r="H1199" s="2">
        <v>3454.6822158963892</v>
      </c>
      <c r="I1199" s="2">
        <v>0</v>
      </c>
      <c r="J1199" s="2">
        <v>1</v>
      </c>
    </row>
    <row r="1200" spans="1:10" x14ac:dyDescent="0.25">
      <c r="A1200" s="2">
        <v>40</v>
      </c>
      <c r="B1200" s="2" t="s">
        <v>11</v>
      </c>
      <c r="C1200" s="2">
        <v>29.4</v>
      </c>
      <c r="D1200" s="2">
        <v>1</v>
      </c>
      <c r="E1200" s="2" t="s">
        <v>12</v>
      </c>
      <c r="F1200" s="2" t="s">
        <v>20</v>
      </c>
      <c r="G1200" s="2">
        <v>5585.1498044315422</v>
      </c>
      <c r="H1200" s="2">
        <v>5319.1902899348033</v>
      </c>
      <c r="I1200" s="2">
        <v>0</v>
      </c>
      <c r="J1200" s="2">
        <v>1</v>
      </c>
    </row>
    <row r="1201" spans="1:10" x14ac:dyDescent="0.25">
      <c r="A1201" s="2">
        <v>31</v>
      </c>
      <c r="B1201" s="2" t="s">
        <v>8</v>
      </c>
      <c r="C1201" s="2">
        <v>25.8</v>
      </c>
      <c r="D1201" s="2">
        <v>2</v>
      </c>
      <c r="E1201" s="2" t="s">
        <v>12</v>
      </c>
      <c r="F1201" s="2" t="s">
        <v>21</v>
      </c>
      <c r="G1201" s="2">
        <v>1657.8756588650349</v>
      </c>
      <c r="H1201" s="2">
        <v>2210.5008784867132</v>
      </c>
      <c r="I1201" s="2">
        <v>0</v>
      </c>
      <c r="J1201" s="2">
        <v>3</v>
      </c>
    </row>
    <row r="1202" spans="1:10" x14ac:dyDescent="0.25">
      <c r="A1202" s="2">
        <v>37</v>
      </c>
      <c r="B1202" s="2" t="s">
        <v>11</v>
      </c>
      <c r="C1202" s="2">
        <v>24.3</v>
      </c>
      <c r="D1202" s="2">
        <v>2</v>
      </c>
      <c r="E1202" s="2" t="s">
        <v>12</v>
      </c>
      <c r="F1202" s="2" t="s">
        <v>20</v>
      </c>
      <c r="G1202" s="2">
        <v>1963.1052172299878</v>
      </c>
      <c r="H1202" s="2">
        <v>2617.4736229733171</v>
      </c>
      <c r="I1202" s="2">
        <v>0</v>
      </c>
      <c r="J1202" s="2">
        <v>3</v>
      </c>
    </row>
    <row r="1203" spans="1:10" x14ac:dyDescent="0.25">
      <c r="A1203" s="2">
        <v>46</v>
      </c>
      <c r="B1203" s="2" t="s">
        <v>11</v>
      </c>
      <c r="C1203" s="2">
        <v>40.4</v>
      </c>
      <c r="D1203" s="2">
        <v>2</v>
      </c>
      <c r="E1203" s="2" t="s">
        <v>12</v>
      </c>
      <c r="F1203" s="2" t="s">
        <v>20</v>
      </c>
      <c r="G1203" s="2">
        <v>1745.4600207874882</v>
      </c>
      <c r="H1203" s="2">
        <v>2327.2800277166511</v>
      </c>
      <c r="I1203" s="2">
        <v>0</v>
      </c>
      <c r="J1203" s="2">
        <v>3</v>
      </c>
    </row>
    <row r="1204" spans="1:10" x14ac:dyDescent="0.25">
      <c r="A1204" s="2">
        <v>22</v>
      </c>
      <c r="B1204" s="2" t="s">
        <v>11</v>
      </c>
      <c r="C1204" s="2">
        <v>21.7</v>
      </c>
      <c r="D1204" s="2">
        <v>0</v>
      </c>
      <c r="E1204" s="2" t="s">
        <v>12</v>
      </c>
      <c r="F1204" s="2" t="s">
        <v>20</v>
      </c>
      <c r="G1204" s="2">
        <v>2348.5652694676874</v>
      </c>
      <c r="H1204" s="2">
        <v>2763.0179640796327</v>
      </c>
      <c r="I1204" s="2">
        <v>0</v>
      </c>
      <c r="J1204" s="2">
        <v>0</v>
      </c>
    </row>
    <row r="1205" spans="1:10" x14ac:dyDescent="0.25">
      <c r="A1205" s="2">
        <v>51</v>
      </c>
      <c r="B1205" s="2" t="s">
        <v>11</v>
      </c>
      <c r="C1205" s="2">
        <v>32.299999999999997</v>
      </c>
      <c r="D1205" s="2">
        <v>1</v>
      </c>
      <c r="E1205" s="2" t="s">
        <v>12</v>
      </c>
      <c r="F1205" s="2" t="s">
        <v>15</v>
      </c>
      <c r="G1205" s="2">
        <v>3948.8735584114115</v>
      </c>
      <c r="H1205" s="2">
        <v>3760.8319603918217</v>
      </c>
      <c r="I1205" s="2">
        <v>0</v>
      </c>
      <c r="J1205" s="2">
        <v>1</v>
      </c>
    </row>
    <row r="1206" spans="1:10" x14ac:dyDescent="0.25">
      <c r="A1206" s="2">
        <v>18</v>
      </c>
      <c r="B1206" s="2" t="s">
        <v>8</v>
      </c>
      <c r="C1206" s="2">
        <v>27.3</v>
      </c>
      <c r="D1206" s="2">
        <v>3</v>
      </c>
      <c r="E1206" s="2" t="s">
        <v>9</v>
      </c>
      <c r="F1206" s="2" t="s">
        <v>13</v>
      </c>
      <c r="G1206" s="2">
        <v>1810.8001001406255</v>
      </c>
      <c r="H1206" s="2">
        <v>2414.4001335208341</v>
      </c>
      <c r="I1206" s="2">
        <v>1</v>
      </c>
      <c r="J1206" s="2">
        <v>2</v>
      </c>
    </row>
    <row r="1207" spans="1:10" x14ac:dyDescent="0.25">
      <c r="A1207" s="2">
        <v>35</v>
      </c>
      <c r="B1207" s="2" t="s">
        <v>11</v>
      </c>
      <c r="C1207" s="2">
        <v>21.6</v>
      </c>
      <c r="D1207" s="2">
        <v>1</v>
      </c>
      <c r="E1207" s="2" t="s">
        <v>12</v>
      </c>
      <c r="F1207" s="2" t="s">
        <v>20</v>
      </c>
      <c r="G1207" s="2">
        <v>1828.988299119608</v>
      </c>
      <c r="H1207" s="2">
        <v>2151.750940140716</v>
      </c>
      <c r="I1207" s="2">
        <v>0</v>
      </c>
      <c r="J1207" s="2">
        <v>0</v>
      </c>
    </row>
    <row r="1208" spans="1:10" x14ac:dyDescent="0.25">
      <c r="A1208" s="2">
        <v>59</v>
      </c>
      <c r="B1208" s="2" t="s">
        <v>8</v>
      </c>
      <c r="C1208" s="2">
        <v>34.799999999999997</v>
      </c>
      <c r="D1208" s="2">
        <v>2</v>
      </c>
      <c r="E1208" s="2" t="s">
        <v>12</v>
      </c>
      <c r="F1208" s="2" t="s">
        <v>21</v>
      </c>
      <c r="G1208" s="2">
        <v>2555.8224991234611</v>
      </c>
      <c r="H1208" s="2">
        <v>3407.7633321646149</v>
      </c>
      <c r="I1208" s="2">
        <v>0</v>
      </c>
      <c r="J1208" s="2">
        <v>3</v>
      </c>
    </row>
    <row r="1209" spans="1:10" x14ac:dyDescent="0.25">
      <c r="A1209" s="2">
        <v>36</v>
      </c>
      <c r="B1209" s="2" t="s">
        <v>11</v>
      </c>
      <c r="C1209" s="2">
        <v>33.4</v>
      </c>
      <c r="D1209" s="2">
        <v>2</v>
      </c>
      <c r="E1209" s="2" t="s">
        <v>9</v>
      </c>
      <c r="F1209" s="2" t="s">
        <v>21</v>
      </c>
      <c r="G1209" s="2">
        <v>2266.0159561122045</v>
      </c>
      <c r="H1209" s="2">
        <v>3021.3546081496061</v>
      </c>
      <c r="I1209" s="2">
        <v>1</v>
      </c>
      <c r="J1209" s="2">
        <v>2</v>
      </c>
    </row>
    <row r="1210" spans="1:10" x14ac:dyDescent="0.25">
      <c r="A1210" s="2">
        <v>37</v>
      </c>
      <c r="B1210" s="2" t="s">
        <v>8</v>
      </c>
      <c r="C1210" s="2">
        <v>23</v>
      </c>
      <c r="D1210" s="2">
        <v>1</v>
      </c>
      <c r="E1210" s="2" t="s">
        <v>9</v>
      </c>
      <c r="F1210" s="2" t="s">
        <v>15</v>
      </c>
      <c r="G1210" s="2">
        <v>1832.1817135156286</v>
      </c>
      <c r="H1210" s="2">
        <v>2155.5078982536816</v>
      </c>
      <c r="I1210" s="2">
        <v>1</v>
      </c>
      <c r="J1210" s="2">
        <v>2</v>
      </c>
    </row>
    <row r="1211" spans="1:10" x14ac:dyDescent="0.25">
      <c r="A1211" s="2">
        <v>59</v>
      </c>
      <c r="B1211" s="2" t="s">
        <v>11</v>
      </c>
      <c r="C1211" s="2">
        <v>37.1</v>
      </c>
      <c r="D1211" s="2">
        <v>1</v>
      </c>
      <c r="E1211" s="2" t="s">
        <v>12</v>
      </c>
      <c r="F1211" s="2" t="s">
        <v>21</v>
      </c>
      <c r="G1211" s="2">
        <v>4379.3976640953997</v>
      </c>
      <c r="H1211" s="2">
        <v>4170.8549181860963</v>
      </c>
      <c r="I1211" s="2">
        <v>0</v>
      </c>
      <c r="J1211" s="2">
        <v>1</v>
      </c>
    </row>
    <row r="1212" spans="1:10" x14ac:dyDescent="0.25">
      <c r="A1212" s="2">
        <v>36</v>
      </c>
      <c r="B1212" s="2" t="s">
        <v>11</v>
      </c>
      <c r="C1212" s="2">
        <v>22.6</v>
      </c>
      <c r="D1212" s="2">
        <v>1</v>
      </c>
      <c r="E1212" s="2" t="s">
        <v>12</v>
      </c>
      <c r="F1212" s="2" t="s">
        <v>20</v>
      </c>
      <c r="G1212" s="2">
        <v>1491.9192746687613</v>
      </c>
      <c r="H1212" s="2">
        <v>1755.199146669132</v>
      </c>
      <c r="I1212" s="2">
        <v>0</v>
      </c>
      <c r="J1212" s="2">
        <v>0</v>
      </c>
    </row>
    <row r="1213" spans="1:10" x14ac:dyDescent="0.25">
      <c r="A1213" s="2">
        <v>39</v>
      </c>
      <c r="B1213" s="2" t="s">
        <v>11</v>
      </c>
      <c r="C1213" s="2">
        <v>34.1</v>
      </c>
      <c r="D1213" s="2">
        <v>2</v>
      </c>
      <c r="E1213" s="2" t="s">
        <v>12</v>
      </c>
      <c r="F1213" s="2" t="s">
        <v>13</v>
      </c>
      <c r="G1213" s="2">
        <v>2001.4017807551027</v>
      </c>
      <c r="H1213" s="2">
        <v>2668.5357076734704</v>
      </c>
      <c r="I1213" s="2">
        <v>0</v>
      </c>
      <c r="J1213" s="2">
        <v>3</v>
      </c>
    </row>
    <row r="1214" spans="1:10" x14ac:dyDescent="0.25">
      <c r="A1214" s="2">
        <v>18</v>
      </c>
      <c r="B1214" s="2" t="s">
        <v>11</v>
      </c>
      <c r="C1214" s="2">
        <v>24.6</v>
      </c>
      <c r="D1214" s="2">
        <v>0</v>
      </c>
      <c r="E1214" s="2" t="s">
        <v>12</v>
      </c>
      <c r="F1214" s="2" t="s">
        <v>15</v>
      </c>
      <c r="G1214" s="2">
        <v>2176.6435855584259</v>
      </c>
      <c r="H1214" s="2">
        <v>2560.7571594805017</v>
      </c>
      <c r="I1214" s="2">
        <v>0</v>
      </c>
      <c r="J1214" s="2">
        <v>0</v>
      </c>
    </row>
    <row r="1215" spans="1:10" x14ac:dyDescent="0.25">
      <c r="A1215" s="2">
        <v>52</v>
      </c>
      <c r="B1215" s="2" t="s">
        <v>8</v>
      </c>
      <c r="C1215" s="2">
        <v>33.299999999999997</v>
      </c>
      <c r="D1215" s="2">
        <v>2</v>
      </c>
      <c r="E1215" s="2" t="s">
        <v>12</v>
      </c>
      <c r="F1215" s="2" t="s">
        <v>21</v>
      </c>
      <c r="G1215" s="2">
        <v>1920.8040067875368</v>
      </c>
      <c r="H1215" s="2">
        <v>2561.072009050049</v>
      </c>
      <c r="I1215" s="2">
        <v>0</v>
      </c>
      <c r="J1215" s="2">
        <v>3</v>
      </c>
    </row>
    <row r="1216" spans="1:10" x14ac:dyDescent="0.25">
      <c r="A1216" s="2">
        <v>27</v>
      </c>
      <c r="B1216" s="2" t="s">
        <v>8</v>
      </c>
      <c r="C1216" s="2">
        <v>23</v>
      </c>
      <c r="D1216" s="2">
        <v>1</v>
      </c>
      <c r="E1216" s="2" t="s">
        <v>12</v>
      </c>
      <c r="F1216" s="2" t="s">
        <v>20</v>
      </c>
      <c r="G1216" s="2">
        <v>1671.227122921995</v>
      </c>
      <c r="H1216" s="2">
        <v>1966.1495563788185</v>
      </c>
      <c r="I1216" s="2">
        <v>0</v>
      </c>
      <c r="J1216" s="2">
        <v>0</v>
      </c>
    </row>
    <row r="1217" spans="1:10" x14ac:dyDescent="0.25">
      <c r="A1217" s="2">
        <v>18</v>
      </c>
      <c r="B1217" s="2" t="s">
        <v>11</v>
      </c>
      <c r="C1217" s="2">
        <v>21.1</v>
      </c>
      <c r="D1217" s="2">
        <v>0</v>
      </c>
      <c r="E1217" s="2" t="s">
        <v>12</v>
      </c>
      <c r="F1217" s="2" t="s">
        <v>15</v>
      </c>
      <c r="G1217" s="2">
        <v>1655.4040704556642</v>
      </c>
      <c r="H1217" s="2">
        <v>1947.5342005360762</v>
      </c>
      <c r="I1217" s="2">
        <v>0</v>
      </c>
      <c r="J1217" s="2">
        <v>0</v>
      </c>
    </row>
    <row r="1218" spans="1:10" x14ac:dyDescent="0.25">
      <c r="A1218" s="2">
        <v>40</v>
      </c>
      <c r="B1218" s="2" t="s">
        <v>11</v>
      </c>
      <c r="C1218" s="2">
        <v>20.100000000000001</v>
      </c>
      <c r="D1218" s="2">
        <v>0</v>
      </c>
      <c r="E1218" s="2" t="s">
        <v>12</v>
      </c>
      <c r="F1218" s="2" t="s">
        <v>13</v>
      </c>
      <c r="G1218" s="2">
        <v>1618.4456792630097</v>
      </c>
      <c r="H1218" s="2">
        <v>1904.053740309424</v>
      </c>
      <c r="I1218" s="2">
        <v>0</v>
      </c>
      <c r="J1218" s="2">
        <v>0</v>
      </c>
    </row>
    <row r="1219" spans="1:10" x14ac:dyDescent="0.25">
      <c r="A1219" s="2">
        <v>29</v>
      </c>
      <c r="B1219" s="2" t="s">
        <v>11</v>
      </c>
      <c r="C1219" s="2">
        <v>37.299999999999997</v>
      </c>
      <c r="D1219" s="2">
        <v>2</v>
      </c>
      <c r="E1219" s="2" t="s">
        <v>12</v>
      </c>
      <c r="F1219" s="2" t="s">
        <v>13</v>
      </c>
      <c r="G1219" s="2">
        <v>2011.0520096060466</v>
      </c>
      <c r="H1219" s="2">
        <v>2681.4026794747288</v>
      </c>
      <c r="I1219" s="2">
        <v>0</v>
      </c>
      <c r="J1219" s="2">
        <v>3</v>
      </c>
    </row>
    <row r="1220" spans="1:10" x14ac:dyDescent="0.25">
      <c r="A1220" s="2">
        <v>46</v>
      </c>
      <c r="B1220" s="2" t="s">
        <v>8</v>
      </c>
      <c r="C1220" s="2">
        <v>34.6</v>
      </c>
      <c r="D1220" s="2">
        <v>1</v>
      </c>
      <c r="E1220" s="2" t="s">
        <v>9</v>
      </c>
      <c r="F1220" s="2" t="s">
        <v>21</v>
      </c>
      <c r="G1220" s="2">
        <v>3707.1635708559525</v>
      </c>
      <c r="H1220" s="2">
        <v>3530.6319722437656</v>
      </c>
      <c r="I1220" s="2">
        <v>1</v>
      </c>
      <c r="J1220" s="2">
        <v>2</v>
      </c>
    </row>
    <row r="1221" spans="1:10" x14ac:dyDescent="0.25">
      <c r="A1221" s="2">
        <v>38</v>
      </c>
      <c r="B1221" s="2" t="s">
        <v>8</v>
      </c>
      <c r="C1221" s="2">
        <v>30.2</v>
      </c>
      <c r="D1221" s="2">
        <v>3</v>
      </c>
      <c r="E1221" s="2" t="s">
        <v>12</v>
      </c>
      <c r="F1221" s="2" t="s">
        <v>20</v>
      </c>
      <c r="G1221" s="2">
        <v>1880.1009211078481</v>
      </c>
      <c r="H1221" s="2">
        <v>2506.8012281437973</v>
      </c>
      <c r="I1221" s="2">
        <v>0</v>
      </c>
      <c r="J1221" s="2">
        <v>3</v>
      </c>
    </row>
    <row r="1222" spans="1:10" x14ac:dyDescent="0.25">
      <c r="A1222" s="2">
        <v>30</v>
      </c>
      <c r="B1222" s="2" t="s">
        <v>8</v>
      </c>
      <c r="C1222" s="2">
        <v>25.1</v>
      </c>
      <c r="D1222" s="2">
        <v>1</v>
      </c>
      <c r="E1222" s="2" t="s">
        <v>12</v>
      </c>
      <c r="F1222" s="2" t="s">
        <v>15</v>
      </c>
      <c r="G1222" s="2">
        <v>2736.1375313644239</v>
      </c>
      <c r="H1222" s="2">
        <v>3218.9853310169692</v>
      </c>
      <c r="I1222" s="2">
        <v>0</v>
      </c>
      <c r="J1222" s="2">
        <v>0</v>
      </c>
    </row>
    <row r="1223" spans="1:10" x14ac:dyDescent="0.25">
      <c r="A1223" s="2">
        <v>40</v>
      </c>
      <c r="B1223" s="2" t="s">
        <v>11</v>
      </c>
      <c r="C1223" s="2">
        <v>25</v>
      </c>
      <c r="D1223" s="2">
        <v>2</v>
      </c>
      <c r="E1223" s="2" t="s">
        <v>12</v>
      </c>
      <c r="F1223" s="2" t="s">
        <v>13</v>
      </c>
      <c r="G1223" s="2">
        <v>1117.7326595226446</v>
      </c>
      <c r="H1223" s="2">
        <v>1490.3102126968593</v>
      </c>
      <c r="I1223" s="2">
        <v>0</v>
      </c>
      <c r="J1223" s="2">
        <v>3</v>
      </c>
    </row>
    <row r="1224" spans="1:10" x14ac:dyDescent="0.25">
      <c r="A1224" s="2">
        <v>50</v>
      </c>
      <c r="B1224" s="2" t="s">
        <v>11</v>
      </c>
      <c r="C1224" s="2">
        <v>25.3</v>
      </c>
      <c r="D1224" s="2">
        <v>0</v>
      </c>
      <c r="E1224" s="2" t="s">
        <v>12</v>
      </c>
      <c r="F1224" s="2" t="s">
        <v>13</v>
      </c>
      <c r="G1224" s="2">
        <v>5391.6950576562258</v>
      </c>
      <c r="H1224" s="2">
        <v>5134.9476739583115</v>
      </c>
      <c r="I1224" s="2">
        <v>0</v>
      </c>
      <c r="J1224" s="2">
        <v>1</v>
      </c>
    </row>
    <row r="1225" spans="1:10" x14ac:dyDescent="0.25">
      <c r="A1225" s="2">
        <v>20</v>
      </c>
      <c r="B1225" s="2" t="s">
        <v>8</v>
      </c>
      <c r="C1225" s="2">
        <v>23.9</v>
      </c>
      <c r="D1225" s="2">
        <v>0</v>
      </c>
      <c r="E1225" s="2" t="s">
        <v>9</v>
      </c>
      <c r="F1225" s="2" t="s">
        <v>13</v>
      </c>
      <c r="G1225" s="2">
        <v>1627.5383886655504</v>
      </c>
      <c r="H1225" s="2">
        <v>1914.7510454888836</v>
      </c>
      <c r="I1225" s="2">
        <v>1</v>
      </c>
      <c r="J1225" s="2">
        <v>2</v>
      </c>
    </row>
    <row r="1226" spans="1:10" x14ac:dyDescent="0.25">
      <c r="A1226" s="2">
        <v>41</v>
      </c>
      <c r="B1226" s="2" t="s">
        <v>11</v>
      </c>
      <c r="C1226" s="2">
        <v>20.100000000000001</v>
      </c>
      <c r="D1226" s="2">
        <v>1</v>
      </c>
      <c r="E1226" s="2" t="s">
        <v>12</v>
      </c>
      <c r="F1226" s="2" t="s">
        <v>15</v>
      </c>
      <c r="G1226" s="2">
        <v>1369.6892410862845</v>
      </c>
      <c r="H1226" s="2">
        <v>1611.3991071603355</v>
      </c>
      <c r="I1226" s="2">
        <v>0</v>
      </c>
      <c r="J1226" s="2">
        <v>0</v>
      </c>
    </row>
    <row r="1227" spans="1:10" x14ac:dyDescent="0.25">
      <c r="A1227" s="2">
        <v>33</v>
      </c>
      <c r="B1227" s="2" t="s">
        <v>8</v>
      </c>
      <c r="C1227" s="2">
        <v>22.6</v>
      </c>
      <c r="D1227" s="2">
        <v>1</v>
      </c>
      <c r="E1227" s="2" t="s">
        <v>12</v>
      </c>
      <c r="F1227" s="2" t="s">
        <v>13</v>
      </c>
      <c r="G1227" s="2">
        <v>1806.1645982504888</v>
      </c>
      <c r="H1227" s="2">
        <v>2124.899527353517</v>
      </c>
      <c r="I1227" s="2">
        <v>0</v>
      </c>
      <c r="J1227" s="2">
        <v>0</v>
      </c>
    </row>
    <row r="1228" spans="1:10" x14ac:dyDescent="0.25">
      <c r="A1228" s="2">
        <v>38</v>
      </c>
      <c r="B1228" s="2" t="s">
        <v>11</v>
      </c>
      <c r="C1228" s="2">
        <v>16.8</v>
      </c>
      <c r="D1228" s="2">
        <v>2</v>
      </c>
      <c r="E1228" s="2" t="s">
        <v>12</v>
      </c>
      <c r="F1228" s="2" t="s">
        <v>15</v>
      </c>
      <c r="G1228" s="2">
        <v>2199.8385837487513</v>
      </c>
      <c r="H1228" s="2">
        <v>2588.0453926455907</v>
      </c>
      <c r="I1228" s="2">
        <v>0</v>
      </c>
      <c r="J1228" s="2">
        <v>0</v>
      </c>
    </row>
    <row r="1229" spans="1:10" x14ac:dyDescent="0.25">
      <c r="A1229" s="2">
        <v>42</v>
      </c>
      <c r="B1229" s="2" t="s">
        <v>11</v>
      </c>
      <c r="C1229" s="2">
        <v>37.200000000000003</v>
      </c>
      <c r="D1229" s="2">
        <v>2</v>
      </c>
      <c r="E1229" s="2" t="s">
        <v>12</v>
      </c>
      <c r="F1229" s="2" t="s">
        <v>13</v>
      </c>
      <c r="G1229" s="2">
        <v>1175.3204791098271</v>
      </c>
      <c r="H1229" s="2">
        <v>1567.0939721464363</v>
      </c>
      <c r="I1229" s="2">
        <v>0</v>
      </c>
      <c r="J1229" s="2">
        <v>3</v>
      </c>
    </row>
    <row r="1230" spans="1:10" x14ac:dyDescent="0.25">
      <c r="A1230" s="2">
        <v>56</v>
      </c>
      <c r="B1230" s="2" t="s">
        <v>11</v>
      </c>
      <c r="C1230" s="2">
        <v>34.4</v>
      </c>
      <c r="D1230" s="2">
        <v>0</v>
      </c>
      <c r="E1230" s="2" t="s">
        <v>12</v>
      </c>
      <c r="F1230" s="2" t="s">
        <v>13</v>
      </c>
      <c r="G1230" s="2">
        <v>4093.0231317845573</v>
      </c>
      <c r="H1230" s="2">
        <v>3898.1172683662467</v>
      </c>
      <c r="I1230" s="2">
        <v>0</v>
      </c>
      <c r="J1230" s="2">
        <v>1</v>
      </c>
    </row>
    <row r="1231" spans="1:10" x14ac:dyDescent="0.25">
      <c r="A1231" s="2">
        <v>58</v>
      </c>
      <c r="B1231" s="2" t="s">
        <v>11</v>
      </c>
      <c r="C1231" s="2">
        <v>30.3</v>
      </c>
      <c r="D1231" s="2">
        <v>0</v>
      </c>
      <c r="E1231" s="2" t="s">
        <v>12</v>
      </c>
      <c r="F1231" s="2" t="s">
        <v>15</v>
      </c>
      <c r="G1231" s="2">
        <v>4922.4126190013139</v>
      </c>
      <c r="H1231" s="2">
        <v>4688.0120180964914</v>
      </c>
      <c r="I1231" s="2">
        <v>0</v>
      </c>
      <c r="J1231" s="2">
        <v>1</v>
      </c>
    </row>
    <row r="1232" spans="1:10" x14ac:dyDescent="0.25">
      <c r="A1232" s="2">
        <v>52</v>
      </c>
      <c r="B1232" s="2" t="s">
        <v>11</v>
      </c>
      <c r="C1232" s="2">
        <v>34.5</v>
      </c>
      <c r="D1232" s="2">
        <v>3</v>
      </c>
      <c r="E1232" s="2" t="s">
        <v>9</v>
      </c>
      <c r="F1232" s="2" t="s">
        <v>20</v>
      </c>
      <c r="G1232" s="2">
        <v>1721.3218755011308</v>
      </c>
      <c r="H1232" s="2">
        <v>2295.0958340015077</v>
      </c>
      <c r="I1232" s="2">
        <v>1</v>
      </c>
      <c r="J1232" s="2">
        <v>2</v>
      </c>
    </row>
    <row r="1233" spans="1:10" x14ac:dyDescent="0.25">
      <c r="A1233" s="2">
        <v>20</v>
      </c>
      <c r="B1233" s="2" t="s">
        <v>8</v>
      </c>
      <c r="C1233" s="2">
        <v>20.100000000000001</v>
      </c>
      <c r="D1233" s="2">
        <v>0</v>
      </c>
      <c r="E1233" s="2" t="s">
        <v>9</v>
      </c>
      <c r="F1233" s="2" t="s">
        <v>21</v>
      </c>
      <c r="G1233" s="2">
        <v>1513.8630942320733</v>
      </c>
      <c r="H1233" s="2">
        <v>1781.0154049789107</v>
      </c>
      <c r="I1233" s="2">
        <v>1</v>
      </c>
      <c r="J1233" s="2">
        <v>2</v>
      </c>
    </row>
    <row r="1234" spans="1:10" x14ac:dyDescent="0.25">
      <c r="A1234" s="2">
        <v>54</v>
      </c>
      <c r="B1234" s="2" t="s">
        <v>8</v>
      </c>
      <c r="C1234" s="2">
        <v>24.6</v>
      </c>
      <c r="D1234" s="2">
        <v>3</v>
      </c>
      <c r="E1234" s="2" t="s">
        <v>12</v>
      </c>
      <c r="F1234" s="2" t="s">
        <v>20</v>
      </c>
      <c r="G1234" s="2">
        <v>1657.062372102127</v>
      </c>
      <c r="H1234" s="2">
        <v>2209.4164961361694</v>
      </c>
      <c r="I1234" s="2">
        <v>0</v>
      </c>
      <c r="J1234" s="2">
        <v>3</v>
      </c>
    </row>
    <row r="1235" spans="1:10" x14ac:dyDescent="0.25">
      <c r="A1235" s="2">
        <v>58</v>
      </c>
      <c r="B1235" s="2" t="s">
        <v>11</v>
      </c>
      <c r="C1235" s="2">
        <v>23.3</v>
      </c>
      <c r="D1235" s="2">
        <v>0</v>
      </c>
      <c r="E1235" s="2" t="s">
        <v>12</v>
      </c>
      <c r="F1235" s="2" t="s">
        <v>21</v>
      </c>
      <c r="G1235" s="2">
        <v>4731.0445013336412</v>
      </c>
      <c r="H1235" s="2">
        <v>4505.7566679368028</v>
      </c>
      <c r="I1235" s="2">
        <v>0</v>
      </c>
      <c r="J1235" s="2">
        <v>1</v>
      </c>
    </row>
    <row r="1236" spans="1:10" x14ac:dyDescent="0.25">
      <c r="A1236" s="2">
        <v>45</v>
      </c>
      <c r="B1236" s="2" t="s">
        <v>8</v>
      </c>
      <c r="C1236" s="2">
        <v>27.8</v>
      </c>
      <c r="D1236" s="2">
        <v>2</v>
      </c>
      <c r="E1236" s="2" t="s">
        <v>12</v>
      </c>
      <c r="F1236" s="2" t="s">
        <v>13</v>
      </c>
      <c r="G1236" s="2">
        <v>2651.2359472051598</v>
      </c>
      <c r="H1236" s="2">
        <v>3534.9812629402131</v>
      </c>
      <c r="I1236" s="2">
        <v>0</v>
      </c>
      <c r="J1236" s="2">
        <v>3</v>
      </c>
    </row>
    <row r="1237" spans="1:10" x14ac:dyDescent="0.25">
      <c r="A1237" s="2">
        <v>26</v>
      </c>
      <c r="B1237" s="2" t="s">
        <v>11</v>
      </c>
      <c r="C1237" s="2">
        <v>25.5</v>
      </c>
      <c r="D1237" s="2">
        <v>0</v>
      </c>
      <c r="E1237" s="2" t="s">
        <v>12</v>
      </c>
      <c r="F1237" s="2" t="s">
        <v>20</v>
      </c>
      <c r="G1237" s="2">
        <v>1595.119225154207</v>
      </c>
      <c r="H1237" s="2">
        <v>1876.6108531225973</v>
      </c>
      <c r="I1237" s="2">
        <v>0</v>
      </c>
      <c r="J1237" s="2">
        <v>0</v>
      </c>
    </row>
    <row r="1238" spans="1:10" x14ac:dyDescent="0.25">
      <c r="A1238" s="2">
        <v>63</v>
      </c>
      <c r="B1238" s="2" t="s">
        <v>8</v>
      </c>
      <c r="C1238" s="2">
        <v>21.7</v>
      </c>
      <c r="D1238" s="2">
        <v>0</v>
      </c>
      <c r="E1238" s="2" t="s">
        <v>12</v>
      </c>
      <c r="F1238" s="2" t="s">
        <v>15</v>
      </c>
      <c r="G1238" s="2">
        <v>5213.4082317937091</v>
      </c>
      <c r="H1238" s="2">
        <v>4965.1506969463908</v>
      </c>
      <c r="I1238" s="2">
        <v>0</v>
      </c>
      <c r="J1238" s="2">
        <v>1</v>
      </c>
    </row>
    <row r="1239" spans="1:10" x14ac:dyDescent="0.25">
      <c r="A1239" s="2">
        <v>58</v>
      </c>
      <c r="B1239" s="2" t="s">
        <v>8</v>
      </c>
      <c r="C1239" s="2">
        <v>28.2</v>
      </c>
      <c r="D1239" s="2">
        <v>0</v>
      </c>
      <c r="E1239" s="2" t="s">
        <v>12</v>
      </c>
      <c r="F1239" s="2" t="s">
        <v>20</v>
      </c>
      <c r="G1239" s="2">
        <v>4472.611400704247</v>
      </c>
      <c r="H1239" s="2">
        <v>4259.6299054326173</v>
      </c>
      <c r="I1239" s="2">
        <v>0</v>
      </c>
      <c r="J1239" s="2">
        <v>1</v>
      </c>
    </row>
    <row r="1240" spans="1:10" x14ac:dyDescent="0.25">
      <c r="A1240" s="2">
        <v>37</v>
      </c>
      <c r="B1240" s="2" t="s">
        <v>11</v>
      </c>
      <c r="C1240" s="2">
        <v>22.7</v>
      </c>
      <c r="D1240" s="2">
        <v>3</v>
      </c>
      <c r="E1240" s="2" t="s">
        <v>12</v>
      </c>
      <c r="F1240" s="2" t="s">
        <v>15</v>
      </c>
      <c r="G1240" s="2">
        <v>2013.1287970207986</v>
      </c>
      <c r="H1240" s="2">
        <v>2684.171729361065</v>
      </c>
      <c r="I1240" s="2">
        <v>0</v>
      </c>
      <c r="J1240" s="2">
        <v>3</v>
      </c>
    </row>
    <row r="1241" spans="1:10" x14ac:dyDescent="0.25">
      <c r="A1241" s="2">
        <v>25</v>
      </c>
      <c r="B1241" s="2" t="s">
        <v>8</v>
      </c>
      <c r="C1241" s="2">
        <v>21.3</v>
      </c>
      <c r="D1241" s="2">
        <v>1</v>
      </c>
      <c r="E1241" s="2" t="s">
        <v>12</v>
      </c>
      <c r="F1241" s="2" t="s">
        <v>13</v>
      </c>
      <c r="G1241" s="2">
        <v>2391.7840681069661</v>
      </c>
      <c r="H1241" s="2">
        <v>2813.8636095376082</v>
      </c>
      <c r="I1241" s="2">
        <v>0</v>
      </c>
      <c r="J1241" s="2">
        <v>0</v>
      </c>
    </row>
    <row r="1242" spans="1:10" x14ac:dyDescent="0.25">
      <c r="A1242" s="2">
        <v>52</v>
      </c>
      <c r="B1242" s="2" t="s">
        <v>11</v>
      </c>
      <c r="C1242" s="2">
        <v>41.8</v>
      </c>
      <c r="D1242" s="2">
        <v>2</v>
      </c>
      <c r="E1242" s="2" t="s">
        <v>9</v>
      </c>
      <c r="F1242" s="2" t="s">
        <v>13</v>
      </c>
      <c r="G1242" s="2">
        <v>1308.42828043498</v>
      </c>
      <c r="H1242" s="2">
        <v>1744.5710405799734</v>
      </c>
      <c r="I1242" s="2">
        <v>1</v>
      </c>
      <c r="J1242" s="2">
        <v>2</v>
      </c>
    </row>
    <row r="1243" spans="1:10" x14ac:dyDescent="0.25">
      <c r="A1243" s="2">
        <v>64</v>
      </c>
      <c r="B1243" s="2" t="s">
        <v>11</v>
      </c>
      <c r="C1243" s="2">
        <v>37</v>
      </c>
      <c r="D1243" s="2">
        <v>2</v>
      </c>
      <c r="E1243" s="2" t="s">
        <v>9</v>
      </c>
      <c r="F1243" s="2" t="s">
        <v>13</v>
      </c>
      <c r="G1243" s="2">
        <v>4809.5263616796947</v>
      </c>
      <c r="H1243" s="2">
        <v>4580.5012968378051</v>
      </c>
      <c r="I1243" s="2">
        <v>1</v>
      </c>
      <c r="J1243" s="2">
        <v>2</v>
      </c>
    </row>
    <row r="1244" spans="1:10" x14ac:dyDescent="0.25">
      <c r="A1244" s="2">
        <v>22</v>
      </c>
      <c r="B1244" s="2" t="s">
        <v>8</v>
      </c>
      <c r="C1244" s="2">
        <v>21.3</v>
      </c>
      <c r="D1244" s="2">
        <v>3</v>
      </c>
      <c r="E1244" s="2" t="s">
        <v>12</v>
      </c>
      <c r="F1244" s="2" t="s">
        <v>20</v>
      </c>
      <c r="G1244" s="2">
        <v>1454.1595188348492</v>
      </c>
      <c r="H1244" s="2">
        <v>1710.7759045115879</v>
      </c>
      <c r="I1244" s="2">
        <v>0</v>
      </c>
      <c r="J1244" s="2">
        <v>0</v>
      </c>
    </row>
    <row r="1245" spans="1:10" x14ac:dyDescent="0.25">
      <c r="A1245" s="2">
        <v>28</v>
      </c>
      <c r="B1245" s="2" t="s">
        <v>8</v>
      </c>
      <c r="C1245" s="2">
        <v>20.399999999999999</v>
      </c>
      <c r="D1245" s="2">
        <v>0</v>
      </c>
      <c r="E1245" s="2" t="s">
        <v>12</v>
      </c>
      <c r="F1245" s="2" t="s">
        <v>13</v>
      </c>
      <c r="G1245" s="2">
        <v>2025.7983389055348</v>
      </c>
      <c r="H1245" s="2">
        <v>2383.2921634182771</v>
      </c>
      <c r="I1245" s="2">
        <v>0</v>
      </c>
      <c r="J1245" s="2">
        <v>0</v>
      </c>
    </row>
    <row r="1246" spans="1:10" x14ac:dyDescent="0.25">
      <c r="A1246" s="2">
        <v>18</v>
      </c>
      <c r="B1246" s="2" t="s">
        <v>11</v>
      </c>
      <c r="C1246" s="2">
        <v>21.4</v>
      </c>
      <c r="D1246" s="2">
        <v>0</v>
      </c>
      <c r="E1246" s="2" t="s">
        <v>12</v>
      </c>
      <c r="F1246" s="2" t="s">
        <v>13</v>
      </c>
      <c r="G1246" s="2">
        <v>1582.1007352793411</v>
      </c>
      <c r="H1246" s="2">
        <v>1861.2949826815786</v>
      </c>
      <c r="I1246" s="2">
        <v>0</v>
      </c>
      <c r="J1246" s="2">
        <v>0</v>
      </c>
    </row>
    <row r="1247" spans="1:10" x14ac:dyDescent="0.25">
      <c r="A1247" s="2">
        <v>28</v>
      </c>
      <c r="B1247" s="2" t="s">
        <v>11</v>
      </c>
      <c r="C1247" s="2">
        <v>24.3</v>
      </c>
      <c r="D1247" s="2">
        <v>5</v>
      </c>
      <c r="E1247" s="2" t="s">
        <v>12</v>
      </c>
      <c r="F1247" s="2" t="s">
        <v>21</v>
      </c>
      <c r="G1247" s="2">
        <v>2480.7026106784474</v>
      </c>
      <c r="H1247" s="2">
        <v>3307.6034809045964</v>
      </c>
      <c r="I1247" s="2">
        <v>0</v>
      </c>
      <c r="J1247" s="2">
        <v>3</v>
      </c>
    </row>
    <row r="1248" spans="1:10" x14ac:dyDescent="0.25">
      <c r="A1248" s="2">
        <v>45</v>
      </c>
      <c r="B1248" s="2" t="s">
        <v>8</v>
      </c>
      <c r="C1248" s="2">
        <v>25.7</v>
      </c>
      <c r="D1248" s="2">
        <v>3</v>
      </c>
      <c r="E1248" s="2" t="s">
        <v>12</v>
      </c>
      <c r="F1248" s="2" t="s">
        <v>21</v>
      </c>
      <c r="G1248" s="2">
        <v>1671.8129564381181</v>
      </c>
      <c r="H1248" s="2">
        <v>2229.0839419174908</v>
      </c>
      <c r="I1248" s="2">
        <v>0</v>
      </c>
      <c r="J1248" s="2">
        <v>3</v>
      </c>
    </row>
    <row r="1249" spans="1:10" x14ac:dyDescent="0.25">
      <c r="A1249" s="2">
        <v>33</v>
      </c>
      <c r="B1249" s="2" t="s">
        <v>11</v>
      </c>
      <c r="C1249" s="2">
        <v>29.4</v>
      </c>
      <c r="D1249" s="2">
        <v>4</v>
      </c>
      <c r="E1249" s="2" t="s">
        <v>12</v>
      </c>
      <c r="F1249" s="2" t="s">
        <v>21</v>
      </c>
      <c r="G1249" s="2">
        <v>1704.8333101648452</v>
      </c>
      <c r="H1249" s="2">
        <v>2273.1110802197936</v>
      </c>
      <c r="I1249" s="2">
        <v>0</v>
      </c>
      <c r="J1249" s="2">
        <v>3</v>
      </c>
    </row>
    <row r="1250" spans="1:10" x14ac:dyDescent="0.25">
      <c r="A1250" s="2">
        <v>18</v>
      </c>
      <c r="B1250" s="2" t="s">
        <v>8</v>
      </c>
      <c r="C1250" s="2">
        <v>26</v>
      </c>
      <c r="D1250" s="2">
        <v>0</v>
      </c>
      <c r="E1250" s="2" t="s">
        <v>12</v>
      </c>
      <c r="F1250" s="2" t="s">
        <v>13</v>
      </c>
      <c r="G1250" s="2">
        <v>1901.6744429442617</v>
      </c>
      <c r="H1250" s="2">
        <v>2237.2640505226618</v>
      </c>
      <c r="I1250" s="2">
        <v>0</v>
      </c>
      <c r="J1250" s="2">
        <v>0</v>
      </c>
    </row>
    <row r="1251" spans="1:10" x14ac:dyDescent="0.25">
      <c r="A1251" s="2">
        <v>32</v>
      </c>
      <c r="B1251" s="2" t="s">
        <v>11</v>
      </c>
      <c r="C1251" s="2">
        <v>21.7</v>
      </c>
      <c r="D1251" s="2">
        <v>1</v>
      </c>
      <c r="E1251" s="2" t="s">
        <v>9</v>
      </c>
      <c r="F1251" s="2" t="s">
        <v>15</v>
      </c>
      <c r="G1251" s="2">
        <v>1772.1820376624241</v>
      </c>
      <c r="H1251" s="2">
        <v>2084.9200443087352</v>
      </c>
      <c r="I1251" s="2">
        <v>1</v>
      </c>
      <c r="J1251" s="2">
        <v>2</v>
      </c>
    </row>
    <row r="1252" spans="1:10" x14ac:dyDescent="0.25">
      <c r="A1252" s="2">
        <v>24</v>
      </c>
      <c r="B1252" s="2" t="s">
        <v>11</v>
      </c>
      <c r="C1252" s="2">
        <v>25.5</v>
      </c>
      <c r="D1252" s="2">
        <v>0</v>
      </c>
      <c r="E1252" s="2" t="s">
        <v>9</v>
      </c>
      <c r="F1252" s="2" t="s">
        <v>15</v>
      </c>
      <c r="G1252" s="2">
        <v>1867.2030239150915</v>
      </c>
      <c r="H1252" s="2">
        <v>2196.7094399001085</v>
      </c>
      <c r="I1252" s="2">
        <v>1</v>
      </c>
      <c r="J1252" s="2">
        <v>2</v>
      </c>
    </row>
    <row r="1253" spans="1:10" x14ac:dyDescent="0.25">
      <c r="A1253" s="2">
        <v>19</v>
      </c>
      <c r="B1253" s="2" t="s">
        <v>11</v>
      </c>
      <c r="C1253" s="2">
        <v>25.5</v>
      </c>
      <c r="D1253" s="2">
        <v>0</v>
      </c>
      <c r="E1253" s="2" t="s">
        <v>12</v>
      </c>
      <c r="F1253" s="2" t="s">
        <v>21</v>
      </c>
      <c r="G1253" s="2">
        <v>1802.6059633059999</v>
      </c>
      <c r="H1253" s="2">
        <v>2120.7128980070593</v>
      </c>
      <c r="I1253" s="2">
        <v>0</v>
      </c>
      <c r="J1253" s="2">
        <v>0</v>
      </c>
    </row>
    <row r="1254" spans="1:10" x14ac:dyDescent="0.25">
      <c r="A1254" s="2">
        <v>20</v>
      </c>
      <c r="B1254" s="2" t="s">
        <v>11</v>
      </c>
      <c r="C1254" s="2">
        <v>20.6</v>
      </c>
      <c r="D1254" s="2">
        <v>0</v>
      </c>
      <c r="E1254" s="2" t="s">
        <v>9</v>
      </c>
      <c r="F1254" s="2" t="s">
        <v>21</v>
      </c>
      <c r="G1254" s="2">
        <v>1696.2541618961693</v>
      </c>
      <c r="H1254" s="2">
        <v>1995.5931316425529</v>
      </c>
      <c r="I1254" s="2">
        <v>1</v>
      </c>
      <c r="J1254" s="2">
        <v>2</v>
      </c>
    </row>
    <row r="1255" spans="1:10" x14ac:dyDescent="0.25">
      <c r="A1255" s="2">
        <v>40</v>
      </c>
      <c r="B1255" s="2" t="s">
        <v>8</v>
      </c>
      <c r="C1255" s="2">
        <v>29.3</v>
      </c>
      <c r="D1255" s="2">
        <v>4</v>
      </c>
      <c r="E1255" s="2" t="s">
        <v>12</v>
      </c>
      <c r="F1255" s="2" t="s">
        <v>21</v>
      </c>
      <c r="G1255" s="2">
        <v>2282.8907700958707</v>
      </c>
      <c r="H1255" s="2">
        <v>3043.8543601278279</v>
      </c>
      <c r="I1255" s="2">
        <v>0</v>
      </c>
      <c r="J1255" s="2">
        <v>3</v>
      </c>
    </row>
    <row r="1256" spans="1:10" x14ac:dyDescent="0.25">
      <c r="A1256" s="2">
        <v>34</v>
      </c>
      <c r="B1256" s="2" t="s">
        <v>8</v>
      </c>
      <c r="C1256" s="2">
        <v>22.4</v>
      </c>
      <c r="D1256" s="2">
        <v>0</v>
      </c>
      <c r="E1256" s="2" t="s">
        <v>12</v>
      </c>
      <c r="F1256" s="2" t="s">
        <v>13</v>
      </c>
      <c r="G1256" s="2">
        <v>1667.112915142684</v>
      </c>
      <c r="H1256" s="2">
        <v>1961.3093119325702</v>
      </c>
      <c r="I1256" s="2">
        <v>0</v>
      </c>
      <c r="J1256" s="2">
        <v>0</v>
      </c>
    </row>
    <row r="1257" spans="1:10" x14ac:dyDescent="0.25">
      <c r="A1257" s="2">
        <v>42</v>
      </c>
      <c r="B1257" s="2" t="s">
        <v>8</v>
      </c>
      <c r="C1257" s="2">
        <v>37.9</v>
      </c>
      <c r="D1257" s="2">
        <v>0</v>
      </c>
      <c r="E1257" s="2" t="s">
        <v>12</v>
      </c>
      <c r="F1257" s="2" t="s">
        <v>21</v>
      </c>
      <c r="G1257" s="2">
        <v>5256.3938820431167</v>
      </c>
      <c r="H1257" s="2">
        <v>5006.0894114696357</v>
      </c>
      <c r="I1257" s="2">
        <v>0</v>
      </c>
      <c r="J1257" s="2">
        <v>1</v>
      </c>
    </row>
    <row r="1258" spans="1:10" x14ac:dyDescent="0.25">
      <c r="A1258" s="2">
        <v>51</v>
      </c>
      <c r="B1258" s="2" t="s">
        <v>8</v>
      </c>
      <c r="C1258" s="2">
        <v>36.4</v>
      </c>
      <c r="D1258" s="2">
        <v>3</v>
      </c>
      <c r="E1258" s="2" t="s">
        <v>12</v>
      </c>
      <c r="F1258" s="2" t="s">
        <v>20</v>
      </c>
      <c r="G1258" s="2">
        <v>1378.0200245154804</v>
      </c>
      <c r="H1258" s="2">
        <v>1837.3600326873072</v>
      </c>
      <c r="I1258" s="2">
        <v>0</v>
      </c>
      <c r="J1258" s="2">
        <v>3</v>
      </c>
    </row>
    <row r="1259" spans="1:10" x14ac:dyDescent="0.25">
      <c r="A1259" s="2">
        <v>54</v>
      </c>
      <c r="B1259" s="2" t="s">
        <v>8</v>
      </c>
      <c r="C1259" s="2">
        <v>27.6</v>
      </c>
      <c r="D1259" s="2">
        <v>1</v>
      </c>
      <c r="E1259" s="2" t="s">
        <v>12</v>
      </c>
      <c r="F1259" s="2" t="s">
        <v>20</v>
      </c>
      <c r="G1259" s="2">
        <v>4483.4063400766518</v>
      </c>
      <c r="H1259" s="2">
        <v>4269.910800073003</v>
      </c>
      <c r="I1259" s="2">
        <v>0</v>
      </c>
      <c r="J1259" s="2">
        <v>1</v>
      </c>
    </row>
    <row r="1260" spans="1:10" x14ac:dyDescent="0.25">
      <c r="A1260" s="2">
        <v>55</v>
      </c>
      <c r="B1260" s="2" t="s">
        <v>11</v>
      </c>
      <c r="C1260" s="2">
        <v>37.700000000000003</v>
      </c>
      <c r="D1260" s="2">
        <v>3</v>
      </c>
      <c r="E1260" s="2" t="s">
        <v>12</v>
      </c>
      <c r="F1260" s="2" t="s">
        <v>20</v>
      </c>
      <c r="G1260" s="2">
        <v>3218.1975594007763</v>
      </c>
      <c r="H1260" s="2">
        <v>4290.9300792010354</v>
      </c>
      <c r="I1260" s="2">
        <v>0</v>
      </c>
      <c r="J1260" s="2">
        <v>3</v>
      </c>
    </row>
    <row r="1261" spans="1:10" x14ac:dyDescent="0.25">
      <c r="A1261" s="2">
        <v>52</v>
      </c>
      <c r="B1261" s="2" t="s">
        <v>8</v>
      </c>
      <c r="C1261" s="2">
        <v>23.2</v>
      </c>
      <c r="D1261" s="2">
        <v>0</v>
      </c>
      <c r="E1261" s="2" t="s">
        <v>12</v>
      </c>
      <c r="F1261" s="2" t="s">
        <v>15</v>
      </c>
      <c r="G1261" s="2">
        <v>4002.0483300688602</v>
      </c>
      <c r="H1261" s="2">
        <v>3811.4746000655828</v>
      </c>
      <c r="I1261" s="2">
        <v>0</v>
      </c>
      <c r="J1261" s="2">
        <v>1</v>
      </c>
    </row>
    <row r="1262" spans="1:10" x14ac:dyDescent="0.25">
      <c r="A1262" s="2">
        <v>32</v>
      </c>
      <c r="B1262" s="2" t="s">
        <v>8</v>
      </c>
      <c r="C1262" s="2">
        <v>24.2</v>
      </c>
      <c r="D1262" s="2">
        <v>0</v>
      </c>
      <c r="E1262" s="2" t="s">
        <v>12</v>
      </c>
      <c r="F1262" s="2" t="s">
        <v>15</v>
      </c>
      <c r="G1262" s="2">
        <v>1796.0321970090831</v>
      </c>
      <c r="H1262" s="2">
        <v>2112.9790553048042</v>
      </c>
      <c r="I1262" s="2">
        <v>0</v>
      </c>
      <c r="J1262" s="2">
        <v>0</v>
      </c>
    </row>
    <row r="1263" spans="1:10" x14ac:dyDescent="0.25">
      <c r="A1263" s="2">
        <v>28</v>
      </c>
      <c r="B1263" s="2" t="s">
        <v>11</v>
      </c>
      <c r="C1263" s="2">
        <v>23.9</v>
      </c>
      <c r="D1263" s="2">
        <v>1</v>
      </c>
      <c r="E1263" s="2" t="s">
        <v>12</v>
      </c>
      <c r="F1263" s="2" t="s">
        <v>21</v>
      </c>
      <c r="G1263" s="2">
        <v>1950.2814419891849</v>
      </c>
      <c r="H1263" s="2">
        <v>2294.4487552813944</v>
      </c>
      <c r="I1263" s="2">
        <v>0</v>
      </c>
      <c r="J1263" s="2">
        <v>0</v>
      </c>
    </row>
    <row r="1264" spans="1:10" x14ac:dyDescent="0.25">
      <c r="A1264" s="2">
        <v>41</v>
      </c>
      <c r="B1264" s="2" t="s">
        <v>8</v>
      </c>
      <c r="C1264" s="2">
        <v>28.1</v>
      </c>
      <c r="D1264" s="2">
        <v>1</v>
      </c>
      <c r="E1264" s="2" t="s">
        <v>12</v>
      </c>
      <c r="F1264" s="2" t="s">
        <v>13</v>
      </c>
      <c r="G1264" s="2">
        <v>4531.051888680583</v>
      </c>
      <c r="H1264" s="2">
        <v>4315.2875130291286</v>
      </c>
      <c r="I1264" s="2">
        <v>0</v>
      </c>
      <c r="J1264" s="2">
        <v>1</v>
      </c>
    </row>
    <row r="1265" spans="1:10" x14ac:dyDescent="0.25">
      <c r="A1265" s="2">
        <v>43</v>
      </c>
      <c r="B1265" s="2" t="s">
        <v>8</v>
      </c>
      <c r="C1265" s="2">
        <v>29.9</v>
      </c>
      <c r="D1265" s="2">
        <v>1</v>
      </c>
      <c r="E1265" s="2" t="s">
        <v>12</v>
      </c>
      <c r="F1265" s="2" t="s">
        <v>21</v>
      </c>
      <c r="G1265" s="2">
        <v>5470.2585805715207</v>
      </c>
      <c r="H1265" s="2">
        <v>5209.7700767347833</v>
      </c>
      <c r="I1265" s="2">
        <v>0</v>
      </c>
      <c r="J1265" s="2">
        <v>1</v>
      </c>
    </row>
    <row r="1266" spans="1:10" x14ac:dyDescent="0.25">
      <c r="A1266" s="2">
        <v>49</v>
      </c>
      <c r="B1266" s="2" t="s">
        <v>8</v>
      </c>
      <c r="C1266" s="2">
        <v>33.299999999999997</v>
      </c>
      <c r="D1266" s="2">
        <v>2</v>
      </c>
      <c r="E1266" s="2" t="s">
        <v>12</v>
      </c>
      <c r="F1266" s="2" t="s">
        <v>15</v>
      </c>
      <c r="G1266" s="2">
        <v>2940.2828070675068</v>
      </c>
      <c r="H1266" s="2">
        <v>3920.3770760900093</v>
      </c>
      <c r="I1266" s="2">
        <v>0</v>
      </c>
      <c r="J1266" s="2">
        <v>3</v>
      </c>
    </row>
    <row r="1267" spans="1:10" x14ac:dyDescent="0.25">
      <c r="A1267" s="2">
        <v>64</v>
      </c>
      <c r="B1267" s="2" t="s">
        <v>11</v>
      </c>
      <c r="C1267" s="2">
        <v>23.8</v>
      </c>
      <c r="D1267" s="2">
        <v>0</v>
      </c>
      <c r="E1267" s="2" t="s">
        <v>9</v>
      </c>
      <c r="F1267" s="2" t="s">
        <v>13</v>
      </c>
      <c r="G1267" s="2">
        <v>3840.0645448038185</v>
      </c>
      <c r="H1267" s="2">
        <v>3657.2043283845906</v>
      </c>
      <c r="I1267" s="2">
        <v>1</v>
      </c>
      <c r="J1267" s="2">
        <v>2</v>
      </c>
    </row>
    <row r="1268" spans="1:10" x14ac:dyDescent="0.25">
      <c r="A1268" s="2">
        <v>55</v>
      </c>
      <c r="B1268" s="2" t="s">
        <v>8</v>
      </c>
      <c r="C1268" s="2">
        <v>30.5</v>
      </c>
      <c r="D1268" s="2">
        <v>0</v>
      </c>
      <c r="E1268" s="2" t="s">
        <v>12</v>
      </c>
      <c r="F1268" s="2" t="s">
        <v>21</v>
      </c>
      <c r="G1268" s="2">
        <v>5106.2317807826648</v>
      </c>
      <c r="H1268" s="2">
        <v>4863.0778864596823</v>
      </c>
      <c r="I1268" s="2">
        <v>0</v>
      </c>
      <c r="J1268" s="2">
        <v>1</v>
      </c>
    </row>
    <row r="1269" spans="1:10" x14ac:dyDescent="0.25">
      <c r="A1269" s="2">
        <v>24</v>
      </c>
      <c r="B1269" s="2" t="s">
        <v>11</v>
      </c>
      <c r="C1269" s="2">
        <v>23.2</v>
      </c>
      <c r="D1269" s="2">
        <v>0</v>
      </c>
      <c r="E1269" s="2" t="s">
        <v>9</v>
      </c>
      <c r="F1269" s="2" t="s">
        <v>15</v>
      </c>
      <c r="G1269" s="2">
        <v>1572.6805246042024</v>
      </c>
      <c r="H1269" s="2">
        <v>1850.2123818872976</v>
      </c>
      <c r="I1269" s="2">
        <v>1</v>
      </c>
      <c r="J1269" s="2">
        <v>2</v>
      </c>
    </row>
    <row r="1270" spans="1:10" x14ac:dyDescent="0.25">
      <c r="A1270" s="2">
        <v>20</v>
      </c>
      <c r="B1270" s="2" t="s">
        <v>8</v>
      </c>
      <c r="C1270" s="2">
        <v>25.4</v>
      </c>
      <c r="D1270" s="2">
        <v>0</v>
      </c>
      <c r="E1270" s="2" t="s">
        <v>12</v>
      </c>
      <c r="F1270" s="2" t="s">
        <v>21</v>
      </c>
      <c r="G1270" s="2">
        <v>1605.0955086742042</v>
      </c>
      <c r="H1270" s="2">
        <v>1888.3476572637703</v>
      </c>
      <c r="I1270" s="2">
        <v>0</v>
      </c>
      <c r="J1270" s="2">
        <v>0</v>
      </c>
    </row>
    <row r="1271" spans="1:10" x14ac:dyDescent="0.25">
      <c r="A1271" s="2">
        <v>45</v>
      </c>
      <c r="B1271" s="2" t="s">
        <v>11</v>
      </c>
      <c r="C1271" s="2">
        <v>27.5</v>
      </c>
      <c r="D1271" s="2">
        <v>3</v>
      </c>
      <c r="E1271" s="2" t="s">
        <v>12</v>
      </c>
      <c r="F1271" s="2" t="s">
        <v>21</v>
      </c>
      <c r="G1271" s="2">
        <v>2935.0010525239868</v>
      </c>
      <c r="H1271" s="2">
        <v>3913.3347366986491</v>
      </c>
      <c r="I1271" s="2">
        <v>0</v>
      </c>
      <c r="J1271" s="2">
        <v>3</v>
      </c>
    </row>
    <row r="1272" spans="1:10" x14ac:dyDescent="0.25">
      <c r="A1272" s="2">
        <v>26</v>
      </c>
      <c r="B1272" s="2" t="s">
        <v>11</v>
      </c>
      <c r="C1272" s="2">
        <v>22.7</v>
      </c>
      <c r="D1272" s="2">
        <v>1</v>
      </c>
      <c r="E1272" s="2" t="s">
        <v>12</v>
      </c>
      <c r="F1272" s="2" t="s">
        <v>20</v>
      </c>
      <c r="G1272" s="2">
        <v>1848.5103218611544</v>
      </c>
      <c r="H1272" s="2">
        <v>2174.7180257190057</v>
      </c>
      <c r="I1272" s="2">
        <v>0</v>
      </c>
      <c r="J1272" s="2">
        <v>0</v>
      </c>
    </row>
    <row r="1273" spans="1:10" x14ac:dyDescent="0.25">
      <c r="A1273" s="2">
        <v>25</v>
      </c>
      <c r="B1273" s="2" t="s">
        <v>8</v>
      </c>
      <c r="C1273" s="2">
        <v>24.2</v>
      </c>
      <c r="D1273" s="2">
        <v>0</v>
      </c>
      <c r="E1273" s="2" t="s">
        <v>12</v>
      </c>
      <c r="F1273" s="2" t="s">
        <v>20</v>
      </c>
      <c r="G1273" s="2">
        <v>1912.2199961342476</v>
      </c>
      <c r="H1273" s="2">
        <v>2249.6705836873507</v>
      </c>
      <c r="I1273" s="2">
        <v>0</v>
      </c>
      <c r="J1273" s="2">
        <v>0</v>
      </c>
    </row>
    <row r="1274" spans="1:10" x14ac:dyDescent="0.25">
      <c r="A1274" s="2">
        <v>43</v>
      </c>
      <c r="B1274" s="2" t="s">
        <v>11</v>
      </c>
      <c r="C1274" s="2">
        <v>25.5</v>
      </c>
      <c r="D1274" s="2">
        <v>5</v>
      </c>
      <c r="E1274" s="2" t="s">
        <v>12</v>
      </c>
      <c r="F1274" s="2" t="s">
        <v>13</v>
      </c>
      <c r="G1274" s="2">
        <v>2947.2770989008072</v>
      </c>
      <c r="H1274" s="2">
        <v>3929.7027985344098</v>
      </c>
      <c r="I1274" s="2">
        <v>0</v>
      </c>
      <c r="J1274" s="2">
        <v>3</v>
      </c>
    </row>
    <row r="1275" spans="1:10" x14ac:dyDescent="0.25">
      <c r="A1275" s="2">
        <v>35</v>
      </c>
      <c r="B1275" s="2" t="s">
        <v>11</v>
      </c>
      <c r="C1275" s="2">
        <v>25.2</v>
      </c>
      <c r="D1275" s="2">
        <v>1</v>
      </c>
      <c r="E1275" s="2" t="s">
        <v>12</v>
      </c>
      <c r="F1275" s="2" t="s">
        <v>13</v>
      </c>
      <c r="G1275" s="2">
        <v>1727.566067495201</v>
      </c>
      <c r="H1275" s="2">
        <v>2032.4306676414135</v>
      </c>
      <c r="I1275" s="2">
        <v>0</v>
      </c>
      <c r="J1275" s="2">
        <v>0</v>
      </c>
    </row>
    <row r="1276" spans="1:10" x14ac:dyDescent="0.25">
      <c r="A1276" s="2">
        <v>26</v>
      </c>
      <c r="B1276" s="2" t="s">
        <v>11</v>
      </c>
      <c r="C1276" s="2">
        <v>20.5</v>
      </c>
      <c r="D1276" s="2">
        <v>0</v>
      </c>
      <c r="E1276" s="2" t="s">
        <v>9</v>
      </c>
      <c r="F1276" s="2" t="s">
        <v>13</v>
      </c>
      <c r="G1276" s="2">
        <v>1561.9941246023066</v>
      </c>
      <c r="H1276" s="2">
        <v>1837.6401465909498</v>
      </c>
      <c r="I1276" s="2">
        <v>1</v>
      </c>
      <c r="J1276" s="2">
        <v>2</v>
      </c>
    </row>
    <row r="1277" spans="1:10" x14ac:dyDescent="0.25">
      <c r="A1277" s="2">
        <v>57</v>
      </c>
      <c r="B1277" s="2" t="s">
        <v>11</v>
      </c>
      <c r="C1277" s="2">
        <v>23.7</v>
      </c>
      <c r="D1277" s="2">
        <v>0</v>
      </c>
      <c r="E1277" s="2" t="s">
        <v>12</v>
      </c>
      <c r="F1277" s="2" t="s">
        <v>21</v>
      </c>
      <c r="G1277" s="2">
        <v>5971.4341003683003</v>
      </c>
      <c r="H1277" s="2">
        <v>5687.080095588859</v>
      </c>
      <c r="I1277" s="2">
        <v>0</v>
      </c>
      <c r="J1277" s="2">
        <v>1</v>
      </c>
    </row>
    <row r="1278" spans="1:10" x14ac:dyDescent="0.25">
      <c r="A1278" s="2">
        <v>22</v>
      </c>
      <c r="B1278" s="2" t="s">
        <v>8</v>
      </c>
      <c r="C1278" s="2">
        <v>23.1</v>
      </c>
      <c r="D1278" s="2">
        <v>0</v>
      </c>
      <c r="E1278" s="2" t="s">
        <v>12</v>
      </c>
      <c r="F1278" s="2" t="s">
        <v>15</v>
      </c>
      <c r="G1278" s="2">
        <v>2266.1935681554864</v>
      </c>
      <c r="H1278" s="2">
        <v>2666.1100801829257</v>
      </c>
      <c r="I1278" s="2">
        <v>0</v>
      </c>
      <c r="J1278" s="2">
        <v>0</v>
      </c>
    </row>
    <row r="1279" spans="1:10" x14ac:dyDescent="0.25">
      <c r="A1279" s="2">
        <v>32</v>
      </c>
      <c r="B1279" s="2" t="s">
        <v>8</v>
      </c>
      <c r="C1279" s="2">
        <v>22.8</v>
      </c>
      <c r="D1279" s="2">
        <v>0</v>
      </c>
      <c r="E1279" s="2" t="s">
        <v>12</v>
      </c>
      <c r="F1279" s="2" t="s">
        <v>20</v>
      </c>
      <c r="G1279" s="2">
        <v>1654.2634890991922</v>
      </c>
      <c r="H1279" s="2">
        <v>1946.1923401166973</v>
      </c>
      <c r="I1279" s="2">
        <v>0</v>
      </c>
      <c r="J1279" s="2">
        <v>0</v>
      </c>
    </row>
    <row r="1280" spans="1:10" x14ac:dyDescent="0.25">
      <c r="A1280" s="2">
        <v>39</v>
      </c>
      <c r="B1280" s="2" t="s">
        <v>11</v>
      </c>
      <c r="C1280" s="2">
        <v>23.8</v>
      </c>
      <c r="D1280" s="2">
        <v>1</v>
      </c>
      <c r="E1280" s="2" t="s">
        <v>9</v>
      </c>
      <c r="F1280" s="2" t="s">
        <v>15</v>
      </c>
      <c r="G1280" s="2">
        <v>1703.8473752789525</v>
      </c>
      <c r="H1280" s="2">
        <v>2004.5263238575922</v>
      </c>
      <c r="I1280" s="2">
        <v>1</v>
      </c>
      <c r="J1280" s="2">
        <v>2</v>
      </c>
    </row>
    <row r="1281" spans="1:10" x14ac:dyDescent="0.25">
      <c r="A1281" s="2">
        <v>25</v>
      </c>
      <c r="B1281" s="2" t="s">
        <v>8</v>
      </c>
      <c r="C1281" s="2">
        <v>22.4</v>
      </c>
      <c r="D1281" s="2">
        <v>2</v>
      </c>
      <c r="E1281" s="2" t="s">
        <v>12</v>
      </c>
      <c r="F1281" s="2" t="s">
        <v>20</v>
      </c>
      <c r="G1281" s="2">
        <v>1495.9110486863713</v>
      </c>
      <c r="H1281" s="2">
        <v>1759.8953513957317</v>
      </c>
      <c r="I1281" s="2">
        <v>0</v>
      </c>
      <c r="J1281" s="2">
        <v>0</v>
      </c>
    </row>
    <row r="1282" spans="1:10" x14ac:dyDescent="0.25">
      <c r="A1282" s="2">
        <v>48</v>
      </c>
      <c r="B1282" s="2" t="s">
        <v>8</v>
      </c>
      <c r="C1282" s="2">
        <v>33.299999999999997</v>
      </c>
      <c r="D1282" s="2">
        <v>0</v>
      </c>
      <c r="E1282" s="2" t="s">
        <v>12</v>
      </c>
      <c r="F1282" s="2" t="s">
        <v>13</v>
      </c>
      <c r="G1282" s="2">
        <v>5526.7870087418278</v>
      </c>
      <c r="H1282" s="2">
        <v>5263.6066749922184</v>
      </c>
      <c r="I1282" s="2">
        <v>0</v>
      </c>
      <c r="J1282" s="2">
        <v>1</v>
      </c>
    </row>
    <row r="1283" spans="1:10" x14ac:dyDescent="0.25">
      <c r="A1283" s="2">
        <v>47</v>
      </c>
      <c r="B1283" s="2" t="s">
        <v>8</v>
      </c>
      <c r="C1283" s="2">
        <v>27.6</v>
      </c>
      <c r="D1283" s="2">
        <v>2</v>
      </c>
      <c r="E1283" s="2" t="s">
        <v>9</v>
      </c>
      <c r="F1283" s="2" t="s">
        <v>20</v>
      </c>
      <c r="G1283" s="2">
        <v>1176.8648891736045</v>
      </c>
      <c r="H1283" s="2">
        <v>1569.1531855648061</v>
      </c>
      <c r="I1283" s="2">
        <v>1</v>
      </c>
      <c r="J1283" s="2">
        <v>2</v>
      </c>
    </row>
    <row r="1284" spans="1:10" x14ac:dyDescent="0.25">
      <c r="A1284" s="2">
        <v>18</v>
      </c>
      <c r="B1284" s="2" t="s">
        <v>8</v>
      </c>
      <c r="C1284" s="2">
        <v>24.3</v>
      </c>
      <c r="D1284" s="2">
        <v>0</v>
      </c>
      <c r="E1284" s="2" t="s">
        <v>9</v>
      </c>
      <c r="F1284" s="2" t="s">
        <v>15</v>
      </c>
      <c r="G1284" s="2">
        <v>1264.7779868591736</v>
      </c>
      <c r="H1284" s="2">
        <v>1487.974102187264</v>
      </c>
      <c r="I1284" s="2">
        <v>1</v>
      </c>
      <c r="J1284" s="2">
        <v>2</v>
      </c>
    </row>
    <row r="1285" spans="1:10" x14ac:dyDescent="0.25">
      <c r="A1285" s="2">
        <v>18</v>
      </c>
      <c r="B1285" s="2" t="s">
        <v>11</v>
      </c>
      <c r="C1285" s="2">
        <v>25.9</v>
      </c>
      <c r="D1285" s="2">
        <v>1</v>
      </c>
      <c r="E1285" s="2" t="s">
        <v>12</v>
      </c>
      <c r="F1285" s="2" t="s">
        <v>13</v>
      </c>
      <c r="G1285" s="2">
        <v>1955.1746236695865</v>
      </c>
      <c r="H1285" s="2">
        <v>2300.2054396112794</v>
      </c>
      <c r="I1285" s="2">
        <v>0</v>
      </c>
      <c r="J1285" s="2">
        <v>0</v>
      </c>
    </row>
    <row r="1286" spans="1:10" x14ac:dyDescent="0.25">
      <c r="A1286" s="2">
        <v>61</v>
      </c>
      <c r="B1286" s="2" t="s">
        <v>11</v>
      </c>
      <c r="C1286" s="2">
        <v>36.299999999999997</v>
      </c>
      <c r="D1286" s="2">
        <v>1</v>
      </c>
      <c r="E1286" s="2" t="s">
        <v>9</v>
      </c>
      <c r="F1286" s="2" t="s">
        <v>21</v>
      </c>
      <c r="G1286" s="2">
        <v>5764.1091146938452</v>
      </c>
      <c r="H1286" s="2">
        <v>5489.6277282798537</v>
      </c>
      <c r="I1286" s="2">
        <v>1</v>
      </c>
      <c r="J1286" s="2">
        <v>2</v>
      </c>
    </row>
    <row r="1287" spans="1:10" x14ac:dyDescent="0.25">
      <c r="A1287" s="2">
        <v>47</v>
      </c>
      <c r="B1287" s="2" t="s">
        <v>8</v>
      </c>
      <c r="C1287" s="2">
        <v>24.3</v>
      </c>
      <c r="D1287" s="2">
        <v>0</v>
      </c>
      <c r="E1287" s="2" t="s">
        <v>12</v>
      </c>
      <c r="F1287" s="2" t="s">
        <v>15</v>
      </c>
      <c r="G1287" s="2">
        <v>3576.8055352723632</v>
      </c>
      <c r="H1287" s="2">
        <v>3406.4814621641572</v>
      </c>
      <c r="I1287" s="2">
        <v>0</v>
      </c>
      <c r="J1287" s="2">
        <v>1</v>
      </c>
    </row>
    <row r="1288" spans="1:10" x14ac:dyDescent="0.25">
      <c r="A1288" s="2">
        <v>28</v>
      </c>
      <c r="B1288" s="2" t="s">
        <v>8</v>
      </c>
      <c r="C1288" s="2">
        <v>22.6</v>
      </c>
      <c r="D1288" s="2">
        <v>0</v>
      </c>
      <c r="E1288" s="2" t="s">
        <v>12</v>
      </c>
      <c r="F1288" s="2" t="s">
        <v>15</v>
      </c>
      <c r="G1288" s="2">
        <v>1728.3750891205996</v>
      </c>
      <c r="H1288" s="2">
        <v>2033.3824577889413</v>
      </c>
      <c r="I1288" s="2">
        <v>0</v>
      </c>
      <c r="J1288" s="2">
        <v>0</v>
      </c>
    </row>
    <row r="1289" spans="1:10" x14ac:dyDescent="0.25">
      <c r="A1289" s="2">
        <v>36</v>
      </c>
      <c r="B1289" s="2" t="s">
        <v>8</v>
      </c>
      <c r="C1289" s="2">
        <v>22.8</v>
      </c>
      <c r="D1289" s="2">
        <v>1</v>
      </c>
      <c r="E1289" s="2" t="s">
        <v>12</v>
      </c>
      <c r="F1289" s="2" t="s">
        <v>21</v>
      </c>
      <c r="G1289" s="2">
        <v>2560.220607490367</v>
      </c>
      <c r="H1289" s="2">
        <v>3012.0242441063156</v>
      </c>
      <c r="I1289" s="2">
        <v>0</v>
      </c>
      <c r="J1289" s="2">
        <v>0</v>
      </c>
    </row>
    <row r="1290" spans="1:10" x14ac:dyDescent="0.25">
      <c r="A1290" s="2">
        <v>20</v>
      </c>
      <c r="B1290" s="2" t="s">
        <v>11</v>
      </c>
      <c r="C1290" s="2">
        <v>39.4</v>
      </c>
      <c r="D1290" s="2">
        <v>2</v>
      </c>
      <c r="E1290" s="2" t="s">
        <v>9</v>
      </c>
      <c r="F1290" s="2" t="s">
        <v>21</v>
      </c>
      <c r="G1290" s="2">
        <v>1861.4778477023851</v>
      </c>
      <c r="H1290" s="2">
        <v>2481.9704636031802</v>
      </c>
      <c r="I1290" s="2">
        <v>1</v>
      </c>
      <c r="J1290" s="2">
        <v>2</v>
      </c>
    </row>
    <row r="1291" spans="1:10" x14ac:dyDescent="0.25">
      <c r="A1291" s="2">
        <v>44</v>
      </c>
      <c r="B1291" s="2" t="s">
        <v>11</v>
      </c>
      <c r="C1291" s="2">
        <v>34.299999999999997</v>
      </c>
      <c r="D1291" s="2">
        <v>1</v>
      </c>
      <c r="E1291" s="2" t="s">
        <v>12</v>
      </c>
      <c r="F1291" s="2" t="s">
        <v>13</v>
      </c>
      <c r="G1291" s="2">
        <v>4799.8251709928172</v>
      </c>
      <c r="H1291" s="2">
        <v>4571.2620676122087</v>
      </c>
      <c r="I1291" s="2">
        <v>0</v>
      </c>
      <c r="J1291" s="2">
        <v>1</v>
      </c>
    </row>
    <row r="1292" spans="1:10" x14ac:dyDescent="0.25">
      <c r="A1292" s="2">
        <v>38</v>
      </c>
      <c r="B1292" s="2" t="s">
        <v>8</v>
      </c>
      <c r="C1292" s="2">
        <v>20</v>
      </c>
      <c r="D1292" s="2">
        <v>2</v>
      </c>
      <c r="E1292" s="2" t="s">
        <v>12</v>
      </c>
      <c r="F1292" s="2" t="s">
        <v>15</v>
      </c>
      <c r="G1292" s="2">
        <v>1994.6651291673854</v>
      </c>
      <c r="H1292" s="2">
        <v>2346.6648578439836</v>
      </c>
      <c r="I1292" s="2">
        <v>0</v>
      </c>
      <c r="J1292" s="2">
        <v>0</v>
      </c>
    </row>
    <row r="1293" spans="1:10" x14ac:dyDescent="0.25">
      <c r="A1293" s="2">
        <v>19</v>
      </c>
      <c r="B1293" s="2" t="s">
        <v>11</v>
      </c>
      <c r="C1293" s="2">
        <v>24.3</v>
      </c>
      <c r="D1293" s="2">
        <v>0</v>
      </c>
      <c r="E1293" s="2" t="s">
        <v>9</v>
      </c>
      <c r="F1293" s="2" t="s">
        <v>21</v>
      </c>
      <c r="G1293" s="2">
        <v>1387.0384667967342</v>
      </c>
      <c r="H1293" s="2">
        <v>1631.8099609373353</v>
      </c>
      <c r="I1293" s="2">
        <v>1</v>
      </c>
      <c r="J1293" s="2">
        <v>2</v>
      </c>
    </row>
    <row r="1294" spans="1:10" x14ac:dyDescent="0.25">
      <c r="A1294" s="2">
        <v>21</v>
      </c>
      <c r="B1294" s="2" t="s">
        <v>11</v>
      </c>
      <c r="C1294" s="2">
        <v>21.5</v>
      </c>
      <c r="D1294" s="2">
        <v>0</v>
      </c>
      <c r="E1294" s="2" t="s">
        <v>12</v>
      </c>
      <c r="F1294" s="2" t="s">
        <v>13</v>
      </c>
      <c r="G1294" s="2">
        <v>2015.1857724924239</v>
      </c>
      <c r="H1294" s="2">
        <v>2370.8067911675585</v>
      </c>
      <c r="I1294" s="2">
        <v>0</v>
      </c>
      <c r="J1294" s="2">
        <v>0</v>
      </c>
    </row>
    <row r="1295" spans="1:10" x14ac:dyDescent="0.25">
      <c r="A1295" s="2">
        <v>46</v>
      </c>
      <c r="B1295" s="2" t="s">
        <v>11</v>
      </c>
      <c r="C1295" s="2">
        <v>25.7</v>
      </c>
      <c r="D1295" s="2">
        <v>3</v>
      </c>
      <c r="E1295" s="2" t="s">
        <v>12</v>
      </c>
      <c r="F1295" s="2" t="s">
        <v>20</v>
      </c>
      <c r="G1295" s="2">
        <v>1211.8944033461078</v>
      </c>
      <c r="H1295" s="2">
        <v>1615.859204461477</v>
      </c>
      <c r="I1295" s="2">
        <v>0</v>
      </c>
      <c r="J1295" s="2">
        <v>3</v>
      </c>
    </row>
    <row r="1296" spans="1:10" x14ac:dyDescent="0.25">
      <c r="A1296" s="2">
        <v>58</v>
      </c>
      <c r="B1296" s="2" t="s">
        <v>11</v>
      </c>
      <c r="C1296" s="2">
        <v>25.2</v>
      </c>
      <c r="D1296" s="2">
        <v>0</v>
      </c>
      <c r="E1296" s="2" t="s">
        <v>12</v>
      </c>
      <c r="F1296" s="2" t="s">
        <v>15</v>
      </c>
      <c r="G1296" s="2">
        <v>3773.360826959421</v>
      </c>
      <c r="H1296" s="2">
        <v>3593.6769780565928</v>
      </c>
      <c r="I1296" s="2">
        <v>0</v>
      </c>
      <c r="J1296" s="2">
        <v>1</v>
      </c>
    </row>
    <row r="1297" spans="1:10" x14ac:dyDescent="0.25">
      <c r="A1297" s="2">
        <v>20</v>
      </c>
      <c r="B1297" s="2" t="s">
        <v>11</v>
      </c>
      <c r="C1297" s="2">
        <v>25.3</v>
      </c>
      <c r="D1297" s="2">
        <v>1</v>
      </c>
      <c r="E1297" s="2" t="s">
        <v>12</v>
      </c>
      <c r="F1297" s="2" t="s">
        <v>21</v>
      </c>
      <c r="G1297" s="2">
        <v>1710.5549306252608</v>
      </c>
      <c r="H1297" s="2">
        <v>2012.4175654414842</v>
      </c>
      <c r="I1297" s="2">
        <v>0</v>
      </c>
      <c r="J1297" s="2">
        <v>0</v>
      </c>
    </row>
    <row r="1298" spans="1:10" x14ac:dyDescent="0.25">
      <c r="A1298" s="2">
        <v>18</v>
      </c>
      <c r="B1298" s="2" t="s">
        <v>11</v>
      </c>
      <c r="C1298" s="2">
        <v>20.3</v>
      </c>
      <c r="D1298" s="2">
        <v>0</v>
      </c>
      <c r="E1298" s="2" t="s">
        <v>12</v>
      </c>
      <c r="F1298" s="2" t="s">
        <v>15</v>
      </c>
      <c r="G1298" s="2">
        <v>2230.2911972196266</v>
      </c>
      <c r="H1298" s="2">
        <v>2623.8719967289735</v>
      </c>
      <c r="I1298" s="2">
        <v>0</v>
      </c>
      <c r="J1298" s="2">
        <v>0</v>
      </c>
    </row>
    <row r="1299" spans="1:10" x14ac:dyDescent="0.25">
      <c r="A1299" s="2">
        <v>28</v>
      </c>
      <c r="B1299" s="2" t="s">
        <v>8</v>
      </c>
      <c r="C1299" s="2">
        <v>26.5</v>
      </c>
      <c r="D1299" s="2">
        <v>2</v>
      </c>
      <c r="E1299" s="2" t="s">
        <v>12</v>
      </c>
      <c r="F1299" s="2" t="s">
        <v>13</v>
      </c>
      <c r="G1299" s="2">
        <v>2051.0031612942639</v>
      </c>
      <c r="H1299" s="2">
        <v>2412.9448956403112</v>
      </c>
      <c r="I1299" s="2">
        <v>0</v>
      </c>
      <c r="J1299" s="2">
        <v>0</v>
      </c>
    </row>
    <row r="1300" spans="1:10" x14ac:dyDescent="0.25">
      <c r="A1300" s="2">
        <v>33</v>
      </c>
      <c r="B1300" s="2" t="s">
        <v>11</v>
      </c>
      <c r="C1300" s="2">
        <v>27.5</v>
      </c>
      <c r="D1300" s="2">
        <v>2</v>
      </c>
      <c r="E1300" s="2" t="s">
        <v>12</v>
      </c>
      <c r="F1300" s="2" t="s">
        <v>20</v>
      </c>
      <c r="G1300" s="2">
        <v>1351.4976267823856</v>
      </c>
      <c r="H1300" s="2">
        <v>1801.9968357098476</v>
      </c>
      <c r="I1300" s="2">
        <v>0</v>
      </c>
      <c r="J1300" s="2">
        <v>3</v>
      </c>
    </row>
    <row r="1301" spans="1:10" x14ac:dyDescent="0.25">
      <c r="A1301" s="2">
        <v>19</v>
      </c>
      <c r="B1301" s="2" t="s">
        <v>8</v>
      </c>
      <c r="C1301" s="2">
        <v>21.2</v>
      </c>
      <c r="D1301" s="2">
        <v>1</v>
      </c>
      <c r="E1301" s="2" t="s">
        <v>12</v>
      </c>
      <c r="F1301" s="2" t="s">
        <v>20</v>
      </c>
      <c r="G1301" s="2">
        <v>2148.5207729465064</v>
      </c>
      <c r="H1301" s="2">
        <v>2527.6714975841255</v>
      </c>
      <c r="I1301" s="2">
        <v>0</v>
      </c>
      <c r="J1301" s="2">
        <v>0</v>
      </c>
    </row>
    <row r="1302" spans="1:10" x14ac:dyDescent="0.25">
      <c r="A1302" s="2">
        <v>45</v>
      </c>
      <c r="B1302" s="2" t="s">
        <v>11</v>
      </c>
      <c r="C1302" s="2">
        <v>30.4</v>
      </c>
      <c r="D1302" s="2">
        <v>0</v>
      </c>
      <c r="E1302" s="2" t="s">
        <v>9</v>
      </c>
      <c r="F1302" s="2" t="s">
        <v>13</v>
      </c>
      <c r="G1302" s="2">
        <v>3810.5434905561442</v>
      </c>
      <c r="H1302" s="2">
        <v>3629.0890386249007</v>
      </c>
      <c r="I1302" s="2">
        <v>1</v>
      </c>
      <c r="J1302" s="2">
        <v>2</v>
      </c>
    </row>
    <row r="1303" spans="1:10" x14ac:dyDescent="0.25">
      <c r="A1303" s="2">
        <v>62</v>
      </c>
      <c r="B1303" s="2" t="s">
        <v>11</v>
      </c>
      <c r="C1303" s="2">
        <v>30.9</v>
      </c>
      <c r="D1303" s="2">
        <v>3</v>
      </c>
      <c r="E1303" s="2" t="s">
        <v>9</v>
      </c>
      <c r="F1303" s="2" t="s">
        <v>20</v>
      </c>
      <c r="G1303" s="2">
        <v>1265.6618874283959</v>
      </c>
      <c r="H1303" s="2">
        <v>1687.5491832378611</v>
      </c>
      <c r="I1303" s="2">
        <v>1</v>
      </c>
      <c r="J1303" s="2">
        <v>2</v>
      </c>
    </row>
    <row r="1304" spans="1:10" x14ac:dyDescent="0.25">
      <c r="A1304" s="2">
        <v>25</v>
      </c>
      <c r="B1304" s="2" t="s">
        <v>8</v>
      </c>
      <c r="C1304" s="2">
        <v>20</v>
      </c>
      <c r="D1304" s="2">
        <v>1</v>
      </c>
      <c r="E1304" s="2" t="s">
        <v>12</v>
      </c>
      <c r="F1304" s="2" t="s">
        <v>21</v>
      </c>
      <c r="G1304" s="2">
        <v>2119.5946155861702</v>
      </c>
      <c r="H1304" s="2">
        <v>2493.6407242190248</v>
      </c>
      <c r="I1304" s="2">
        <v>0</v>
      </c>
      <c r="J1304" s="2">
        <v>0</v>
      </c>
    </row>
    <row r="1305" spans="1:10" x14ac:dyDescent="0.25">
      <c r="A1305" s="2">
        <v>43</v>
      </c>
      <c r="B1305" s="2" t="s">
        <v>11</v>
      </c>
      <c r="C1305" s="2">
        <v>27.8</v>
      </c>
      <c r="D1305" s="2">
        <v>0</v>
      </c>
      <c r="E1305" s="2" t="s">
        <v>9</v>
      </c>
      <c r="F1305" s="2" t="s">
        <v>21</v>
      </c>
      <c r="G1305" s="2">
        <v>3445.4641765153729</v>
      </c>
      <c r="H1305" s="2">
        <v>3281.3944538241667</v>
      </c>
      <c r="I1305" s="2">
        <v>1</v>
      </c>
      <c r="J1305" s="2">
        <v>2</v>
      </c>
    </row>
    <row r="1306" spans="1:10" x14ac:dyDescent="0.25">
      <c r="A1306" s="2">
        <v>42</v>
      </c>
      <c r="B1306" s="2" t="s">
        <v>11</v>
      </c>
      <c r="C1306" s="2">
        <v>24.6</v>
      </c>
      <c r="D1306" s="2">
        <v>2</v>
      </c>
      <c r="E1306" s="2" t="s">
        <v>9</v>
      </c>
      <c r="F1306" s="2" t="s">
        <v>15</v>
      </c>
      <c r="G1306" s="2">
        <v>1398.7017584237785</v>
      </c>
      <c r="H1306" s="2">
        <v>1864.9356778983713</v>
      </c>
      <c r="I1306" s="2">
        <v>1</v>
      </c>
      <c r="J1306" s="2">
        <v>2</v>
      </c>
    </row>
    <row r="1307" spans="1:10" x14ac:dyDescent="0.25">
      <c r="A1307" s="2">
        <v>24</v>
      </c>
      <c r="B1307" s="2" t="s">
        <v>8</v>
      </c>
      <c r="C1307" s="2">
        <v>24.6</v>
      </c>
      <c r="D1307" s="2">
        <v>0</v>
      </c>
      <c r="E1307" s="2" t="s">
        <v>12</v>
      </c>
      <c r="F1307" s="2" t="s">
        <v>13</v>
      </c>
      <c r="G1307" s="2">
        <v>2019.2006297609721</v>
      </c>
      <c r="H1307" s="2">
        <v>2375.5301526599678</v>
      </c>
      <c r="I1307" s="2">
        <v>0</v>
      </c>
      <c r="J1307" s="2">
        <v>0</v>
      </c>
    </row>
    <row r="1308" spans="1:10" x14ac:dyDescent="0.25">
      <c r="A1308" s="2">
        <v>29</v>
      </c>
      <c r="B1308" s="2" t="s">
        <v>8</v>
      </c>
      <c r="C1308" s="2">
        <v>23.7</v>
      </c>
      <c r="D1308" s="2">
        <v>0</v>
      </c>
      <c r="E1308" s="2" t="s">
        <v>9</v>
      </c>
      <c r="F1308" s="2" t="s">
        <v>15</v>
      </c>
      <c r="G1308" s="2">
        <v>1768.7636215074431</v>
      </c>
      <c r="H1308" s="2">
        <v>2080.8983782440514</v>
      </c>
      <c r="I1308" s="2">
        <v>1</v>
      </c>
      <c r="J1308" s="2">
        <v>2</v>
      </c>
    </row>
    <row r="1309" spans="1:10" x14ac:dyDescent="0.25">
      <c r="A1309" s="2">
        <v>32</v>
      </c>
      <c r="B1309" s="2" t="s">
        <v>11</v>
      </c>
      <c r="C1309" s="2">
        <v>28.1</v>
      </c>
      <c r="D1309" s="2">
        <v>4</v>
      </c>
      <c r="E1309" s="2" t="s">
        <v>9</v>
      </c>
      <c r="F1309" s="2" t="s">
        <v>20</v>
      </c>
      <c r="G1309" s="2">
        <v>1348.2052892373827</v>
      </c>
      <c r="H1309" s="2">
        <v>1797.6070523165104</v>
      </c>
      <c r="I1309" s="2">
        <v>1</v>
      </c>
      <c r="J1309" s="2">
        <v>2</v>
      </c>
    </row>
    <row r="1310" spans="1:10" x14ac:dyDescent="0.25">
      <c r="A1310" s="2">
        <v>25</v>
      </c>
      <c r="B1310" s="2" t="s">
        <v>8</v>
      </c>
      <c r="C1310" s="2">
        <v>24.1</v>
      </c>
      <c r="D1310" s="2">
        <v>0</v>
      </c>
      <c r="E1310" s="2" t="s">
        <v>9</v>
      </c>
      <c r="F1310" s="2" t="s">
        <v>21</v>
      </c>
      <c r="G1310" s="2">
        <v>2124.577205773418</v>
      </c>
      <c r="H1310" s="2">
        <v>2499.5025950275513</v>
      </c>
      <c r="I1310" s="2">
        <v>1</v>
      </c>
      <c r="J1310" s="2">
        <v>2</v>
      </c>
    </row>
    <row r="1311" spans="1:10" x14ac:dyDescent="0.25">
      <c r="A1311" s="2">
        <v>41</v>
      </c>
      <c r="B1311" s="2" t="s">
        <v>11</v>
      </c>
      <c r="C1311" s="2">
        <v>32.200000000000003</v>
      </c>
      <c r="D1311" s="2">
        <v>2</v>
      </c>
      <c r="E1311" s="2" t="s">
        <v>12</v>
      </c>
      <c r="F1311" s="2" t="s">
        <v>21</v>
      </c>
      <c r="G1311" s="2">
        <v>1999.2956346151207</v>
      </c>
      <c r="H1311" s="2">
        <v>2665.7275128201609</v>
      </c>
      <c r="I1311" s="2">
        <v>0</v>
      </c>
      <c r="J1311" s="2">
        <v>3</v>
      </c>
    </row>
    <row r="1312" spans="1:10" x14ac:dyDescent="0.25">
      <c r="A1312" s="2">
        <v>42</v>
      </c>
      <c r="B1312" s="2" t="s">
        <v>11</v>
      </c>
      <c r="C1312" s="2">
        <v>26.3</v>
      </c>
      <c r="D1312" s="2">
        <v>1</v>
      </c>
      <c r="E1312" s="2" t="s">
        <v>12</v>
      </c>
      <c r="F1312" s="2" t="s">
        <v>20</v>
      </c>
      <c r="G1312" s="2">
        <v>3950.1705252053998</v>
      </c>
      <c r="H1312" s="2">
        <v>3762.0671668622872</v>
      </c>
      <c r="I1312" s="2">
        <v>0</v>
      </c>
      <c r="J1312" s="2">
        <v>1</v>
      </c>
    </row>
    <row r="1313" spans="1:10" x14ac:dyDescent="0.25">
      <c r="A1313" s="2">
        <v>33</v>
      </c>
      <c r="B1313" s="2" t="s">
        <v>8</v>
      </c>
      <c r="C1313" s="2">
        <v>25.6</v>
      </c>
      <c r="D1313" s="2">
        <v>0</v>
      </c>
      <c r="E1313" s="2" t="s">
        <v>12</v>
      </c>
      <c r="F1313" s="2" t="s">
        <v>20</v>
      </c>
      <c r="G1313" s="2">
        <v>1640.5426762738005</v>
      </c>
      <c r="H1313" s="2">
        <v>1930.0502073809425</v>
      </c>
      <c r="I1313" s="2">
        <v>0</v>
      </c>
      <c r="J1313" s="2">
        <v>0</v>
      </c>
    </row>
    <row r="1314" spans="1:10" x14ac:dyDescent="0.25">
      <c r="A1314" s="2">
        <v>34</v>
      </c>
      <c r="B1314" s="2" t="s">
        <v>11</v>
      </c>
      <c r="C1314" s="2">
        <v>21</v>
      </c>
      <c r="D1314" s="2">
        <v>1</v>
      </c>
      <c r="E1314" s="2" t="s">
        <v>12</v>
      </c>
      <c r="F1314" s="2" t="s">
        <v>21</v>
      </c>
      <c r="G1314" s="2">
        <v>1776.1771410090109</v>
      </c>
      <c r="H1314" s="2">
        <v>2089.6201658929549</v>
      </c>
      <c r="I1314" s="2">
        <v>0</v>
      </c>
      <c r="J1314" s="2">
        <v>0</v>
      </c>
    </row>
    <row r="1315" spans="1:10" x14ac:dyDescent="0.25">
      <c r="A1315" s="2">
        <v>19</v>
      </c>
      <c r="B1315" s="2" t="s">
        <v>8</v>
      </c>
      <c r="C1315" s="2">
        <v>23.4</v>
      </c>
      <c r="D1315" s="2">
        <v>2</v>
      </c>
      <c r="E1315" s="2" t="s">
        <v>9</v>
      </c>
      <c r="F1315" s="2" t="s">
        <v>21</v>
      </c>
      <c r="G1315" s="2">
        <v>1478.2106000407912</v>
      </c>
      <c r="H1315" s="2">
        <v>1739.0712941656375</v>
      </c>
      <c r="I1315" s="2">
        <v>1</v>
      </c>
      <c r="J1315" s="2">
        <v>2</v>
      </c>
    </row>
    <row r="1316" spans="1:10" x14ac:dyDescent="0.25">
      <c r="A1316" s="2">
        <v>30</v>
      </c>
      <c r="B1316" s="2" t="s">
        <v>8</v>
      </c>
      <c r="C1316" s="2">
        <v>23.7</v>
      </c>
      <c r="D1316" s="2">
        <v>3</v>
      </c>
      <c r="E1316" s="2" t="s">
        <v>9</v>
      </c>
      <c r="F1316" s="2" t="s">
        <v>20</v>
      </c>
      <c r="G1316" s="2">
        <v>1888.0170130635568</v>
      </c>
      <c r="H1316" s="2">
        <v>2517.3560174180757</v>
      </c>
      <c r="I1316" s="2">
        <v>1</v>
      </c>
      <c r="J1316" s="2">
        <v>2</v>
      </c>
    </row>
    <row r="1317" spans="1:10" x14ac:dyDescent="0.25">
      <c r="A1317" s="2">
        <v>18</v>
      </c>
      <c r="B1317" s="2" t="s">
        <v>11</v>
      </c>
      <c r="C1317" s="2">
        <v>20.6</v>
      </c>
      <c r="D1317" s="2">
        <v>1</v>
      </c>
      <c r="E1317" s="2" t="s">
        <v>12</v>
      </c>
      <c r="F1317" s="2" t="s">
        <v>15</v>
      </c>
      <c r="G1317" s="2">
        <v>1491.2705473244569</v>
      </c>
      <c r="H1317" s="2">
        <v>1754.4359380287735</v>
      </c>
      <c r="I1317" s="2">
        <v>0</v>
      </c>
      <c r="J1317" s="2">
        <v>0</v>
      </c>
    </row>
    <row r="1318" spans="1:10" x14ac:dyDescent="0.25">
      <c r="A1318" s="2">
        <v>19</v>
      </c>
      <c r="B1318" s="2" t="s">
        <v>8</v>
      </c>
      <c r="C1318" s="2">
        <v>22.3</v>
      </c>
      <c r="D1318" s="2">
        <v>0</v>
      </c>
      <c r="E1318" s="2" t="s">
        <v>12</v>
      </c>
      <c r="F1318" s="2" t="s">
        <v>21</v>
      </c>
      <c r="G1318" s="2">
        <v>1705.5294126252461</v>
      </c>
      <c r="H1318" s="2">
        <v>2006.5051913238196</v>
      </c>
      <c r="I1318" s="2">
        <v>0</v>
      </c>
      <c r="J1318" s="2">
        <v>0</v>
      </c>
    </row>
    <row r="1319" spans="1:10" x14ac:dyDescent="0.25">
      <c r="A1319" s="2">
        <v>18</v>
      </c>
      <c r="B1319" s="2" t="s">
        <v>11</v>
      </c>
      <c r="C1319" s="2">
        <v>20.5</v>
      </c>
      <c r="D1319" s="2">
        <v>0</v>
      </c>
      <c r="E1319" s="2" t="s">
        <v>12</v>
      </c>
      <c r="F1319" s="2" t="s">
        <v>13</v>
      </c>
      <c r="G1319" s="2">
        <v>1824.1986252198471</v>
      </c>
      <c r="H1319" s="2">
        <v>2146.1160296704093</v>
      </c>
      <c r="I1319" s="2">
        <v>0</v>
      </c>
      <c r="J1319" s="2">
        <v>0</v>
      </c>
    </row>
    <row r="1320" spans="1:10" x14ac:dyDescent="0.25">
      <c r="A1320" s="2">
        <v>35</v>
      </c>
      <c r="B1320" s="2" t="s">
        <v>11</v>
      </c>
      <c r="C1320" s="2">
        <v>39.700000000000003</v>
      </c>
      <c r="D1320" s="2">
        <v>4</v>
      </c>
      <c r="E1320" s="2" t="s">
        <v>12</v>
      </c>
      <c r="F1320" s="2" t="s">
        <v>15</v>
      </c>
      <c r="G1320" s="2">
        <v>2375.8641251629683</v>
      </c>
      <c r="H1320" s="2">
        <v>3167.8188335506243</v>
      </c>
      <c r="I1320" s="2">
        <v>0</v>
      </c>
      <c r="J1320" s="2">
        <v>3</v>
      </c>
    </row>
    <row r="1321" spans="1:10" x14ac:dyDescent="0.25">
      <c r="A1321" s="2">
        <v>39</v>
      </c>
      <c r="B1321" s="2" t="s">
        <v>8</v>
      </c>
      <c r="C1321" s="2">
        <v>26.3</v>
      </c>
      <c r="D1321" s="2">
        <v>2</v>
      </c>
      <c r="E1321" s="2" t="s">
        <v>12</v>
      </c>
      <c r="F1321" s="2" t="s">
        <v>20</v>
      </c>
      <c r="G1321" s="2">
        <v>2383.1839075957046</v>
      </c>
      <c r="H1321" s="2">
        <v>3177.5785434609393</v>
      </c>
      <c r="I1321" s="2">
        <v>0</v>
      </c>
      <c r="J1321" s="2">
        <v>3</v>
      </c>
    </row>
    <row r="1322" spans="1:10" x14ac:dyDescent="0.25">
      <c r="A1322" s="2">
        <v>31</v>
      </c>
      <c r="B1322" s="2" t="s">
        <v>11</v>
      </c>
      <c r="C1322" s="2">
        <v>31.1</v>
      </c>
      <c r="D1322" s="2">
        <v>3</v>
      </c>
      <c r="E1322" s="2" t="s">
        <v>12</v>
      </c>
      <c r="F1322" s="2" t="s">
        <v>20</v>
      </c>
      <c r="G1322" s="2">
        <v>2665.2060090063142</v>
      </c>
      <c r="H1322" s="2">
        <v>3553.6080120084189</v>
      </c>
      <c r="I1322" s="2">
        <v>0</v>
      </c>
      <c r="J1322" s="2">
        <v>3</v>
      </c>
    </row>
    <row r="1323" spans="1:10" x14ac:dyDescent="0.25">
      <c r="A1323" s="2">
        <v>62</v>
      </c>
      <c r="B1323" s="2" t="s">
        <v>11</v>
      </c>
      <c r="C1323" s="2">
        <v>26.7</v>
      </c>
      <c r="D1323" s="2">
        <v>0</v>
      </c>
      <c r="E1323" s="2" t="s">
        <v>9</v>
      </c>
      <c r="F1323" s="2" t="s">
        <v>15</v>
      </c>
      <c r="G1323" s="2">
        <v>5061.8113075114507</v>
      </c>
      <c r="H1323" s="2">
        <v>4820.7726738204301</v>
      </c>
      <c r="I1323" s="2">
        <v>1</v>
      </c>
      <c r="J1323" s="2">
        <v>2</v>
      </c>
    </row>
    <row r="1324" spans="1:10" x14ac:dyDescent="0.25">
      <c r="A1324" s="2">
        <v>62</v>
      </c>
      <c r="B1324" s="2" t="s">
        <v>11</v>
      </c>
      <c r="C1324" s="2">
        <v>38.799999999999997</v>
      </c>
      <c r="D1324" s="2">
        <v>0</v>
      </c>
      <c r="E1324" s="2" t="s">
        <v>12</v>
      </c>
      <c r="F1324" s="2" t="s">
        <v>13</v>
      </c>
      <c r="G1324" s="2">
        <v>4353.6958100269012</v>
      </c>
      <c r="H1324" s="2">
        <v>4146.3769619303839</v>
      </c>
      <c r="I1324" s="2">
        <v>0</v>
      </c>
      <c r="J1324" s="2">
        <v>1</v>
      </c>
    </row>
    <row r="1325" spans="1:10" x14ac:dyDescent="0.25">
      <c r="A1325" s="2">
        <v>42</v>
      </c>
      <c r="B1325" s="2" t="s">
        <v>8</v>
      </c>
      <c r="C1325" s="2">
        <v>40.4</v>
      </c>
      <c r="D1325" s="2">
        <v>2</v>
      </c>
      <c r="E1325" s="2" t="s">
        <v>9</v>
      </c>
      <c r="F1325" s="2" t="s">
        <v>13</v>
      </c>
      <c r="G1325" s="2">
        <v>1461.434909439623</v>
      </c>
      <c r="H1325" s="2">
        <v>1948.5798792528308</v>
      </c>
      <c r="I1325" s="2">
        <v>1</v>
      </c>
      <c r="J1325" s="2">
        <v>2</v>
      </c>
    </row>
    <row r="1326" spans="1:10" x14ac:dyDescent="0.25">
      <c r="A1326" s="2">
        <v>31</v>
      </c>
      <c r="B1326" s="2" t="s">
        <v>11</v>
      </c>
      <c r="C1326" s="2">
        <v>23.3</v>
      </c>
      <c r="D1326" s="2">
        <v>1</v>
      </c>
      <c r="E1326" s="2" t="s">
        <v>12</v>
      </c>
      <c r="F1326" s="2" t="s">
        <v>20</v>
      </c>
      <c r="G1326" s="2">
        <v>2513.4199804365844</v>
      </c>
      <c r="H1326" s="2">
        <v>2956.9646828665709</v>
      </c>
      <c r="I1326" s="2">
        <v>0</v>
      </c>
      <c r="J1326" s="2">
        <v>0</v>
      </c>
    </row>
    <row r="1327" spans="1:10" x14ac:dyDescent="0.25">
      <c r="A1327" s="2">
        <v>61</v>
      </c>
      <c r="B1327" s="2" t="s">
        <v>11</v>
      </c>
      <c r="C1327" s="2">
        <v>33.5</v>
      </c>
      <c r="D1327" s="2">
        <v>0</v>
      </c>
      <c r="E1327" s="2" t="s">
        <v>12</v>
      </c>
      <c r="F1327" s="2" t="s">
        <v>15</v>
      </c>
      <c r="G1327" s="2">
        <v>5175.645588834107</v>
      </c>
      <c r="H1327" s="2">
        <v>4929.1862750801038</v>
      </c>
      <c r="I1327" s="2">
        <v>0</v>
      </c>
      <c r="J1327" s="2">
        <v>1</v>
      </c>
    </row>
    <row r="1328" spans="1:10" x14ac:dyDescent="0.25">
      <c r="A1328" s="2">
        <v>42</v>
      </c>
      <c r="B1328" s="2" t="s">
        <v>8</v>
      </c>
      <c r="C1328" s="2">
        <v>32.9</v>
      </c>
      <c r="D1328" s="2">
        <v>0</v>
      </c>
      <c r="E1328" s="2" t="s">
        <v>12</v>
      </c>
      <c r="F1328" s="2" t="s">
        <v>15</v>
      </c>
      <c r="G1328" s="2">
        <v>4307.8624723584762</v>
      </c>
      <c r="H1328" s="2">
        <v>4102.7261641509303</v>
      </c>
      <c r="I1328" s="2">
        <v>0</v>
      </c>
      <c r="J1328" s="2">
        <v>1</v>
      </c>
    </row>
    <row r="1329" spans="1:10" x14ac:dyDescent="0.25">
      <c r="A1329" s="2">
        <v>51</v>
      </c>
      <c r="B1329" s="2" t="s">
        <v>11</v>
      </c>
      <c r="C1329" s="2">
        <v>30</v>
      </c>
      <c r="D1329" s="2">
        <v>1</v>
      </c>
      <c r="E1329" s="2" t="s">
        <v>12</v>
      </c>
      <c r="F1329" s="2" t="s">
        <v>13</v>
      </c>
      <c r="G1329" s="2">
        <v>5999.7566188509063</v>
      </c>
      <c r="H1329" s="2">
        <v>5714.0539227151503</v>
      </c>
      <c r="I1329" s="2">
        <v>0</v>
      </c>
      <c r="J1329" s="2">
        <v>1</v>
      </c>
    </row>
    <row r="1330" spans="1:10" x14ac:dyDescent="0.25">
      <c r="A1330" s="2">
        <v>23</v>
      </c>
      <c r="B1330" s="2" t="s">
        <v>8</v>
      </c>
      <c r="C1330" s="2">
        <v>23.1</v>
      </c>
      <c r="D1330" s="2">
        <v>2</v>
      </c>
      <c r="E1330" s="2" t="s">
        <v>12</v>
      </c>
      <c r="F1330" s="2" t="s">
        <v>15</v>
      </c>
      <c r="G1330" s="2">
        <v>1664.7558257186681</v>
      </c>
      <c r="H1330" s="2">
        <v>1958.536265551375</v>
      </c>
      <c r="I1330" s="2">
        <v>0</v>
      </c>
      <c r="J1330" s="2">
        <v>0</v>
      </c>
    </row>
    <row r="1331" spans="1:10" x14ac:dyDescent="0.25">
      <c r="A1331" s="2">
        <v>52</v>
      </c>
      <c r="B1331" s="2" t="s">
        <v>11</v>
      </c>
      <c r="C1331" s="2">
        <v>38.6</v>
      </c>
      <c r="D1331" s="2">
        <v>2</v>
      </c>
      <c r="E1331" s="2" t="s">
        <v>12</v>
      </c>
      <c r="F1331" s="2" t="s">
        <v>21</v>
      </c>
      <c r="G1331" s="2">
        <v>2796.6926429269611</v>
      </c>
      <c r="H1331" s="2">
        <v>3728.9235239026148</v>
      </c>
      <c r="I1331" s="2">
        <v>0</v>
      </c>
      <c r="J1331" s="2">
        <v>3</v>
      </c>
    </row>
    <row r="1332" spans="1:10" x14ac:dyDescent="0.25">
      <c r="A1332" s="2">
        <v>57</v>
      </c>
      <c r="B1332" s="2" t="s">
        <v>8</v>
      </c>
      <c r="C1332" s="2">
        <v>25.7</v>
      </c>
      <c r="D1332" s="2">
        <v>2</v>
      </c>
      <c r="E1332" s="2" t="s">
        <v>12</v>
      </c>
      <c r="F1332" s="2" t="s">
        <v>13</v>
      </c>
      <c r="G1332" s="2">
        <v>2244.4172875669965</v>
      </c>
      <c r="H1332" s="2">
        <v>2992.5563834226618</v>
      </c>
      <c r="I1332" s="2">
        <v>0</v>
      </c>
      <c r="J1332" s="2">
        <v>3</v>
      </c>
    </row>
    <row r="1333" spans="1:10" x14ac:dyDescent="0.25">
      <c r="A1333" s="2">
        <v>23</v>
      </c>
      <c r="B1333" s="2" t="s">
        <v>8</v>
      </c>
      <c r="C1333" s="2">
        <v>23.1</v>
      </c>
      <c r="D1333" s="2">
        <v>0</v>
      </c>
      <c r="E1333" s="2" t="s">
        <v>12</v>
      </c>
      <c r="F1333" s="2" t="s">
        <v>21</v>
      </c>
      <c r="G1333" s="2">
        <v>1393.5244478864311</v>
      </c>
      <c r="H1333" s="2">
        <v>1639.4405269252136</v>
      </c>
      <c r="I1333" s="2">
        <v>0</v>
      </c>
      <c r="J1333" s="2">
        <v>0</v>
      </c>
    </row>
    <row r="1334" spans="1:10" x14ac:dyDescent="0.25">
      <c r="A1334" s="2">
        <v>52</v>
      </c>
      <c r="B1334" s="2" t="s">
        <v>8</v>
      </c>
      <c r="C1334" s="2">
        <v>44.7</v>
      </c>
      <c r="D1334" s="2">
        <v>3</v>
      </c>
      <c r="E1334" s="2" t="s">
        <v>12</v>
      </c>
      <c r="F1334" s="2" t="s">
        <v>21</v>
      </c>
      <c r="G1334" s="2">
        <v>2841.6300226514049</v>
      </c>
      <c r="H1334" s="2">
        <v>3788.8400302018736</v>
      </c>
      <c r="I1334" s="2">
        <v>0</v>
      </c>
      <c r="J1334" s="2">
        <v>3</v>
      </c>
    </row>
    <row r="1335" spans="1:10" x14ac:dyDescent="0.25">
      <c r="A1335" s="2">
        <v>50</v>
      </c>
      <c r="B1335" s="2" t="s">
        <v>11</v>
      </c>
      <c r="C1335" s="2">
        <v>31</v>
      </c>
      <c r="D1335" s="2">
        <v>3</v>
      </c>
      <c r="E1335" s="2" t="s">
        <v>12</v>
      </c>
      <c r="F1335" s="2" t="s">
        <v>20</v>
      </c>
      <c r="G1335" s="2">
        <v>1343.8600558607304</v>
      </c>
      <c r="H1335" s="2">
        <v>1791.8134078143073</v>
      </c>
      <c r="I1335" s="2">
        <v>0</v>
      </c>
      <c r="J1335" s="2">
        <v>3</v>
      </c>
    </row>
    <row r="1336" spans="1:10" x14ac:dyDescent="0.25">
      <c r="A1336" s="2">
        <v>18</v>
      </c>
      <c r="B1336" s="2" t="s">
        <v>8</v>
      </c>
      <c r="C1336" s="2">
        <v>23.5</v>
      </c>
      <c r="D1336" s="2">
        <v>0</v>
      </c>
      <c r="E1336" s="2" t="s">
        <v>12</v>
      </c>
      <c r="F1336" s="2" t="s">
        <v>15</v>
      </c>
      <c r="G1336" s="2">
        <v>1392.0681606856315</v>
      </c>
      <c r="H1336" s="2">
        <v>1637.7272478654495</v>
      </c>
      <c r="I1336" s="2">
        <v>0</v>
      </c>
      <c r="J1336" s="2">
        <v>0</v>
      </c>
    </row>
    <row r="1337" spans="1:10" x14ac:dyDescent="0.25">
      <c r="A1337" s="2">
        <v>18</v>
      </c>
      <c r="B1337" s="2" t="s">
        <v>8</v>
      </c>
      <c r="C1337" s="2">
        <v>25.3</v>
      </c>
      <c r="D1337" s="2">
        <v>0</v>
      </c>
      <c r="E1337" s="2" t="s">
        <v>12</v>
      </c>
      <c r="F1337" s="2" t="s">
        <v>13</v>
      </c>
      <c r="G1337" s="2">
        <v>2118.9857673413871</v>
      </c>
      <c r="H1337" s="2">
        <v>2492.9244321663386</v>
      </c>
      <c r="I1337" s="2">
        <v>0</v>
      </c>
      <c r="J1337" s="2">
        <v>0</v>
      </c>
    </row>
    <row r="1338" spans="1:10" x14ac:dyDescent="0.25">
      <c r="A1338" s="2">
        <v>21</v>
      </c>
      <c r="B1338" s="2" t="s">
        <v>8</v>
      </c>
      <c r="C1338" s="2">
        <v>23.9</v>
      </c>
      <c r="D1338" s="2">
        <v>0</v>
      </c>
      <c r="E1338" s="2" t="s">
        <v>12</v>
      </c>
      <c r="F1338" s="2" t="s">
        <v>21</v>
      </c>
      <c r="G1338" s="2">
        <v>1431.3380596560185</v>
      </c>
      <c r="H1338" s="2">
        <v>1683.9271290070815</v>
      </c>
      <c r="I1338" s="2">
        <v>0</v>
      </c>
      <c r="J1338" s="2">
        <v>0</v>
      </c>
    </row>
    <row r="1339" spans="1:10" x14ac:dyDescent="0.25">
      <c r="A1339" s="2">
        <v>61</v>
      </c>
      <c r="B1339" s="2" t="s">
        <v>8</v>
      </c>
      <c r="C1339" s="2">
        <v>29.1</v>
      </c>
      <c r="D1339" s="2">
        <v>0</v>
      </c>
      <c r="E1339" s="2" t="s">
        <v>9</v>
      </c>
      <c r="F1339" s="2" t="s">
        <v>20</v>
      </c>
      <c r="G1339" s="2">
        <v>4541.9019946798235</v>
      </c>
      <c r="H1339" s="2">
        <v>4325.6209473141189</v>
      </c>
      <c r="I1339" s="2">
        <v>1</v>
      </c>
      <c r="J1339" s="2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D23D-0B4B-4DE1-80F9-1B26341E178B}">
  <dimension ref="A1:O1339"/>
  <sheetViews>
    <sheetView showGridLines="0" topLeftCell="K1" zoomScale="145" zoomScaleNormal="145" workbookViewId="0">
      <selection activeCell="N26" sqref="N26"/>
    </sheetView>
  </sheetViews>
  <sheetFormatPr defaultRowHeight="15" x14ac:dyDescent="0.25"/>
  <cols>
    <col min="4" max="4" width="8.85546875" customWidth="1"/>
    <col min="6" max="6" width="17.7109375" customWidth="1"/>
    <col min="8" max="8" width="9.85546875" customWidth="1"/>
    <col min="9" max="9" width="9.5703125" customWidth="1"/>
    <col min="10" max="10" width="20.140625" bestFit="1" customWidth="1"/>
    <col min="11" max="11" width="19.140625" style="3" bestFit="1" customWidth="1"/>
    <col min="12" max="12" width="18.42578125" style="3" bestFit="1" customWidth="1"/>
    <col min="14" max="15" width="15.7109375" bestFit="1" customWidth="1"/>
  </cols>
  <sheetData>
    <row r="1" spans="1:15" x14ac:dyDescent="0.25">
      <c r="A1" s="5" t="s">
        <v>17</v>
      </c>
      <c r="B1" s="6" t="s">
        <v>0</v>
      </c>
      <c r="C1" s="6" t="s">
        <v>2</v>
      </c>
      <c r="D1" s="6" t="s">
        <v>3</v>
      </c>
      <c r="E1" s="6" t="s">
        <v>1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30</v>
      </c>
      <c r="K1" s="13" t="s">
        <v>18</v>
      </c>
      <c r="L1" s="13" t="s">
        <v>19</v>
      </c>
      <c r="N1" s="8" t="s">
        <v>17</v>
      </c>
      <c r="O1" s="9" t="s">
        <v>22</v>
      </c>
    </row>
    <row r="2" spans="1:15" x14ac:dyDescent="0.25">
      <c r="A2" s="2">
        <v>2</v>
      </c>
      <c r="B2" s="4">
        <v>19</v>
      </c>
      <c r="C2" s="4">
        <v>24.1</v>
      </c>
      <c r="D2" s="4">
        <v>0</v>
      </c>
      <c r="E2" s="4" t="s">
        <v>8</v>
      </c>
      <c r="F2" s="4" t="s">
        <v>9</v>
      </c>
      <c r="G2" s="4" t="s">
        <v>10</v>
      </c>
      <c r="H2" s="4">
        <v>1483.2083438014599</v>
      </c>
      <c r="I2" s="4">
        <v>1744.9509927076006</v>
      </c>
      <c r="J2" s="2">
        <f>VLOOKUP(A2,Planilha1!A:M,13,0)</f>
        <v>3220.2324129890262</v>
      </c>
      <c r="K2" s="10">
        <f>J2-H2</f>
        <v>1737.0240691875663</v>
      </c>
      <c r="L2" s="10">
        <f>I2-H2</f>
        <v>261.74264890614063</v>
      </c>
      <c r="N2" s="12">
        <v>0</v>
      </c>
      <c r="O2" s="11"/>
    </row>
    <row r="3" spans="1:15" x14ac:dyDescent="0.25">
      <c r="A3" s="2">
        <v>0</v>
      </c>
      <c r="B3" s="4">
        <v>18</v>
      </c>
      <c r="C3" s="4">
        <v>23.5</v>
      </c>
      <c r="D3" s="4">
        <v>1</v>
      </c>
      <c r="E3" s="4" t="s">
        <v>11</v>
      </c>
      <c r="F3" s="4" t="s">
        <v>12</v>
      </c>
      <c r="G3" s="4" t="s">
        <v>13</v>
      </c>
      <c r="H3" s="4">
        <v>2237.6079336587268</v>
      </c>
      <c r="I3" s="4">
        <v>2632.4799219514439</v>
      </c>
      <c r="J3" s="2">
        <f>VLOOKUP(A3,Planilha1!A:M,13,0)</f>
        <v>2511.8220480829059</v>
      </c>
      <c r="K3" s="10">
        <f t="shared" ref="K3:K66" si="0">J3-H3</f>
        <v>274.21411442417912</v>
      </c>
      <c r="L3" s="10">
        <f t="shared" ref="L3:L66" si="1">I3-H3</f>
        <v>394.87198829271711</v>
      </c>
      <c r="N3" s="12">
        <v>1</v>
      </c>
      <c r="O3" s="11"/>
    </row>
    <row r="4" spans="1:15" x14ac:dyDescent="0.25">
      <c r="A4" s="2">
        <v>3</v>
      </c>
      <c r="B4" s="4">
        <v>28</v>
      </c>
      <c r="C4" s="4">
        <v>33</v>
      </c>
      <c r="D4" s="4">
        <v>3</v>
      </c>
      <c r="E4" s="4" t="s">
        <v>11</v>
      </c>
      <c r="F4" s="4" t="s">
        <v>12</v>
      </c>
      <c r="G4" s="4" t="s">
        <v>13</v>
      </c>
      <c r="H4" s="4">
        <v>2046.087155520574</v>
      </c>
      <c r="I4" s="4">
        <v>2728.1162073607652</v>
      </c>
      <c r="J4" s="2">
        <f>VLOOKUP(A4,Planilha1!A:M,13,0)</f>
        <v>3049.3550806113421</v>
      </c>
      <c r="K4" s="10">
        <f t="shared" si="0"/>
        <v>1003.2679250907681</v>
      </c>
      <c r="L4" s="10">
        <f t="shared" si="1"/>
        <v>682.02905184019119</v>
      </c>
      <c r="N4" s="12">
        <v>2</v>
      </c>
      <c r="O4" s="11"/>
    </row>
    <row r="5" spans="1:15" x14ac:dyDescent="0.25">
      <c r="A5" s="2">
        <v>0</v>
      </c>
      <c r="B5" s="4">
        <v>33</v>
      </c>
      <c r="C5" s="4">
        <v>23.3</v>
      </c>
      <c r="D5" s="4">
        <v>0</v>
      </c>
      <c r="E5" s="4" t="s">
        <v>11</v>
      </c>
      <c r="F5" s="4" t="s">
        <v>12</v>
      </c>
      <c r="G5" s="4" t="s">
        <v>14</v>
      </c>
      <c r="H5" s="4">
        <v>2331.6920440425133</v>
      </c>
      <c r="I5" s="4">
        <v>2743.1671106382519</v>
      </c>
      <c r="J5" s="2">
        <f>VLOOKUP(A5,Planilha1!A:M,13,0)</f>
        <v>2511.8220480829059</v>
      </c>
      <c r="K5" s="10">
        <f t="shared" si="0"/>
        <v>180.13000404039258</v>
      </c>
      <c r="L5" s="10">
        <f t="shared" si="1"/>
        <v>411.47506659573855</v>
      </c>
      <c r="N5" s="12">
        <v>3</v>
      </c>
      <c r="O5" s="2"/>
    </row>
    <row r="6" spans="1:15" x14ac:dyDescent="0.25">
      <c r="A6" s="2">
        <v>0</v>
      </c>
      <c r="B6" s="4">
        <v>32</v>
      </c>
      <c r="C6" s="4">
        <v>23.4</v>
      </c>
      <c r="D6" s="4">
        <v>0</v>
      </c>
      <c r="E6" s="4" t="s">
        <v>11</v>
      </c>
      <c r="F6" s="4" t="s">
        <v>12</v>
      </c>
      <c r="G6" s="4" t="s">
        <v>14</v>
      </c>
      <c r="H6" s="4">
        <v>1942.5012513580566</v>
      </c>
      <c r="I6" s="4">
        <v>2285.2955898330083</v>
      </c>
      <c r="J6" s="2">
        <f>VLOOKUP(A6,Planilha1!A:M,13,0)</f>
        <v>2511.8220480829059</v>
      </c>
      <c r="K6" s="10">
        <f t="shared" si="0"/>
        <v>569.32079672484929</v>
      </c>
      <c r="L6" s="10">
        <f t="shared" si="1"/>
        <v>342.7943384749517</v>
      </c>
    </row>
    <row r="7" spans="1:15" x14ac:dyDescent="0.25">
      <c r="A7" s="2">
        <v>0</v>
      </c>
      <c r="B7" s="4">
        <v>31</v>
      </c>
      <c r="C7" s="4">
        <v>22.9</v>
      </c>
      <c r="D7" s="4">
        <v>0</v>
      </c>
      <c r="E7" s="4" t="s">
        <v>8</v>
      </c>
      <c r="F7" s="4" t="s">
        <v>12</v>
      </c>
      <c r="G7" s="4" t="s">
        <v>13</v>
      </c>
      <c r="H7" s="4">
        <v>2375.7405441112601</v>
      </c>
      <c r="I7" s="4">
        <v>2794.9888754250128</v>
      </c>
      <c r="J7" s="2">
        <f>VLOOKUP(A7,Planilha1!A:M,13,0)</f>
        <v>2511.8220480829059</v>
      </c>
      <c r="K7" s="10">
        <f t="shared" si="0"/>
        <v>136.08150397164582</v>
      </c>
      <c r="L7" s="10">
        <f t="shared" si="1"/>
        <v>419.24833131375271</v>
      </c>
      <c r="N7" s="8" t="s">
        <v>53</v>
      </c>
      <c r="O7" s="8" t="s">
        <v>54</v>
      </c>
    </row>
    <row r="8" spans="1:15" x14ac:dyDescent="0.25">
      <c r="A8" s="2">
        <v>1</v>
      </c>
      <c r="B8" s="4">
        <v>46</v>
      </c>
      <c r="C8" s="4">
        <v>33.4</v>
      </c>
      <c r="D8" s="4">
        <v>1</v>
      </c>
      <c r="E8" s="4" t="s">
        <v>8</v>
      </c>
      <c r="F8" s="4" t="s">
        <v>12</v>
      </c>
      <c r="G8" s="4" t="s">
        <v>13</v>
      </c>
      <c r="H8" s="4">
        <v>4453.2339258824668</v>
      </c>
      <c r="I8" s="4">
        <v>4241.1751675071127</v>
      </c>
      <c r="J8" s="2">
        <f>VLOOKUP(A8,Planilha1!A:M,13,0)</f>
        <v>6326.3485212104815</v>
      </c>
      <c r="K8" s="10">
        <f t="shared" si="0"/>
        <v>1873.1145953280147</v>
      </c>
      <c r="L8" s="10">
        <f t="shared" si="1"/>
        <v>-212.05875837535405</v>
      </c>
      <c r="N8" s="10">
        <f>SUM(L:L)</f>
        <v>338558.75431449269</v>
      </c>
      <c r="O8" s="10">
        <f>SUM(K:K)</f>
        <v>1268727.3057181954</v>
      </c>
    </row>
    <row r="9" spans="1:15" x14ac:dyDescent="0.25">
      <c r="A9" s="2">
        <v>3</v>
      </c>
      <c r="B9" s="4">
        <v>37</v>
      </c>
      <c r="C9" s="4">
        <v>27.7</v>
      </c>
      <c r="D9" s="4">
        <v>3</v>
      </c>
      <c r="E9" s="4" t="s">
        <v>8</v>
      </c>
      <c r="F9" s="4" t="s">
        <v>12</v>
      </c>
      <c r="G9" s="4" t="s">
        <v>14</v>
      </c>
      <c r="H9" s="4">
        <v>2326.6881657621798</v>
      </c>
      <c r="I9" s="4">
        <v>3102.2508876829061</v>
      </c>
      <c r="J9" s="2">
        <f>VLOOKUP(A9,Planilha1!A:M,13,0)</f>
        <v>3049.3550806113421</v>
      </c>
      <c r="K9" s="10">
        <f t="shared" si="0"/>
        <v>722.66691484916237</v>
      </c>
      <c r="L9" s="10">
        <f t="shared" si="1"/>
        <v>775.56272192072629</v>
      </c>
    </row>
    <row r="10" spans="1:15" x14ac:dyDescent="0.25">
      <c r="A10" s="2">
        <v>3</v>
      </c>
      <c r="B10" s="4">
        <v>37</v>
      </c>
      <c r="C10" s="4">
        <v>29.8</v>
      </c>
      <c r="D10" s="4">
        <v>2</v>
      </c>
      <c r="E10" s="4" t="s">
        <v>11</v>
      </c>
      <c r="F10" s="4" t="s">
        <v>12</v>
      </c>
      <c r="G10" s="4" t="s">
        <v>15</v>
      </c>
      <c r="H10" s="4">
        <v>1712.4259783787038</v>
      </c>
      <c r="I10" s="4">
        <v>2283.2346378382717</v>
      </c>
      <c r="J10" s="2">
        <f>VLOOKUP(A10,Planilha1!A:M,13,0)</f>
        <v>3049.3550806113421</v>
      </c>
      <c r="K10" s="10">
        <f t="shared" si="0"/>
        <v>1336.9291022326383</v>
      </c>
      <c r="L10" s="10">
        <f t="shared" si="1"/>
        <v>570.80865945956793</v>
      </c>
    </row>
    <row r="11" spans="1:15" x14ac:dyDescent="0.25">
      <c r="A11" s="2">
        <v>1</v>
      </c>
      <c r="B11" s="4">
        <v>60</v>
      </c>
      <c r="C11" s="4">
        <v>25.8</v>
      </c>
      <c r="D11" s="4">
        <v>0</v>
      </c>
      <c r="E11" s="4" t="s">
        <v>8</v>
      </c>
      <c r="F11" s="4" t="s">
        <v>12</v>
      </c>
      <c r="G11" s="4" t="s">
        <v>14</v>
      </c>
      <c r="H11" s="4">
        <v>4684.8205889541305</v>
      </c>
      <c r="I11" s="4">
        <v>4461.7338942420301</v>
      </c>
      <c r="J11" s="2">
        <f>VLOOKUP(A11,Planilha1!A:M,13,0)</f>
        <v>6326.3485212104815</v>
      </c>
      <c r="K11" s="10">
        <f t="shared" si="0"/>
        <v>1641.5279322563511</v>
      </c>
      <c r="L11" s="10">
        <f t="shared" si="1"/>
        <v>-223.08669471210032</v>
      </c>
    </row>
    <row r="12" spans="1:15" x14ac:dyDescent="0.25">
      <c r="A12" s="2">
        <v>0</v>
      </c>
      <c r="B12" s="4">
        <v>25</v>
      </c>
      <c r="C12" s="4">
        <v>20.3</v>
      </c>
      <c r="D12" s="4">
        <v>0</v>
      </c>
      <c r="E12" s="4" t="s">
        <v>11</v>
      </c>
      <c r="F12" s="4" t="s">
        <v>12</v>
      </c>
      <c r="G12" s="4" t="s">
        <v>15</v>
      </c>
      <c r="H12" s="4">
        <v>2168.5564914224506</v>
      </c>
      <c r="I12" s="4">
        <v>2551.2429310852363</v>
      </c>
      <c r="J12" s="2">
        <f>VLOOKUP(A12,Planilha1!A:M,13,0)</f>
        <v>2511.8220480829059</v>
      </c>
      <c r="K12" s="10">
        <f t="shared" si="0"/>
        <v>343.26555666045533</v>
      </c>
      <c r="L12" s="10">
        <f t="shared" si="1"/>
        <v>382.68643966278569</v>
      </c>
    </row>
    <row r="13" spans="1:15" x14ac:dyDescent="0.25">
      <c r="A13" s="2">
        <v>2</v>
      </c>
      <c r="B13" s="4">
        <v>62</v>
      </c>
      <c r="C13" s="4">
        <v>26.3</v>
      </c>
      <c r="D13" s="4">
        <v>0</v>
      </c>
      <c r="E13" s="4" t="s">
        <v>8</v>
      </c>
      <c r="F13" s="4" t="s">
        <v>9</v>
      </c>
      <c r="G13" s="4" t="s">
        <v>13</v>
      </c>
      <c r="H13" s="4">
        <v>5417.6353024167529</v>
      </c>
      <c r="I13" s="4">
        <v>5159.6526689683369</v>
      </c>
      <c r="J13" s="2">
        <f>VLOOKUP(A13,Planilha1!A:M,13,0)</f>
        <v>3220.2324129890262</v>
      </c>
      <c r="K13" s="10">
        <f t="shared" si="0"/>
        <v>-2197.4028894277267</v>
      </c>
      <c r="L13" s="10">
        <f t="shared" si="1"/>
        <v>-257.98263344841598</v>
      </c>
    </row>
    <row r="14" spans="1:15" x14ac:dyDescent="0.25">
      <c r="A14" s="2">
        <v>0</v>
      </c>
      <c r="B14" s="4">
        <v>23</v>
      </c>
      <c r="C14" s="4">
        <v>21.2</v>
      </c>
      <c r="D14" s="4">
        <v>0</v>
      </c>
      <c r="E14" s="4" t="s">
        <v>11</v>
      </c>
      <c r="F14" s="4" t="s">
        <v>12</v>
      </c>
      <c r="G14" s="4" t="s">
        <v>10</v>
      </c>
      <c r="H14" s="4">
        <v>1802.1615009832854</v>
      </c>
      <c r="I14" s="4">
        <v>2120.1900011568073</v>
      </c>
      <c r="J14" s="2">
        <f>VLOOKUP(A14,Planilha1!A:M,13,0)</f>
        <v>2511.8220480829059</v>
      </c>
      <c r="K14" s="10">
        <f t="shared" si="0"/>
        <v>709.66054709962054</v>
      </c>
      <c r="L14" s="10">
        <f t="shared" si="1"/>
        <v>318.02850017352193</v>
      </c>
    </row>
    <row r="15" spans="1:15" x14ac:dyDescent="0.25">
      <c r="A15" s="2">
        <v>1</v>
      </c>
      <c r="B15" s="4">
        <v>56</v>
      </c>
      <c r="C15" s="4">
        <v>39.799999999999997</v>
      </c>
      <c r="D15" s="4">
        <v>0</v>
      </c>
      <c r="E15" s="4" t="s">
        <v>8</v>
      </c>
      <c r="F15" s="4" t="s">
        <v>12</v>
      </c>
      <c r="G15" s="4" t="s">
        <v>13</v>
      </c>
      <c r="H15" s="4">
        <v>3641.0645374069709</v>
      </c>
      <c r="I15" s="4">
        <v>3467.6805118161642</v>
      </c>
      <c r="J15" s="2">
        <f>VLOOKUP(A15,Planilha1!A:M,13,0)</f>
        <v>6326.3485212104815</v>
      </c>
      <c r="K15" s="10">
        <f t="shared" si="0"/>
        <v>2685.2839838035106</v>
      </c>
      <c r="L15" s="10">
        <f t="shared" si="1"/>
        <v>-173.38402559080669</v>
      </c>
    </row>
    <row r="16" spans="1:15" x14ac:dyDescent="0.25">
      <c r="A16" s="2">
        <v>2</v>
      </c>
      <c r="B16" s="4">
        <v>27</v>
      </c>
      <c r="C16" s="4">
        <v>24.2</v>
      </c>
      <c r="D16" s="4">
        <v>0</v>
      </c>
      <c r="E16" s="4" t="s">
        <v>11</v>
      </c>
      <c r="F16" s="4" t="s">
        <v>9</v>
      </c>
      <c r="G16" s="4" t="s">
        <v>13</v>
      </c>
      <c r="H16" s="4">
        <v>1460.3167286240553</v>
      </c>
      <c r="I16" s="4">
        <v>1718.0196807341836</v>
      </c>
      <c r="J16" s="2">
        <f>VLOOKUP(A16,Planilha1!A:M,13,0)</f>
        <v>3220.2324129890262</v>
      </c>
      <c r="K16" s="10">
        <f t="shared" si="0"/>
        <v>1759.915684364971</v>
      </c>
      <c r="L16" s="10">
        <f t="shared" si="1"/>
        <v>257.70295211012831</v>
      </c>
    </row>
    <row r="17" spans="1:12" x14ac:dyDescent="0.25">
      <c r="A17" s="2">
        <v>0</v>
      </c>
      <c r="B17" s="4">
        <v>19</v>
      </c>
      <c r="C17" s="4">
        <v>25.8</v>
      </c>
      <c r="D17" s="4">
        <v>1</v>
      </c>
      <c r="E17" s="4" t="s">
        <v>11</v>
      </c>
      <c r="F17" s="4" t="s">
        <v>12</v>
      </c>
      <c r="G17" s="4" t="s">
        <v>10</v>
      </c>
      <c r="H17" s="4">
        <v>1680.3079158609976</v>
      </c>
      <c r="I17" s="4">
        <v>1976.8328421894096</v>
      </c>
      <c r="J17" s="2">
        <f>VLOOKUP(A17,Planilha1!A:M,13,0)</f>
        <v>2511.8220480829059</v>
      </c>
      <c r="K17" s="10">
        <f t="shared" si="0"/>
        <v>831.51413222190831</v>
      </c>
      <c r="L17" s="10">
        <f t="shared" si="1"/>
        <v>296.52492632841199</v>
      </c>
    </row>
    <row r="18" spans="1:12" x14ac:dyDescent="0.25">
      <c r="A18" s="2">
        <v>1</v>
      </c>
      <c r="B18" s="4">
        <v>52</v>
      </c>
      <c r="C18" s="4">
        <v>30.8</v>
      </c>
      <c r="D18" s="4">
        <v>1</v>
      </c>
      <c r="E18" s="4" t="s">
        <v>8</v>
      </c>
      <c r="F18" s="4" t="s">
        <v>12</v>
      </c>
      <c r="G18" s="4" t="s">
        <v>15</v>
      </c>
      <c r="H18" s="4">
        <v>3924.9201682119551</v>
      </c>
      <c r="I18" s="4">
        <v>3738.0192078209111</v>
      </c>
      <c r="J18" s="2">
        <f>VLOOKUP(A18,Planilha1!A:M,13,0)</f>
        <v>6326.3485212104815</v>
      </c>
      <c r="K18" s="10">
        <f t="shared" si="0"/>
        <v>2401.4283529985264</v>
      </c>
      <c r="L18" s="10">
        <f t="shared" si="1"/>
        <v>-186.90096039104401</v>
      </c>
    </row>
    <row r="19" spans="1:12" x14ac:dyDescent="0.25">
      <c r="A19" s="2">
        <v>0</v>
      </c>
      <c r="B19" s="4">
        <v>23</v>
      </c>
      <c r="C19" s="4">
        <v>25.8</v>
      </c>
      <c r="D19" s="4">
        <v>0</v>
      </c>
      <c r="E19" s="4" t="s">
        <v>11</v>
      </c>
      <c r="F19" s="4" t="s">
        <v>12</v>
      </c>
      <c r="G19" s="4" t="s">
        <v>15</v>
      </c>
      <c r="H19" s="4">
        <v>1787.5454795082733</v>
      </c>
      <c r="I19" s="4">
        <v>2102.9946817744399</v>
      </c>
      <c r="J19" s="2">
        <f>VLOOKUP(A19,Planilha1!A:M,13,0)</f>
        <v>2511.8220480829059</v>
      </c>
      <c r="K19" s="10">
        <f t="shared" si="0"/>
        <v>724.27656857463262</v>
      </c>
      <c r="L19" s="10">
        <f t="shared" si="1"/>
        <v>315.44920226616659</v>
      </c>
    </row>
    <row r="20" spans="1:12" x14ac:dyDescent="0.25">
      <c r="A20" s="2">
        <v>1</v>
      </c>
      <c r="B20" s="4">
        <v>56</v>
      </c>
      <c r="C20" s="4">
        <v>40.299999999999997</v>
      </c>
      <c r="D20" s="4">
        <v>0</v>
      </c>
      <c r="E20" s="4" t="s">
        <v>11</v>
      </c>
      <c r="F20" s="4" t="s">
        <v>12</v>
      </c>
      <c r="G20" s="4" t="s">
        <v>10</v>
      </c>
      <c r="H20" s="4">
        <v>4404.9073514532083</v>
      </c>
      <c r="I20" s="4">
        <v>4195.1498585268664</v>
      </c>
      <c r="J20" s="2">
        <f>VLOOKUP(A20,Planilha1!A:M,13,0)</f>
        <v>6326.3485212104815</v>
      </c>
      <c r="K20" s="10">
        <f t="shared" si="0"/>
        <v>1921.4411697572732</v>
      </c>
      <c r="L20" s="10">
        <f t="shared" si="1"/>
        <v>-209.75749292634191</v>
      </c>
    </row>
    <row r="21" spans="1:12" x14ac:dyDescent="0.25">
      <c r="A21" s="2">
        <v>2</v>
      </c>
      <c r="B21" s="4">
        <v>30</v>
      </c>
      <c r="C21" s="4">
        <v>25.7</v>
      </c>
      <c r="D21" s="4">
        <v>0</v>
      </c>
      <c r="E21" s="4" t="s">
        <v>11</v>
      </c>
      <c r="F21" s="4" t="s">
        <v>9</v>
      </c>
      <c r="G21" s="4" t="s">
        <v>10</v>
      </c>
      <c r="H21" s="4">
        <v>1910.2586995687416</v>
      </c>
      <c r="I21" s="4">
        <v>2247.3631759632262</v>
      </c>
      <c r="J21" s="2">
        <f>VLOOKUP(A21,Planilha1!A:M,13,0)</f>
        <v>3220.2324129890262</v>
      </c>
      <c r="K21" s="10">
        <f t="shared" si="0"/>
        <v>1309.9737134202846</v>
      </c>
      <c r="L21" s="10">
        <f t="shared" si="1"/>
        <v>337.10447639448466</v>
      </c>
    </row>
    <row r="22" spans="1:12" x14ac:dyDescent="0.25">
      <c r="A22" s="2">
        <v>1</v>
      </c>
      <c r="B22" s="4">
        <v>60</v>
      </c>
      <c r="C22" s="4">
        <v>36</v>
      </c>
      <c r="D22" s="4">
        <v>0</v>
      </c>
      <c r="E22" s="4" t="s">
        <v>8</v>
      </c>
      <c r="F22" s="4" t="s">
        <v>12</v>
      </c>
      <c r="G22" s="4" t="s">
        <v>15</v>
      </c>
      <c r="H22" s="4">
        <v>3798.1509253779682</v>
      </c>
      <c r="I22" s="4">
        <v>3617.286595598066</v>
      </c>
      <c r="J22" s="2">
        <f>VLOOKUP(A22,Planilha1!A:M,13,0)</f>
        <v>6326.3485212104815</v>
      </c>
      <c r="K22" s="10">
        <f t="shared" si="0"/>
        <v>2528.1975958325133</v>
      </c>
      <c r="L22" s="10">
        <f t="shared" si="1"/>
        <v>-180.86432977990216</v>
      </c>
    </row>
    <row r="23" spans="1:12" x14ac:dyDescent="0.25">
      <c r="A23" s="2">
        <v>0</v>
      </c>
      <c r="B23" s="4">
        <v>30</v>
      </c>
      <c r="C23" s="4">
        <v>24.1</v>
      </c>
      <c r="D23" s="4">
        <v>1</v>
      </c>
      <c r="E23" s="4" t="s">
        <v>8</v>
      </c>
      <c r="F23" s="4" t="s">
        <v>12</v>
      </c>
      <c r="G23" s="4" t="s">
        <v>10</v>
      </c>
      <c r="H23" s="4">
        <v>1740.5823660346139</v>
      </c>
      <c r="I23" s="4">
        <v>2047.7439600407231</v>
      </c>
      <c r="J23" s="2">
        <f>VLOOKUP(A23,Planilha1!A:M,13,0)</f>
        <v>2511.8220480829059</v>
      </c>
      <c r="K23" s="10">
        <f t="shared" si="0"/>
        <v>771.23968204829202</v>
      </c>
      <c r="L23" s="10">
        <f t="shared" si="1"/>
        <v>307.16159400610923</v>
      </c>
    </row>
    <row r="24" spans="1:12" x14ac:dyDescent="0.25">
      <c r="A24" s="2">
        <v>0</v>
      </c>
      <c r="B24" s="4">
        <v>18</v>
      </c>
      <c r="C24" s="4">
        <v>23</v>
      </c>
      <c r="D24" s="4">
        <v>0</v>
      </c>
      <c r="E24" s="4" t="s">
        <v>11</v>
      </c>
      <c r="F24" s="4" t="s">
        <v>12</v>
      </c>
      <c r="G24" s="4" t="s">
        <v>13</v>
      </c>
      <c r="H24" s="4">
        <v>1536.0759965914722</v>
      </c>
      <c r="I24" s="4">
        <v>1807.1482312840858</v>
      </c>
      <c r="J24" s="2">
        <f>VLOOKUP(A24,Planilha1!A:M,13,0)</f>
        <v>2511.8220480829059</v>
      </c>
      <c r="K24" s="10">
        <f t="shared" si="0"/>
        <v>975.74605149143372</v>
      </c>
      <c r="L24" s="10">
        <f t="shared" si="1"/>
        <v>271.07223469261362</v>
      </c>
    </row>
    <row r="25" spans="1:12" x14ac:dyDescent="0.25">
      <c r="A25" s="2">
        <v>2</v>
      </c>
      <c r="B25" s="4">
        <v>34</v>
      </c>
      <c r="C25" s="4">
        <v>23.4</v>
      </c>
      <c r="D25" s="4">
        <v>1</v>
      </c>
      <c r="E25" s="4" t="s">
        <v>8</v>
      </c>
      <c r="F25" s="4" t="s">
        <v>9</v>
      </c>
      <c r="G25" s="4" t="s">
        <v>15</v>
      </c>
      <c r="H25" s="4">
        <v>1555.8077274141297</v>
      </c>
      <c r="I25" s="4">
        <v>1830.3620322519178</v>
      </c>
      <c r="J25" s="2">
        <f>VLOOKUP(A25,Planilha1!A:M,13,0)</f>
        <v>3220.2324129890262</v>
      </c>
      <c r="K25" s="10">
        <f t="shared" si="0"/>
        <v>1664.4246855748966</v>
      </c>
      <c r="L25" s="10">
        <f t="shared" si="1"/>
        <v>274.5543048377881</v>
      </c>
    </row>
    <row r="26" spans="1:12" x14ac:dyDescent="0.25">
      <c r="A26" s="2">
        <v>3</v>
      </c>
      <c r="B26" s="4">
        <v>37</v>
      </c>
      <c r="C26" s="4">
        <v>28</v>
      </c>
      <c r="D26" s="4">
        <v>2</v>
      </c>
      <c r="E26" s="4" t="s">
        <v>11</v>
      </c>
      <c r="F26" s="4" t="s">
        <v>12</v>
      </c>
      <c r="G26" s="4" t="s">
        <v>14</v>
      </c>
      <c r="H26" s="4">
        <v>1093.0780399373862</v>
      </c>
      <c r="I26" s="4">
        <v>1457.4373865831815</v>
      </c>
      <c r="J26" s="2">
        <f>VLOOKUP(A26,Planilha1!A:M,13,0)</f>
        <v>3049.3550806113421</v>
      </c>
      <c r="K26" s="10">
        <f t="shared" si="0"/>
        <v>1956.277040673956</v>
      </c>
      <c r="L26" s="10">
        <f t="shared" si="1"/>
        <v>364.35934664579531</v>
      </c>
    </row>
    <row r="27" spans="1:12" x14ac:dyDescent="0.25">
      <c r="A27" s="2">
        <v>3</v>
      </c>
      <c r="B27" s="4">
        <v>59</v>
      </c>
      <c r="C27" s="4">
        <v>27.7</v>
      </c>
      <c r="D27" s="4">
        <v>3</v>
      </c>
      <c r="E27" s="4" t="s">
        <v>8</v>
      </c>
      <c r="F27" s="4" t="s">
        <v>12</v>
      </c>
      <c r="G27" s="4" t="s">
        <v>13</v>
      </c>
      <c r="H27" s="4">
        <v>3087.1134897948969</v>
      </c>
      <c r="I27" s="4">
        <v>4116.1513197265294</v>
      </c>
      <c r="J27" s="2">
        <f>VLOOKUP(A27,Planilha1!A:M,13,0)</f>
        <v>3049.3550806113421</v>
      </c>
      <c r="K27" s="10">
        <f t="shared" si="0"/>
        <v>-37.758409183554704</v>
      </c>
      <c r="L27" s="10">
        <f t="shared" si="1"/>
        <v>1029.0378299316326</v>
      </c>
    </row>
    <row r="28" spans="1:12" x14ac:dyDescent="0.25">
      <c r="A28" s="2">
        <v>1</v>
      </c>
      <c r="B28" s="4">
        <v>63</v>
      </c>
      <c r="C28" s="4">
        <v>23.1</v>
      </c>
      <c r="D28" s="4">
        <v>0</v>
      </c>
      <c r="E28" s="4" t="s">
        <v>8</v>
      </c>
      <c r="F28" s="4" t="s">
        <v>12</v>
      </c>
      <c r="G28" s="4" t="s">
        <v>15</v>
      </c>
      <c r="H28" s="4">
        <v>4919.5069773495661</v>
      </c>
      <c r="I28" s="4">
        <v>4685.2447403329215</v>
      </c>
      <c r="J28" s="2">
        <f>VLOOKUP(A28,Planilha1!A:M,13,0)</f>
        <v>6326.3485212104815</v>
      </c>
      <c r="K28" s="10">
        <f t="shared" si="0"/>
        <v>1406.8415438609154</v>
      </c>
      <c r="L28" s="10">
        <f t="shared" si="1"/>
        <v>-234.26223701664458</v>
      </c>
    </row>
    <row r="29" spans="1:12" x14ac:dyDescent="0.25">
      <c r="A29" s="2">
        <v>3</v>
      </c>
      <c r="B29" s="4">
        <v>55</v>
      </c>
      <c r="C29" s="4">
        <v>32.799999999999997</v>
      </c>
      <c r="D29" s="4">
        <v>2</v>
      </c>
      <c r="E29" s="4" t="s">
        <v>8</v>
      </c>
      <c r="F29" s="4" t="s">
        <v>12</v>
      </c>
      <c r="G29" s="4" t="s">
        <v>14</v>
      </c>
      <c r="H29" s="4">
        <v>2582.8582873001646</v>
      </c>
      <c r="I29" s="4">
        <v>3443.8110497335529</v>
      </c>
      <c r="J29" s="2">
        <f>VLOOKUP(A29,Planilha1!A:M,13,0)</f>
        <v>3049.3550806113421</v>
      </c>
      <c r="K29" s="10">
        <f t="shared" si="0"/>
        <v>466.4967933111775</v>
      </c>
      <c r="L29" s="10">
        <f t="shared" si="1"/>
        <v>860.95276243338822</v>
      </c>
    </row>
    <row r="30" spans="1:12" x14ac:dyDescent="0.25">
      <c r="A30" s="2">
        <v>0</v>
      </c>
      <c r="B30" s="4">
        <v>23</v>
      </c>
      <c r="C30" s="4">
        <v>25.1</v>
      </c>
      <c r="D30" s="4">
        <v>1</v>
      </c>
      <c r="E30" s="4" t="s">
        <v>11</v>
      </c>
      <c r="F30" s="4" t="s">
        <v>12</v>
      </c>
      <c r="G30" s="4" t="s">
        <v>14</v>
      </c>
      <c r="H30" s="4">
        <v>1649.6327842520591</v>
      </c>
      <c r="I30" s="4">
        <v>1940.7444520612464</v>
      </c>
      <c r="J30" s="2">
        <f>VLOOKUP(A30,Planilha1!A:M,13,0)</f>
        <v>2511.8220480829059</v>
      </c>
      <c r="K30" s="10">
        <f t="shared" si="0"/>
        <v>862.18926383084681</v>
      </c>
      <c r="L30" s="10">
        <f t="shared" si="1"/>
        <v>291.11166780918734</v>
      </c>
    </row>
    <row r="31" spans="1:12" x14ac:dyDescent="0.25">
      <c r="A31" s="2">
        <v>2</v>
      </c>
      <c r="B31" s="4">
        <v>31</v>
      </c>
      <c r="C31" s="4">
        <v>36.299999999999997</v>
      </c>
      <c r="D31" s="4">
        <v>2</v>
      </c>
      <c r="E31" s="4" t="s">
        <v>11</v>
      </c>
      <c r="F31" s="4" t="s">
        <v>9</v>
      </c>
      <c r="G31" s="4" t="s">
        <v>10</v>
      </c>
      <c r="H31" s="4">
        <v>1296.1726470837023</v>
      </c>
      <c r="I31" s="4">
        <v>1728.2301961116029</v>
      </c>
      <c r="J31" s="2">
        <f>VLOOKUP(A31,Planilha1!A:M,13,0)</f>
        <v>3220.2324129890262</v>
      </c>
      <c r="K31" s="10">
        <f t="shared" si="0"/>
        <v>1924.059765905324</v>
      </c>
      <c r="L31" s="10">
        <f t="shared" si="1"/>
        <v>432.05754902790068</v>
      </c>
    </row>
    <row r="32" spans="1:12" x14ac:dyDescent="0.25">
      <c r="A32" s="2">
        <v>2</v>
      </c>
      <c r="B32" s="4">
        <v>22</v>
      </c>
      <c r="C32" s="4">
        <v>25.1</v>
      </c>
      <c r="D32" s="4">
        <v>0</v>
      </c>
      <c r="E32" s="4" t="s">
        <v>11</v>
      </c>
      <c r="F32" s="4" t="s">
        <v>9</v>
      </c>
      <c r="G32" s="4" t="s">
        <v>10</v>
      </c>
      <c r="H32" s="4">
        <v>1877.2039853968902</v>
      </c>
      <c r="I32" s="4">
        <v>2208.4752769375186</v>
      </c>
      <c r="J32" s="2">
        <f>VLOOKUP(A32,Planilha1!A:M,13,0)</f>
        <v>3220.2324129890262</v>
      </c>
      <c r="K32" s="10">
        <f t="shared" si="0"/>
        <v>1343.028427592136</v>
      </c>
      <c r="L32" s="10">
        <f t="shared" si="1"/>
        <v>331.27129154062845</v>
      </c>
    </row>
    <row r="33" spans="1:12" x14ac:dyDescent="0.25">
      <c r="A33" s="2">
        <v>0</v>
      </c>
      <c r="B33" s="4">
        <v>18</v>
      </c>
      <c r="C33" s="4">
        <v>22.5</v>
      </c>
      <c r="D33" s="4">
        <v>0</v>
      </c>
      <c r="E33" s="4" t="s">
        <v>8</v>
      </c>
      <c r="F33" s="4" t="s">
        <v>12</v>
      </c>
      <c r="G33" s="4" t="s">
        <v>15</v>
      </c>
      <c r="H33" s="4">
        <v>1604.652954234886</v>
      </c>
      <c r="I33" s="4">
        <v>1887.8270049822195</v>
      </c>
      <c r="J33" s="2">
        <f>VLOOKUP(A33,Planilha1!A:M,13,0)</f>
        <v>2511.8220480829059</v>
      </c>
      <c r="K33" s="10">
        <f t="shared" si="0"/>
        <v>907.16909384801988</v>
      </c>
      <c r="L33" s="10">
        <f t="shared" si="1"/>
        <v>283.17405074733347</v>
      </c>
    </row>
    <row r="34" spans="1:12" x14ac:dyDescent="0.25">
      <c r="A34" s="2">
        <v>3</v>
      </c>
      <c r="B34" s="4">
        <v>19</v>
      </c>
      <c r="C34" s="4">
        <v>28.6</v>
      </c>
      <c r="D34" s="4">
        <v>5</v>
      </c>
      <c r="E34" s="4" t="s">
        <v>8</v>
      </c>
      <c r="F34" s="4" t="s">
        <v>12</v>
      </c>
      <c r="G34" s="4" t="s">
        <v>10</v>
      </c>
      <c r="H34" s="4">
        <v>1755.0163522779319</v>
      </c>
      <c r="I34" s="4">
        <v>2340.0218030372425</v>
      </c>
      <c r="J34" s="2">
        <f>VLOOKUP(A34,Planilha1!A:M,13,0)</f>
        <v>3049.3550806113421</v>
      </c>
      <c r="K34" s="10">
        <f t="shared" si="0"/>
        <v>1294.3387283334102</v>
      </c>
      <c r="L34" s="10">
        <f t="shared" si="1"/>
        <v>585.00545075931063</v>
      </c>
    </row>
    <row r="35" spans="1:12" x14ac:dyDescent="0.25">
      <c r="A35" s="2">
        <v>1</v>
      </c>
      <c r="B35" s="4">
        <v>63</v>
      </c>
      <c r="C35" s="4">
        <v>28.3</v>
      </c>
      <c r="D35" s="4">
        <v>0</v>
      </c>
      <c r="E35" s="4" t="s">
        <v>11</v>
      </c>
      <c r="F35" s="4" t="s">
        <v>12</v>
      </c>
      <c r="G35" s="4" t="s">
        <v>14</v>
      </c>
      <c r="H35" s="4">
        <v>4335.0767517388849</v>
      </c>
      <c r="I35" s="4">
        <v>4128.6445254656064</v>
      </c>
      <c r="J35" s="2">
        <f>VLOOKUP(A35,Planilha1!A:M,13,0)</f>
        <v>6326.3485212104815</v>
      </c>
      <c r="K35" s="10">
        <f t="shared" si="0"/>
        <v>1991.2717694715966</v>
      </c>
      <c r="L35" s="10">
        <f t="shared" si="1"/>
        <v>-206.4322262732785</v>
      </c>
    </row>
    <row r="36" spans="1:12" x14ac:dyDescent="0.25">
      <c r="A36" s="2">
        <v>2</v>
      </c>
      <c r="B36" s="4">
        <v>28</v>
      </c>
      <c r="C36" s="4">
        <v>25.6</v>
      </c>
      <c r="D36" s="4">
        <v>1</v>
      </c>
      <c r="E36" s="4" t="s">
        <v>11</v>
      </c>
      <c r="F36" s="4" t="s">
        <v>9</v>
      </c>
      <c r="G36" s="4" t="s">
        <v>10</v>
      </c>
      <c r="H36" s="4">
        <v>1697.8195808138189</v>
      </c>
      <c r="I36" s="4">
        <v>1997.4348009574348</v>
      </c>
      <c r="J36" s="2">
        <f>VLOOKUP(A36,Planilha1!A:M,13,0)</f>
        <v>3220.2324129890262</v>
      </c>
      <c r="K36" s="10">
        <f t="shared" si="0"/>
        <v>1522.4128321752073</v>
      </c>
      <c r="L36" s="10">
        <f t="shared" si="1"/>
        <v>299.61522014361594</v>
      </c>
    </row>
    <row r="37" spans="1:12" x14ac:dyDescent="0.25">
      <c r="A37" s="2">
        <v>0</v>
      </c>
      <c r="B37" s="4">
        <v>19</v>
      </c>
      <c r="C37" s="4">
        <v>23.1</v>
      </c>
      <c r="D37" s="4">
        <v>0</v>
      </c>
      <c r="E37" s="4" t="s">
        <v>11</v>
      </c>
      <c r="F37" s="4" t="s">
        <v>12</v>
      </c>
      <c r="G37" s="4" t="s">
        <v>14</v>
      </c>
      <c r="H37" s="4">
        <v>1611.3302033011</v>
      </c>
      <c r="I37" s="4">
        <v>1895.6825921189422</v>
      </c>
      <c r="J37" s="2">
        <f>VLOOKUP(A37,Planilha1!A:M,13,0)</f>
        <v>2511.8220480829059</v>
      </c>
      <c r="K37" s="10">
        <f t="shared" si="0"/>
        <v>900.49184478180587</v>
      </c>
      <c r="L37" s="10">
        <f t="shared" si="1"/>
        <v>284.35238881784221</v>
      </c>
    </row>
    <row r="38" spans="1:12" x14ac:dyDescent="0.25">
      <c r="A38" s="2">
        <v>3</v>
      </c>
      <c r="B38" s="4">
        <v>62</v>
      </c>
      <c r="C38" s="4">
        <v>33</v>
      </c>
      <c r="D38" s="4">
        <v>3</v>
      </c>
      <c r="E38" s="4" t="s">
        <v>8</v>
      </c>
      <c r="F38" s="4" t="s">
        <v>12</v>
      </c>
      <c r="G38" s="4" t="s">
        <v>14</v>
      </c>
      <c r="H38" s="4">
        <v>2721.6316463543644</v>
      </c>
      <c r="I38" s="4">
        <v>3628.8421951391524</v>
      </c>
      <c r="J38" s="2">
        <f>VLOOKUP(A38,Planilha1!A:M,13,0)</f>
        <v>3049.3550806113421</v>
      </c>
      <c r="K38" s="10">
        <f t="shared" si="0"/>
        <v>327.72343425697773</v>
      </c>
      <c r="L38" s="10">
        <f t="shared" si="1"/>
        <v>907.21054878478799</v>
      </c>
    </row>
    <row r="39" spans="1:12" x14ac:dyDescent="0.25">
      <c r="A39" s="2">
        <v>0</v>
      </c>
      <c r="B39" s="4">
        <v>26</v>
      </c>
      <c r="C39" s="4">
        <v>21.7</v>
      </c>
      <c r="D39" s="4">
        <v>0</v>
      </c>
      <c r="E39" s="4" t="s">
        <v>11</v>
      </c>
      <c r="F39" s="4" t="s">
        <v>12</v>
      </c>
      <c r="G39" s="4" t="s">
        <v>10</v>
      </c>
      <c r="H39" s="4">
        <v>2008.3371640795592</v>
      </c>
      <c r="I39" s="4">
        <v>2362.7496047994823</v>
      </c>
      <c r="J39" s="2">
        <f>VLOOKUP(A39,Planilha1!A:M,13,0)</f>
        <v>2511.8220480829059</v>
      </c>
      <c r="K39" s="10">
        <f t="shared" si="0"/>
        <v>503.48488400334668</v>
      </c>
      <c r="L39" s="10">
        <f t="shared" si="1"/>
        <v>354.4124407199231</v>
      </c>
    </row>
    <row r="40" spans="1:12" x14ac:dyDescent="0.25">
      <c r="A40" s="2">
        <v>2</v>
      </c>
      <c r="B40" s="4">
        <v>35</v>
      </c>
      <c r="C40" s="4">
        <v>23.2</v>
      </c>
      <c r="D40" s="4">
        <v>1</v>
      </c>
      <c r="E40" s="4" t="s">
        <v>11</v>
      </c>
      <c r="F40" s="4" t="s">
        <v>9</v>
      </c>
      <c r="G40" s="4" t="s">
        <v>15</v>
      </c>
      <c r="H40" s="4">
        <v>2193.7219135449909</v>
      </c>
      <c r="I40" s="4">
        <v>2580.8493100529313</v>
      </c>
      <c r="J40" s="2">
        <f>VLOOKUP(A40,Planilha1!A:M,13,0)</f>
        <v>3220.2324129890262</v>
      </c>
      <c r="K40" s="10">
        <f t="shared" si="0"/>
        <v>1026.5104994440353</v>
      </c>
      <c r="L40" s="10">
        <f t="shared" si="1"/>
        <v>387.12739650794038</v>
      </c>
    </row>
    <row r="41" spans="1:12" x14ac:dyDescent="0.25">
      <c r="A41" s="2">
        <v>2</v>
      </c>
      <c r="B41" s="4">
        <v>60</v>
      </c>
      <c r="C41" s="4">
        <v>39.9</v>
      </c>
      <c r="D41" s="4">
        <v>0</v>
      </c>
      <c r="E41" s="4" t="s">
        <v>11</v>
      </c>
      <c r="F41" s="4" t="s">
        <v>9</v>
      </c>
      <c r="G41" s="4" t="s">
        <v>10</v>
      </c>
      <c r="H41" s="4">
        <v>5115.4472379346953</v>
      </c>
      <c r="I41" s="4">
        <v>4871.8545123187587</v>
      </c>
      <c r="J41" s="2">
        <f>VLOOKUP(A41,Planilha1!A:M,13,0)</f>
        <v>3220.2324129890262</v>
      </c>
      <c r="K41" s="10">
        <f t="shared" si="0"/>
        <v>-1895.2148249456691</v>
      </c>
      <c r="L41" s="10">
        <f t="shared" si="1"/>
        <v>-243.59272561593662</v>
      </c>
    </row>
    <row r="42" spans="1:12" x14ac:dyDescent="0.25">
      <c r="A42" s="2">
        <v>0</v>
      </c>
      <c r="B42" s="4">
        <v>24</v>
      </c>
      <c r="C42" s="4">
        <v>24.6</v>
      </c>
      <c r="D42" s="4">
        <v>0</v>
      </c>
      <c r="E42" s="4" t="s">
        <v>8</v>
      </c>
      <c r="F42" s="4" t="s">
        <v>12</v>
      </c>
      <c r="G42" s="4" t="s">
        <v>15</v>
      </c>
      <c r="H42" s="4">
        <v>2072.8431013415097</v>
      </c>
      <c r="I42" s="4">
        <v>2438.6389427547183</v>
      </c>
      <c r="J42" s="2">
        <f>VLOOKUP(A42,Planilha1!A:M,13,0)</f>
        <v>2511.8220480829059</v>
      </c>
      <c r="K42" s="10">
        <f t="shared" si="0"/>
        <v>438.97894674139616</v>
      </c>
      <c r="L42" s="10">
        <f t="shared" si="1"/>
        <v>365.79584141320856</v>
      </c>
    </row>
    <row r="43" spans="1:12" x14ac:dyDescent="0.25">
      <c r="A43" s="2">
        <v>3</v>
      </c>
      <c r="B43" s="4">
        <v>31</v>
      </c>
      <c r="C43" s="4">
        <v>36.6</v>
      </c>
      <c r="D43" s="4">
        <v>2</v>
      </c>
      <c r="E43" s="4" t="s">
        <v>8</v>
      </c>
      <c r="F43" s="4" t="s">
        <v>12</v>
      </c>
      <c r="G43" s="4" t="s">
        <v>13</v>
      </c>
      <c r="H43" s="4">
        <v>1751.7273667869426</v>
      </c>
      <c r="I43" s="4">
        <v>2335.6364890492569</v>
      </c>
      <c r="J43" s="2">
        <f>VLOOKUP(A43,Planilha1!A:M,13,0)</f>
        <v>3049.3550806113421</v>
      </c>
      <c r="K43" s="10">
        <f t="shared" si="0"/>
        <v>1297.6277138243995</v>
      </c>
      <c r="L43" s="10">
        <f t="shared" si="1"/>
        <v>583.90912226231421</v>
      </c>
    </row>
    <row r="44" spans="1:12" x14ac:dyDescent="0.25">
      <c r="A44" s="2">
        <v>0</v>
      </c>
      <c r="B44" s="4">
        <v>41</v>
      </c>
      <c r="C44" s="4">
        <v>26</v>
      </c>
      <c r="D44" s="4">
        <v>1</v>
      </c>
      <c r="E44" s="4" t="s">
        <v>11</v>
      </c>
      <c r="F44" s="4" t="s">
        <v>12</v>
      </c>
      <c r="G44" s="4" t="s">
        <v>13</v>
      </c>
      <c r="H44" s="4">
        <v>2499.9994280995807</v>
      </c>
      <c r="I44" s="4">
        <v>2941.1757977642133</v>
      </c>
      <c r="J44" s="2">
        <f>VLOOKUP(A44,Planilha1!A:M,13,0)</f>
        <v>2511.8220480829059</v>
      </c>
      <c r="K44" s="10">
        <f t="shared" si="0"/>
        <v>11.822619983325239</v>
      </c>
      <c r="L44" s="10">
        <f t="shared" si="1"/>
        <v>441.1763696646326</v>
      </c>
    </row>
    <row r="45" spans="1:12" x14ac:dyDescent="0.25">
      <c r="A45" s="2">
        <v>3</v>
      </c>
      <c r="B45" s="4">
        <v>37</v>
      </c>
      <c r="C45" s="4">
        <v>30.8</v>
      </c>
      <c r="D45" s="4">
        <v>2</v>
      </c>
      <c r="E45" s="4" t="s">
        <v>8</v>
      </c>
      <c r="F45" s="4" t="s">
        <v>12</v>
      </c>
      <c r="G45" s="4" t="s">
        <v>13</v>
      </c>
      <c r="H45" s="4">
        <v>2547.9037535150105</v>
      </c>
      <c r="I45" s="4">
        <v>3397.2050046866807</v>
      </c>
      <c r="J45" s="2">
        <f>VLOOKUP(A45,Planilha1!A:M,13,0)</f>
        <v>3049.3550806113421</v>
      </c>
      <c r="K45" s="10">
        <f t="shared" si="0"/>
        <v>501.45132709633162</v>
      </c>
      <c r="L45" s="10">
        <f t="shared" si="1"/>
        <v>849.30125117167017</v>
      </c>
    </row>
    <row r="46" spans="1:12" x14ac:dyDescent="0.25">
      <c r="A46" s="2">
        <v>1</v>
      </c>
      <c r="B46" s="4">
        <v>38</v>
      </c>
      <c r="C46" s="4">
        <v>37.1</v>
      </c>
      <c r="D46" s="4">
        <v>1</v>
      </c>
      <c r="E46" s="4" t="s">
        <v>11</v>
      </c>
      <c r="F46" s="4" t="s">
        <v>12</v>
      </c>
      <c r="G46" s="4" t="s">
        <v>15</v>
      </c>
      <c r="H46" s="4">
        <v>4982.2283606755091</v>
      </c>
      <c r="I46" s="4">
        <v>4744.9793911195338</v>
      </c>
      <c r="J46" s="2">
        <f>VLOOKUP(A46,Planilha1!A:M,13,0)</f>
        <v>6326.3485212104815</v>
      </c>
      <c r="K46" s="10">
        <f t="shared" si="0"/>
        <v>1344.1201605349725</v>
      </c>
      <c r="L46" s="10">
        <f t="shared" si="1"/>
        <v>-237.24896955597524</v>
      </c>
    </row>
    <row r="47" spans="1:12" x14ac:dyDescent="0.25">
      <c r="A47" s="2">
        <v>1</v>
      </c>
      <c r="B47" s="4">
        <v>55</v>
      </c>
      <c r="C47" s="4">
        <v>37.299999999999997</v>
      </c>
      <c r="D47" s="4">
        <v>0</v>
      </c>
      <c r="E47" s="4" t="s">
        <v>11</v>
      </c>
      <c r="F47" s="4" t="s">
        <v>12</v>
      </c>
      <c r="G47" s="4" t="s">
        <v>10</v>
      </c>
      <c r="H47" s="4">
        <v>4668.2767734299141</v>
      </c>
      <c r="I47" s="4">
        <v>4445.977879457063</v>
      </c>
      <c r="J47" s="2">
        <f>VLOOKUP(A47,Planilha1!A:M,13,0)</f>
        <v>6326.3485212104815</v>
      </c>
      <c r="K47" s="10">
        <f t="shared" si="0"/>
        <v>1658.0717477805674</v>
      </c>
      <c r="L47" s="10">
        <f t="shared" si="1"/>
        <v>-222.29889397285115</v>
      </c>
    </row>
    <row r="48" spans="1:12" x14ac:dyDescent="0.25">
      <c r="A48" s="2">
        <v>0</v>
      </c>
      <c r="B48" s="4">
        <v>18</v>
      </c>
      <c r="C48" s="4">
        <v>20.8</v>
      </c>
      <c r="D48" s="4">
        <v>2</v>
      </c>
      <c r="E48" s="4" t="s">
        <v>8</v>
      </c>
      <c r="F48" s="4" t="s">
        <v>12</v>
      </c>
      <c r="G48" s="4" t="s">
        <v>15</v>
      </c>
      <c r="H48" s="4">
        <v>1299.2137487315999</v>
      </c>
      <c r="I48" s="4">
        <v>1528.4867632136479</v>
      </c>
      <c r="J48" s="2">
        <f>VLOOKUP(A48,Planilha1!A:M,13,0)</f>
        <v>2511.8220480829059</v>
      </c>
      <c r="K48" s="10">
        <f t="shared" si="0"/>
        <v>1212.608299351306</v>
      </c>
      <c r="L48" s="10">
        <f t="shared" si="1"/>
        <v>229.27301448204798</v>
      </c>
    </row>
    <row r="49" spans="1:12" x14ac:dyDescent="0.25">
      <c r="A49" s="2">
        <v>0</v>
      </c>
      <c r="B49" s="4">
        <v>28</v>
      </c>
      <c r="C49" s="4">
        <v>21.2</v>
      </c>
      <c r="D49" s="4">
        <v>0</v>
      </c>
      <c r="E49" s="4" t="s">
        <v>8</v>
      </c>
      <c r="F49" s="4" t="s">
        <v>12</v>
      </c>
      <c r="G49" s="4" t="s">
        <v>14</v>
      </c>
      <c r="H49" s="4">
        <v>2186.4894001621292</v>
      </c>
      <c r="I49" s="4">
        <v>2572.3404707789764</v>
      </c>
      <c r="J49" s="2">
        <f>VLOOKUP(A49,Planilha1!A:M,13,0)</f>
        <v>2511.8220480829059</v>
      </c>
      <c r="K49" s="10">
        <f t="shared" si="0"/>
        <v>325.33264792077671</v>
      </c>
      <c r="L49" s="10">
        <f t="shared" si="1"/>
        <v>385.85107061684721</v>
      </c>
    </row>
    <row r="50" spans="1:12" x14ac:dyDescent="0.25">
      <c r="A50" s="2">
        <v>1</v>
      </c>
      <c r="B50" s="4">
        <v>60</v>
      </c>
      <c r="C50" s="4">
        <v>24.5</v>
      </c>
      <c r="D50" s="4">
        <v>0</v>
      </c>
      <c r="E50" s="4" t="s">
        <v>8</v>
      </c>
      <c r="F50" s="4" t="s">
        <v>12</v>
      </c>
      <c r="G50" s="4" t="s">
        <v>13</v>
      </c>
      <c r="H50" s="4">
        <v>4762.9663886199869</v>
      </c>
      <c r="I50" s="4">
        <v>4536.1584653523696</v>
      </c>
      <c r="J50" s="2">
        <f>VLOOKUP(A50,Planilha1!A:M,13,0)</f>
        <v>6326.3485212104815</v>
      </c>
      <c r="K50" s="10">
        <f t="shared" si="0"/>
        <v>1563.3821325904946</v>
      </c>
      <c r="L50" s="10">
        <f t="shared" si="1"/>
        <v>-226.8079232676173</v>
      </c>
    </row>
    <row r="51" spans="1:12" x14ac:dyDescent="0.25">
      <c r="A51" s="2">
        <v>2</v>
      </c>
      <c r="B51" s="4">
        <v>36</v>
      </c>
      <c r="C51" s="4">
        <v>24.8</v>
      </c>
      <c r="D51" s="4">
        <v>1</v>
      </c>
      <c r="E51" s="4" t="s">
        <v>11</v>
      </c>
      <c r="F51" s="4" t="s">
        <v>9</v>
      </c>
      <c r="G51" s="4" t="s">
        <v>13</v>
      </c>
      <c r="H51" s="4">
        <v>1776.7645457412086</v>
      </c>
      <c r="I51" s="4">
        <v>2090.3112302837753</v>
      </c>
      <c r="J51" s="2">
        <f>VLOOKUP(A51,Planilha1!A:M,13,0)</f>
        <v>3220.2324129890262</v>
      </c>
      <c r="K51" s="10">
        <f t="shared" si="0"/>
        <v>1443.4678672478176</v>
      </c>
      <c r="L51" s="10">
        <f t="shared" si="1"/>
        <v>313.54668454256671</v>
      </c>
    </row>
    <row r="52" spans="1:12" x14ac:dyDescent="0.25">
      <c r="A52" s="2">
        <v>0</v>
      </c>
      <c r="B52" s="4">
        <v>18</v>
      </c>
      <c r="C52" s="4">
        <v>20.3</v>
      </c>
      <c r="D52" s="4">
        <v>0</v>
      </c>
      <c r="E52" s="4" t="s">
        <v>8</v>
      </c>
      <c r="F52" s="4" t="s">
        <v>12</v>
      </c>
      <c r="G52" s="4" t="s">
        <v>15</v>
      </c>
      <c r="H52" s="4">
        <v>1867.9946703078481</v>
      </c>
      <c r="I52" s="4">
        <v>2197.6407885974691</v>
      </c>
      <c r="J52" s="2">
        <f>VLOOKUP(A52,Planilha1!A:M,13,0)</f>
        <v>2511.8220480829059</v>
      </c>
      <c r="K52" s="10">
        <f t="shared" si="0"/>
        <v>643.82737777505781</v>
      </c>
      <c r="L52" s="10">
        <f t="shared" si="1"/>
        <v>329.64611828962097</v>
      </c>
    </row>
    <row r="53" spans="1:12" x14ac:dyDescent="0.25">
      <c r="A53" s="2">
        <v>0</v>
      </c>
      <c r="B53" s="4">
        <v>21</v>
      </c>
      <c r="C53" s="4">
        <v>21.4</v>
      </c>
      <c r="D53" s="4">
        <v>2</v>
      </c>
      <c r="E53" s="4" t="s">
        <v>8</v>
      </c>
      <c r="F53" s="4" t="s">
        <v>12</v>
      </c>
      <c r="G53" s="4" t="s">
        <v>14</v>
      </c>
      <c r="H53" s="4">
        <v>1616.530685607062</v>
      </c>
      <c r="I53" s="4">
        <v>1901.8008065965441</v>
      </c>
      <c r="J53" s="2">
        <f>VLOOKUP(A53,Planilha1!A:M,13,0)</f>
        <v>2511.8220480829059</v>
      </c>
      <c r="K53" s="10">
        <f t="shared" si="0"/>
        <v>895.29136247584393</v>
      </c>
      <c r="L53" s="10">
        <f t="shared" si="1"/>
        <v>285.27012098948217</v>
      </c>
    </row>
    <row r="54" spans="1:12" x14ac:dyDescent="0.25">
      <c r="A54" s="2">
        <v>2</v>
      </c>
      <c r="B54" s="4">
        <v>48</v>
      </c>
      <c r="C54" s="4">
        <v>28</v>
      </c>
      <c r="D54" s="4">
        <v>1</v>
      </c>
      <c r="E54" s="4" t="s">
        <v>11</v>
      </c>
      <c r="F54" s="4" t="s">
        <v>9</v>
      </c>
      <c r="G54" s="4" t="s">
        <v>10</v>
      </c>
      <c r="H54" s="4">
        <v>5250.1824531209822</v>
      </c>
      <c r="I54" s="4">
        <v>5000.1737648771277</v>
      </c>
      <c r="J54" s="2">
        <f>VLOOKUP(A54,Planilha1!A:M,13,0)</f>
        <v>3220.2324129890262</v>
      </c>
      <c r="K54" s="10">
        <f t="shared" si="0"/>
        <v>-2029.950040131956</v>
      </c>
      <c r="L54" s="10">
        <f t="shared" si="1"/>
        <v>-250.00868824385452</v>
      </c>
    </row>
    <row r="55" spans="1:12" x14ac:dyDescent="0.25">
      <c r="A55" s="2">
        <v>2</v>
      </c>
      <c r="B55" s="4">
        <v>36</v>
      </c>
      <c r="C55" s="4">
        <v>21.9</v>
      </c>
      <c r="D55" s="4">
        <v>0</v>
      </c>
      <c r="E55" s="4" t="s">
        <v>11</v>
      </c>
      <c r="F55" s="4" t="s">
        <v>9</v>
      </c>
      <c r="G55" s="4" t="s">
        <v>13</v>
      </c>
      <c r="H55" s="4">
        <v>1829.4347356478459</v>
      </c>
      <c r="I55" s="4">
        <v>2152.2761595857014</v>
      </c>
      <c r="J55" s="2">
        <f>VLOOKUP(A55,Planilha1!A:M,13,0)</f>
        <v>3220.2324129890262</v>
      </c>
      <c r="K55" s="10">
        <f t="shared" si="0"/>
        <v>1390.7976773411804</v>
      </c>
      <c r="L55" s="10">
        <f t="shared" si="1"/>
        <v>322.84142393785555</v>
      </c>
    </row>
    <row r="56" spans="1:12" x14ac:dyDescent="0.25">
      <c r="A56" s="2">
        <v>3</v>
      </c>
      <c r="B56" s="4">
        <v>40</v>
      </c>
      <c r="C56" s="4">
        <v>28.7</v>
      </c>
      <c r="D56" s="4">
        <v>3</v>
      </c>
      <c r="E56" s="4" t="s">
        <v>8</v>
      </c>
      <c r="F56" s="4" t="s">
        <v>12</v>
      </c>
      <c r="G56" s="4" t="s">
        <v>14</v>
      </c>
      <c r="H56" s="4">
        <v>1504.5517626502708</v>
      </c>
      <c r="I56" s="4">
        <v>2006.0690168670278</v>
      </c>
      <c r="J56" s="2">
        <f>VLOOKUP(A56,Planilha1!A:M,13,0)</f>
        <v>3049.3550806113421</v>
      </c>
      <c r="K56" s="10">
        <f t="shared" si="0"/>
        <v>1544.8033179610713</v>
      </c>
      <c r="L56" s="10">
        <f t="shared" si="1"/>
        <v>501.51725421675701</v>
      </c>
    </row>
    <row r="57" spans="1:12" x14ac:dyDescent="0.25">
      <c r="A57" s="2">
        <v>2</v>
      </c>
      <c r="B57" s="4">
        <v>58</v>
      </c>
      <c r="C57" s="4">
        <v>37</v>
      </c>
      <c r="D57" s="4">
        <v>2</v>
      </c>
      <c r="E57" s="4" t="s">
        <v>11</v>
      </c>
      <c r="F57" s="4" t="s">
        <v>9</v>
      </c>
      <c r="G57" s="4" t="s">
        <v>14</v>
      </c>
      <c r="H57" s="4">
        <v>1819.0250386424214</v>
      </c>
      <c r="I57" s="4">
        <v>2425.366718189895</v>
      </c>
      <c r="J57" s="2">
        <f>VLOOKUP(A57,Planilha1!A:M,13,0)</f>
        <v>3220.2324129890262</v>
      </c>
      <c r="K57" s="10">
        <f t="shared" si="0"/>
        <v>1401.2073743466049</v>
      </c>
      <c r="L57" s="10">
        <f t="shared" si="1"/>
        <v>606.34167954747363</v>
      </c>
    </row>
    <row r="58" spans="1:12" x14ac:dyDescent="0.25">
      <c r="A58" s="2">
        <v>3</v>
      </c>
      <c r="B58" s="4">
        <v>58</v>
      </c>
      <c r="C58" s="4">
        <v>31.8</v>
      </c>
      <c r="D58" s="4">
        <v>2</v>
      </c>
      <c r="E58" s="4" t="s">
        <v>8</v>
      </c>
      <c r="F58" s="4" t="s">
        <v>12</v>
      </c>
      <c r="G58" s="4" t="s">
        <v>15</v>
      </c>
      <c r="H58" s="4">
        <v>3198.1282518967</v>
      </c>
      <c r="I58" s="4">
        <v>4264.1710025289331</v>
      </c>
      <c r="J58" s="2">
        <f>VLOOKUP(A58,Planilha1!A:M,13,0)</f>
        <v>3049.3550806113421</v>
      </c>
      <c r="K58" s="10">
        <f t="shared" si="0"/>
        <v>-148.77317128535788</v>
      </c>
      <c r="L58" s="10">
        <f t="shared" si="1"/>
        <v>1066.042750632233</v>
      </c>
    </row>
    <row r="59" spans="1:12" x14ac:dyDescent="0.25">
      <c r="A59" s="2">
        <v>2</v>
      </c>
      <c r="B59" s="4">
        <v>18</v>
      </c>
      <c r="C59" s="4">
        <v>24.1</v>
      </c>
      <c r="D59" s="4">
        <v>2</v>
      </c>
      <c r="E59" s="4" t="s">
        <v>11</v>
      </c>
      <c r="F59" s="4" t="s">
        <v>9</v>
      </c>
      <c r="G59" s="4" t="s">
        <v>13</v>
      </c>
      <c r="H59" s="4">
        <v>1795.2045225438158</v>
      </c>
      <c r="I59" s="4">
        <v>2112.0053206397843</v>
      </c>
      <c r="J59" s="2">
        <f>VLOOKUP(A59,Planilha1!A:M,13,0)</f>
        <v>3220.2324129890262</v>
      </c>
      <c r="K59" s="10">
        <f t="shared" si="0"/>
        <v>1425.0278904452105</v>
      </c>
      <c r="L59" s="10">
        <f t="shared" si="1"/>
        <v>316.8007980959685</v>
      </c>
    </row>
    <row r="60" spans="1:12" x14ac:dyDescent="0.25">
      <c r="A60" s="2">
        <v>2</v>
      </c>
      <c r="B60" s="4">
        <v>53</v>
      </c>
      <c r="C60" s="4">
        <v>22.9</v>
      </c>
      <c r="D60" s="4">
        <v>1</v>
      </c>
      <c r="E60" s="4" t="s">
        <v>8</v>
      </c>
      <c r="F60" s="4" t="s">
        <v>9</v>
      </c>
      <c r="G60" s="4" t="s">
        <v>13</v>
      </c>
      <c r="H60" s="4">
        <v>4961.2091866083965</v>
      </c>
      <c r="I60" s="4">
        <v>4724.9611301032364</v>
      </c>
      <c r="J60" s="2">
        <f>VLOOKUP(A60,Planilha1!A:M,13,0)</f>
        <v>3220.2324129890262</v>
      </c>
      <c r="K60" s="10">
        <f t="shared" si="0"/>
        <v>-1740.9767736193703</v>
      </c>
      <c r="L60" s="10">
        <f t="shared" si="1"/>
        <v>-236.24805650516009</v>
      </c>
    </row>
    <row r="61" spans="1:12" x14ac:dyDescent="0.25">
      <c r="A61" s="2">
        <v>3</v>
      </c>
      <c r="B61" s="4">
        <v>34</v>
      </c>
      <c r="C61" s="4">
        <v>37.299999999999997</v>
      </c>
      <c r="D61" s="4">
        <v>2</v>
      </c>
      <c r="E61" s="4" t="s">
        <v>8</v>
      </c>
      <c r="F61" s="4" t="s">
        <v>12</v>
      </c>
      <c r="G61" s="4" t="s">
        <v>14</v>
      </c>
      <c r="H61" s="4">
        <v>2514.0463149952825</v>
      </c>
      <c r="I61" s="4">
        <v>3352.0617533270433</v>
      </c>
      <c r="J61" s="2">
        <f>VLOOKUP(A61,Planilha1!A:M,13,0)</f>
        <v>3049.3550806113421</v>
      </c>
      <c r="K61" s="10">
        <f t="shared" si="0"/>
        <v>535.30876561605965</v>
      </c>
      <c r="L61" s="10">
        <f t="shared" si="1"/>
        <v>838.01543833176083</v>
      </c>
    </row>
    <row r="62" spans="1:12" x14ac:dyDescent="0.25">
      <c r="A62" s="2">
        <v>3</v>
      </c>
      <c r="B62" s="4">
        <v>43</v>
      </c>
      <c r="C62" s="4">
        <v>27.4</v>
      </c>
      <c r="D62" s="4">
        <v>3</v>
      </c>
      <c r="E62" s="4" t="s">
        <v>11</v>
      </c>
      <c r="F62" s="4" t="s">
        <v>12</v>
      </c>
      <c r="G62" s="4" t="s">
        <v>15</v>
      </c>
      <c r="H62" s="4">
        <v>2832.381622210497</v>
      </c>
      <c r="I62" s="4">
        <v>3776.5088296139961</v>
      </c>
      <c r="J62" s="2">
        <f>VLOOKUP(A62,Planilha1!A:M,13,0)</f>
        <v>3049.3550806113421</v>
      </c>
      <c r="K62" s="10">
        <f t="shared" si="0"/>
        <v>216.97345840084517</v>
      </c>
      <c r="L62" s="10">
        <f t="shared" si="1"/>
        <v>944.12720740349914</v>
      </c>
    </row>
    <row r="63" spans="1:12" x14ac:dyDescent="0.25">
      <c r="A63" s="2">
        <v>3</v>
      </c>
      <c r="B63" s="4">
        <v>25</v>
      </c>
      <c r="C63" s="4">
        <v>33.700000000000003</v>
      </c>
      <c r="D63" s="4">
        <v>4</v>
      </c>
      <c r="E63" s="4" t="s">
        <v>11</v>
      </c>
      <c r="F63" s="4" t="s">
        <v>12</v>
      </c>
      <c r="G63" s="4" t="s">
        <v>13</v>
      </c>
      <c r="H63" s="4">
        <v>3307.6697586685068</v>
      </c>
      <c r="I63" s="4">
        <v>4410.2263448913427</v>
      </c>
      <c r="J63" s="2">
        <f>VLOOKUP(A63,Planilha1!A:M,13,0)</f>
        <v>3049.3550806113421</v>
      </c>
      <c r="K63" s="10">
        <f t="shared" si="0"/>
        <v>-258.31467805716466</v>
      </c>
      <c r="L63" s="10">
        <f t="shared" si="1"/>
        <v>1102.5565862228359</v>
      </c>
    </row>
    <row r="64" spans="1:12" x14ac:dyDescent="0.25">
      <c r="A64" s="2">
        <v>1</v>
      </c>
      <c r="B64" s="4">
        <v>64</v>
      </c>
      <c r="C64" s="4">
        <v>24.7</v>
      </c>
      <c r="D64" s="4">
        <v>1</v>
      </c>
      <c r="E64" s="4" t="s">
        <v>11</v>
      </c>
      <c r="F64" s="4" t="s">
        <v>12</v>
      </c>
      <c r="G64" s="4" t="s">
        <v>14</v>
      </c>
      <c r="H64" s="4">
        <v>3562.6555957121759</v>
      </c>
      <c r="I64" s="4">
        <v>3393.0053292496932</v>
      </c>
      <c r="J64" s="2">
        <f>VLOOKUP(A64,Planilha1!A:M,13,0)</f>
        <v>6326.3485212104815</v>
      </c>
      <c r="K64" s="10">
        <f t="shared" si="0"/>
        <v>2763.6929254983056</v>
      </c>
      <c r="L64" s="10">
        <f t="shared" si="1"/>
        <v>-169.6502664624827</v>
      </c>
    </row>
    <row r="65" spans="1:12" x14ac:dyDescent="0.25">
      <c r="A65" s="2">
        <v>0</v>
      </c>
      <c r="B65" s="4">
        <v>28</v>
      </c>
      <c r="C65" s="4">
        <v>22.4</v>
      </c>
      <c r="D65" s="4">
        <v>1</v>
      </c>
      <c r="E65" s="4" t="s">
        <v>8</v>
      </c>
      <c r="F65" s="4" t="s">
        <v>12</v>
      </c>
      <c r="G65" s="4" t="s">
        <v>14</v>
      </c>
      <c r="H65" s="4">
        <v>1895.4256918236044</v>
      </c>
      <c r="I65" s="4">
        <v>2229.9125786160062</v>
      </c>
      <c r="J65" s="2">
        <f>VLOOKUP(A65,Planilha1!A:M,13,0)</f>
        <v>2511.8220480829059</v>
      </c>
      <c r="K65" s="10">
        <f t="shared" si="0"/>
        <v>616.39635625930146</v>
      </c>
      <c r="L65" s="10">
        <f t="shared" si="1"/>
        <v>334.48688679240172</v>
      </c>
    </row>
    <row r="66" spans="1:12" x14ac:dyDescent="0.25">
      <c r="A66" s="2">
        <v>2</v>
      </c>
      <c r="B66" s="4">
        <v>20</v>
      </c>
      <c r="C66" s="4">
        <v>21.6</v>
      </c>
      <c r="D66" s="4">
        <v>0</v>
      </c>
      <c r="E66" s="4" t="s">
        <v>8</v>
      </c>
      <c r="F66" s="4" t="s">
        <v>9</v>
      </c>
      <c r="G66" s="4" t="s">
        <v>14</v>
      </c>
      <c r="H66" s="4">
        <v>2065.9089867552989</v>
      </c>
      <c r="I66" s="4">
        <v>2430.4811608885875</v>
      </c>
      <c r="J66" s="2">
        <f>VLOOKUP(A66,Planilha1!A:M,13,0)</f>
        <v>3220.2324129890262</v>
      </c>
      <c r="K66" s="10">
        <f t="shared" si="0"/>
        <v>1154.3234262337273</v>
      </c>
      <c r="L66" s="10">
        <f t="shared" si="1"/>
        <v>364.57217413328863</v>
      </c>
    </row>
    <row r="67" spans="1:12" x14ac:dyDescent="0.25">
      <c r="A67" s="2">
        <v>0</v>
      </c>
      <c r="B67" s="4">
        <v>19</v>
      </c>
      <c r="C67" s="4">
        <v>20.399999999999999</v>
      </c>
      <c r="D67" s="4">
        <v>0</v>
      </c>
      <c r="E67" s="4" t="s">
        <v>8</v>
      </c>
      <c r="F67" s="4" t="s">
        <v>12</v>
      </c>
      <c r="G67" s="4" t="s">
        <v>10</v>
      </c>
      <c r="H67" s="4">
        <v>1629.2647893933795</v>
      </c>
      <c r="I67" s="4">
        <v>1916.7821051686824</v>
      </c>
      <c r="J67" s="2">
        <f>VLOOKUP(A67,Planilha1!A:M,13,0)</f>
        <v>2511.8220480829059</v>
      </c>
      <c r="K67" s="10">
        <f t="shared" ref="K67:K130" si="2">J67-H67</f>
        <v>882.55725868952641</v>
      </c>
      <c r="L67" s="10">
        <f t="shared" ref="L67:L130" si="3">I67-H67</f>
        <v>287.5173157753029</v>
      </c>
    </row>
    <row r="68" spans="1:12" x14ac:dyDescent="0.25">
      <c r="A68" s="2">
        <v>1</v>
      </c>
      <c r="B68" s="4">
        <v>61</v>
      </c>
      <c r="C68" s="4">
        <v>39.1</v>
      </c>
      <c r="D68" s="4">
        <v>2</v>
      </c>
      <c r="E68" s="4" t="s">
        <v>8</v>
      </c>
      <c r="F68" s="4" t="s">
        <v>12</v>
      </c>
      <c r="G68" s="4" t="s">
        <v>10</v>
      </c>
      <c r="H68" s="4">
        <v>5013.1239081717858</v>
      </c>
      <c r="I68" s="4">
        <v>4774.4037220683686</v>
      </c>
      <c r="J68" s="2">
        <f>VLOOKUP(A68,Planilha1!A:M,13,0)</f>
        <v>6326.3485212104815</v>
      </c>
      <c r="K68" s="10">
        <f t="shared" si="2"/>
        <v>1313.2246130386957</v>
      </c>
      <c r="L68" s="10">
        <f t="shared" si="3"/>
        <v>-238.72018610341729</v>
      </c>
    </row>
    <row r="69" spans="1:12" x14ac:dyDescent="0.25">
      <c r="A69" s="2">
        <v>0</v>
      </c>
      <c r="B69" s="4">
        <v>40</v>
      </c>
      <c r="C69" s="4">
        <v>20.9</v>
      </c>
      <c r="D69" s="4">
        <v>1</v>
      </c>
      <c r="E69" s="4" t="s">
        <v>11</v>
      </c>
      <c r="F69" s="4" t="s">
        <v>12</v>
      </c>
      <c r="G69" s="4" t="s">
        <v>14</v>
      </c>
      <c r="H69" s="4">
        <v>1669.3929529135407</v>
      </c>
      <c r="I69" s="4">
        <v>1963.9917093100489</v>
      </c>
      <c r="J69" s="2">
        <f>VLOOKUP(A69,Planilha1!A:M,13,0)</f>
        <v>2511.8220480829059</v>
      </c>
      <c r="K69" s="10">
        <f t="shared" si="2"/>
        <v>842.42909516936516</v>
      </c>
      <c r="L69" s="10">
        <f t="shared" si="3"/>
        <v>294.59875639650818</v>
      </c>
    </row>
    <row r="70" spans="1:12" x14ac:dyDescent="0.25">
      <c r="A70" s="2">
        <v>1</v>
      </c>
      <c r="B70" s="4">
        <v>40</v>
      </c>
      <c r="C70" s="4">
        <v>36.200000000000003</v>
      </c>
      <c r="D70" s="4">
        <v>0</v>
      </c>
      <c r="E70" s="4" t="s">
        <v>8</v>
      </c>
      <c r="F70" s="4" t="s">
        <v>12</v>
      </c>
      <c r="G70" s="4" t="s">
        <v>13</v>
      </c>
      <c r="H70" s="4">
        <v>3925.3280224449527</v>
      </c>
      <c r="I70" s="4">
        <v>3738.4076404237658</v>
      </c>
      <c r="J70" s="2">
        <f>VLOOKUP(A70,Planilha1!A:M,13,0)</f>
        <v>6326.3485212104815</v>
      </c>
      <c r="K70" s="10">
        <f t="shared" si="2"/>
        <v>2401.0204987655288</v>
      </c>
      <c r="L70" s="10">
        <f t="shared" si="3"/>
        <v>-186.92038202118692</v>
      </c>
    </row>
    <row r="71" spans="1:12" x14ac:dyDescent="0.25">
      <c r="A71" s="2">
        <v>2</v>
      </c>
      <c r="B71" s="4">
        <v>28</v>
      </c>
      <c r="C71" s="4">
        <v>24</v>
      </c>
      <c r="D71" s="4">
        <v>3</v>
      </c>
      <c r="E71" s="4" t="s">
        <v>11</v>
      </c>
      <c r="F71" s="4" t="s">
        <v>9</v>
      </c>
      <c r="G71" s="4" t="s">
        <v>13</v>
      </c>
      <c r="H71" s="4">
        <v>1735.1687744677088</v>
      </c>
      <c r="I71" s="4">
        <v>2313.5583659569452</v>
      </c>
      <c r="J71" s="2">
        <f>VLOOKUP(A71,Planilha1!A:M,13,0)</f>
        <v>3220.2324129890262</v>
      </c>
      <c r="K71" s="10">
        <f t="shared" si="2"/>
        <v>1485.0636385213174</v>
      </c>
      <c r="L71" s="10">
        <f t="shared" si="3"/>
        <v>578.38959148923641</v>
      </c>
    </row>
    <row r="72" spans="1:12" x14ac:dyDescent="0.25">
      <c r="A72" s="2">
        <v>2</v>
      </c>
      <c r="B72" s="4">
        <v>27</v>
      </c>
      <c r="C72" s="4">
        <v>24.4</v>
      </c>
      <c r="D72" s="4">
        <v>0</v>
      </c>
      <c r="E72" s="4" t="s">
        <v>8</v>
      </c>
      <c r="F72" s="4" t="s">
        <v>9</v>
      </c>
      <c r="G72" s="4" t="s">
        <v>13</v>
      </c>
      <c r="H72" s="4">
        <v>2298.9199001383977</v>
      </c>
      <c r="I72" s="4">
        <v>2704.6116472216449</v>
      </c>
      <c r="J72" s="2">
        <f>VLOOKUP(A72,Planilha1!A:M,13,0)</f>
        <v>3220.2324129890262</v>
      </c>
      <c r="K72" s="10">
        <f t="shared" si="2"/>
        <v>921.31251285062854</v>
      </c>
      <c r="L72" s="10">
        <f t="shared" si="3"/>
        <v>405.69174708324726</v>
      </c>
    </row>
    <row r="73" spans="1:12" x14ac:dyDescent="0.25">
      <c r="A73" s="2">
        <v>3</v>
      </c>
      <c r="B73" s="4">
        <v>31</v>
      </c>
      <c r="C73" s="4">
        <v>28.5</v>
      </c>
      <c r="D73" s="4">
        <v>5</v>
      </c>
      <c r="E73" s="4" t="s">
        <v>11</v>
      </c>
      <c r="F73" s="4" t="s">
        <v>12</v>
      </c>
      <c r="G73" s="4" t="s">
        <v>15</v>
      </c>
      <c r="H73" s="4">
        <v>2639.4314364261386</v>
      </c>
      <c r="I73" s="4">
        <v>3519.2419152348516</v>
      </c>
      <c r="J73" s="2">
        <f>VLOOKUP(A73,Planilha1!A:M,13,0)</f>
        <v>3049.3550806113421</v>
      </c>
      <c r="K73" s="10">
        <f t="shared" si="2"/>
        <v>409.92364418520356</v>
      </c>
      <c r="L73" s="10">
        <f t="shared" si="3"/>
        <v>879.81047880871301</v>
      </c>
    </row>
    <row r="74" spans="1:12" x14ac:dyDescent="0.25">
      <c r="A74" s="2">
        <v>3</v>
      </c>
      <c r="B74" s="4">
        <v>53</v>
      </c>
      <c r="C74" s="4">
        <v>28.1</v>
      </c>
      <c r="D74" s="4">
        <v>3</v>
      </c>
      <c r="E74" s="4" t="s">
        <v>8</v>
      </c>
      <c r="F74" s="4" t="s">
        <v>12</v>
      </c>
      <c r="G74" s="4" t="s">
        <v>10</v>
      </c>
      <c r="H74" s="4">
        <v>2384.620782474095</v>
      </c>
      <c r="I74" s="4">
        <v>3179.4943766321267</v>
      </c>
      <c r="J74" s="2">
        <f>VLOOKUP(A74,Planilha1!A:M,13,0)</f>
        <v>3049.3550806113421</v>
      </c>
      <c r="K74" s="10">
        <f t="shared" si="2"/>
        <v>664.73429813724715</v>
      </c>
      <c r="L74" s="10">
        <f t="shared" si="3"/>
        <v>794.87359415803166</v>
      </c>
    </row>
    <row r="75" spans="1:12" x14ac:dyDescent="0.25">
      <c r="A75" s="2">
        <v>1</v>
      </c>
      <c r="B75" s="4">
        <v>58</v>
      </c>
      <c r="C75" s="4">
        <v>32</v>
      </c>
      <c r="D75" s="4">
        <v>1</v>
      </c>
      <c r="E75" s="4" t="s">
        <v>11</v>
      </c>
      <c r="F75" s="4" t="s">
        <v>12</v>
      </c>
      <c r="G75" s="4" t="s">
        <v>13</v>
      </c>
      <c r="H75" s="4">
        <v>4093.5770448389408</v>
      </c>
      <c r="I75" s="4">
        <v>3898.6448046085166</v>
      </c>
      <c r="J75" s="2">
        <f>VLOOKUP(A75,Planilha1!A:M,13,0)</f>
        <v>6326.3485212104815</v>
      </c>
      <c r="K75" s="10">
        <f t="shared" si="2"/>
        <v>2232.7714763715408</v>
      </c>
      <c r="L75" s="10">
        <f t="shared" si="3"/>
        <v>-194.93224023042421</v>
      </c>
    </row>
    <row r="76" spans="1:12" x14ac:dyDescent="0.25">
      <c r="A76" s="2">
        <v>3</v>
      </c>
      <c r="B76" s="4">
        <v>44</v>
      </c>
      <c r="C76" s="4">
        <v>27.4</v>
      </c>
      <c r="D76" s="4">
        <v>2</v>
      </c>
      <c r="E76" s="4" t="s">
        <v>11</v>
      </c>
      <c r="F76" s="4" t="s">
        <v>12</v>
      </c>
      <c r="G76" s="4" t="s">
        <v>10</v>
      </c>
      <c r="H76" s="4">
        <v>3054.7916269971856</v>
      </c>
      <c r="I76" s="4">
        <v>4073.0555026629145</v>
      </c>
      <c r="J76" s="2">
        <f>VLOOKUP(A76,Planilha1!A:M,13,0)</f>
        <v>3049.3550806113421</v>
      </c>
      <c r="K76" s="10">
        <f t="shared" si="2"/>
        <v>-5.436546385843485</v>
      </c>
      <c r="L76" s="10">
        <f t="shared" si="3"/>
        <v>1018.2638756657288</v>
      </c>
    </row>
    <row r="77" spans="1:12" x14ac:dyDescent="0.25">
      <c r="A77" s="2">
        <v>1</v>
      </c>
      <c r="B77" s="4">
        <v>57</v>
      </c>
      <c r="C77" s="4">
        <v>34</v>
      </c>
      <c r="D77" s="4">
        <v>0</v>
      </c>
      <c r="E77" s="4" t="s">
        <v>11</v>
      </c>
      <c r="F77" s="4" t="s">
        <v>12</v>
      </c>
      <c r="G77" s="4" t="s">
        <v>14</v>
      </c>
      <c r="H77" s="4">
        <v>4520.1796923530137</v>
      </c>
      <c r="I77" s="4">
        <v>4304.9330403362046</v>
      </c>
      <c r="J77" s="2">
        <f>VLOOKUP(A77,Planilha1!A:M,13,0)</f>
        <v>6326.3485212104815</v>
      </c>
      <c r="K77" s="10">
        <f t="shared" si="2"/>
        <v>1806.1688288574678</v>
      </c>
      <c r="L77" s="10">
        <f t="shared" si="3"/>
        <v>-215.24665201680909</v>
      </c>
    </row>
    <row r="78" spans="1:12" x14ac:dyDescent="0.25">
      <c r="A78" s="2">
        <v>0</v>
      </c>
      <c r="B78" s="4">
        <v>29</v>
      </c>
      <c r="C78" s="4">
        <v>22.4</v>
      </c>
      <c r="D78" s="4">
        <v>1</v>
      </c>
      <c r="E78" s="4" t="s">
        <v>8</v>
      </c>
      <c r="F78" s="4" t="s">
        <v>12</v>
      </c>
      <c r="G78" s="4" t="s">
        <v>13</v>
      </c>
      <c r="H78" s="4">
        <v>2198.0489927980111</v>
      </c>
      <c r="I78" s="4">
        <v>2585.9399915270728</v>
      </c>
      <c r="J78" s="2">
        <f>VLOOKUP(A78,Planilha1!A:M,13,0)</f>
        <v>2511.8220480829059</v>
      </c>
      <c r="K78" s="10">
        <f t="shared" si="2"/>
        <v>313.77305528489478</v>
      </c>
      <c r="L78" s="10">
        <f t="shared" si="3"/>
        <v>387.89099872906172</v>
      </c>
    </row>
    <row r="79" spans="1:12" x14ac:dyDescent="0.25">
      <c r="A79" s="2">
        <v>0</v>
      </c>
      <c r="B79" s="4">
        <v>21</v>
      </c>
      <c r="C79" s="4">
        <v>23.1</v>
      </c>
      <c r="D79" s="4">
        <v>0</v>
      </c>
      <c r="E79" s="4" t="s">
        <v>11</v>
      </c>
      <c r="F79" s="4" t="s">
        <v>12</v>
      </c>
      <c r="G79" s="4" t="s">
        <v>13</v>
      </c>
      <c r="H79" s="4">
        <v>1654.3787686317801</v>
      </c>
      <c r="I79" s="4">
        <v>1946.3279630962127</v>
      </c>
      <c r="J79" s="2">
        <f>VLOOKUP(A79,Planilha1!A:M,13,0)</f>
        <v>2511.8220480829059</v>
      </c>
      <c r="K79" s="10">
        <f t="shared" si="2"/>
        <v>857.44327945112582</v>
      </c>
      <c r="L79" s="10">
        <f t="shared" si="3"/>
        <v>291.94919446443259</v>
      </c>
    </row>
    <row r="80" spans="1:12" x14ac:dyDescent="0.25">
      <c r="A80" s="2">
        <v>0</v>
      </c>
      <c r="B80" s="4">
        <v>22</v>
      </c>
      <c r="C80" s="4">
        <v>24.8</v>
      </c>
      <c r="D80" s="4">
        <v>0</v>
      </c>
      <c r="E80" s="4" t="s">
        <v>8</v>
      </c>
      <c r="F80" s="4" t="s">
        <v>12</v>
      </c>
      <c r="G80" s="4" t="s">
        <v>15</v>
      </c>
      <c r="H80" s="4">
        <v>2131.4700186081218</v>
      </c>
      <c r="I80" s="4">
        <v>2507.6117865977913</v>
      </c>
      <c r="J80" s="2">
        <f>VLOOKUP(A80,Planilha1!A:M,13,0)</f>
        <v>2511.8220480829059</v>
      </c>
      <c r="K80" s="10">
        <f t="shared" si="2"/>
        <v>380.3520294747841</v>
      </c>
      <c r="L80" s="10">
        <f t="shared" si="3"/>
        <v>376.14176798966946</v>
      </c>
    </row>
    <row r="81" spans="1:12" x14ac:dyDescent="0.25">
      <c r="A81" s="2">
        <v>1</v>
      </c>
      <c r="B81" s="4">
        <v>41</v>
      </c>
      <c r="C81" s="4">
        <v>33</v>
      </c>
      <c r="D81" s="4">
        <v>0</v>
      </c>
      <c r="E81" s="4" t="s">
        <v>8</v>
      </c>
      <c r="F81" s="4" t="s">
        <v>12</v>
      </c>
      <c r="G81" s="4" t="s">
        <v>14</v>
      </c>
      <c r="H81" s="4">
        <v>4218.2329620094015</v>
      </c>
      <c r="I81" s="4">
        <v>4017.364725723241</v>
      </c>
      <c r="J81" s="2">
        <f>VLOOKUP(A81,Planilha1!A:M,13,0)</f>
        <v>6326.3485212104815</v>
      </c>
      <c r="K81" s="10">
        <f t="shared" si="2"/>
        <v>2108.11555920108</v>
      </c>
      <c r="L81" s="10">
        <f t="shared" si="3"/>
        <v>-200.86823628616048</v>
      </c>
    </row>
    <row r="82" spans="1:12" x14ac:dyDescent="0.25">
      <c r="A82" s="2">
        <v>0</v>
      </c>
      <c r="B82" s="4">
        <v>31</v>
      </c>
      <c r="C82" s="4">
        <v>21.9</v>
      </c>
      <c r="D82" s="4">
        <v>1</v>
      </c>
      <c r="E82" s="4" t="s">
        <v>11</v>
      </c>
      <c r="F82" s="4" t="s">
        <v>12</v>
      </c>
      <c r="G82" s="4" t="s">
        <v>15</v>
      </c>
      <c r="H82" s="4">
        <v>1852.3027237544995</v>
      </c>
      <c r="I82" s="4">
        <v>2179.1796750052945</v>
      </c>
      <c r="J82" s="2">
        <f>VLOOKUP(A82,Planilha1!A:M,13,0)</f>
        <v>2511.8220480829059</v>
      </c>
      <c r="K82" s="10">
        <f t="shared" si="2"/>
        <v>659.51932432840636</v>
      </c>
      <c r="L82" s="10">
        <f t="shared" si="3"/>
        <v>326.87695125079495</v>
      </c>
    </row>
    <row r="83" spans="1:12" x14ac:dyDescent="0.25">
      <c r="A83" s="2">
        <v>1</v>
      </c>
      <c r="B83" s="4">
        <v>45</v>
      </c>
      <c r="C83" s="4">
        <v>38.299999999999997</v>
      </c>
      <c r="D83" s="4">
        <v>0</v>
      </c>
      <c r="E83" s="4" t="s">
        <v>8</v>
      </c>
      <c r="F83" s="4" t="s">
        <v>12</v>
      </c>
      <c r="G83" s="4" t="s">
        <v>15</v>
      </c>
      <c r="H83" s="4">
        <v>5461.0297786820292</v>
      </c>
      <c r="I83" s="4">
        <v>5200.9807416019339</v>
      </c>
      <c r="J83" s="2">
        <f>VLOOKUP(A83,Planilha1!A:M,13,0)</f>
        <v>6326.3485212104815</v>
      </c>
      <c r="K83" s="10">
        <f t="shared" si="2"/>
        <v>865.31874252845228</v>
      </c>
      <c r="L83" s="10">
        <f t="shared" si="3"/>
        <v>-260.04903708009533</v>
      </c>
    </row>
    <row r="84" spans="1:12" x14ac:dyDescent="0.25">
      <c r="A84" s="2">
        <v>2</v>
      </c>
      <c r="B84" s="4">
        <v>22</v>
      </c>
      <c r="C84" s="4">
        <v>20.3</v>
      </c>
      <c r="D84" s="4">
        <v>1</v>
      </c>
      <c r="E84" s="4" t="s">
        <v>11</v>
      </c>
      <c r="F84" s="4" t="s">
        <v>9</v>
      </c>
      <c r="G84" s="4" t="s">
        <v>13</v>
      </c>
      <c r="H84" s="4">
        <v>2325.2038013019805</v>
      </c>
      <c r="I84" s="4">
        <v>2735.5338838846837</v>
      </c>
      <c r="J84" s="2">
        <f>VLOOKUP(A84,Planilha1!A:M,13,0)</f>
        <v>3220.2324129890262</v>
      </c>
      <c r="K84" s="10">
        <f t="shared" si="2"/>
        <v>895.02861168704567</v>
      </c>
      <c r="L84" s="10">
        <f t="shared" si="3"/>
        <v>410.3300825827032</v>
      </c>
    </row>
    <row r="85" spans="1:12" x14ac:dyDescent="0.25">
      <c r="A85" s="2">
        <v>3</v>
      </c>
      <c r="B85" s="4">
        <v>48</v>
      </c>
      <c r="C85" s="4">
        <v>41.2</v>
      </c>
      <c r="D85" s="4">
        <v>4</v>
      </c>
      <c r="E85" s="4" t="s">
        <v>8</v>
      </c>
      <c r="F85" s="4" t="s">
        <v>12</v>
      </c>
      <c r="G85" s="4" t="s">
        <v>14</v>
      </c>
      <c r="H85" s="4">
        <v>1785.2296005369521</v>
      </c>
      <c r="I85" s="4">
        <v>2380.3061340492695</v>
      </c>
      <c r="J85" s="2">
        <f>VLOOKUP(A85,Planilha1!A:M,13,0)</f>
        <v>3049.3550806113421</v>
      </c>
      <c r="K85" s="10">
        <f t="shared" si="2"/>
        <v>1264.12548007439</v>
      </c>
      <c r="L85" s="10">
        <f t="shared" si="3"/>
        <v>595.07653351231738</v>
      </c>
    </row>
    <row r="86" spans="1:12" x14ac:dyDescent="0.25">
      <c r="A86" s="2">
        <v>2</v>
      </c>
      <c r="B86" s="4">
        <v>37</v>
      </c>
      <c r="C86" s="4">
        <v>34.799999999999997</v>
      </c>
      <c r="D86" s="4">
        <v>2</v>
      </c>
      <c r="E86" s="4" t="s">
        <v>8</v>
      </c>
      <c r="F86" s="4" t="s">
        <v>9</v>
      </c>
      <c r="G86" s="4" t="s">
        <v>10</v>
      </c>
      <c r="H86" s="4">
        <v>1918.7870407750931</v>
      </c>
      <c r="I86" s="4">
        <v>2558.3827210334575</v>
      </c>
      <c r="J86" s="2">
        <f>VLOOKUP(A86,Planilha1!A:M,13,0)</f>
        <v>3220.2324129890262</v>
      </c>
      <c r="K86" s="10">
        <f t="shared" si="2"/>
        <v>1301.4453722139331</v>
      </c>
      <c r="L86" s="10">
        <f t="shared" si="3"/>
        <v>639.59568025836438</v>
      </c>
    </row>
    <row r="87" spans="1:12" x14ac:dyDescent="0.25">
      <c r="A87" s="2">
        <v>2</v>
      </c>
      <c r="B87" s="4">
        <v>45</v>
      </c>
      <c r="C87" s="4">
        <v>22.9</v>
      </c>
      <c r="D87" s="4">
        <v>2</v>
      </c>
      <c r="E87" s="4" t="s">
        <v>11</v>
      </c>
      <c r="F87" s="4" t="s">
        <v>9</v>
      </c>
      <c r="G87" s="4" t="s">
        <v>14</v>
      </c>
      <c r="H87" s="4">
        <v>1349.0817945203366</v>
      </c>
      <c r="I87" s="4">
        <v>1798.7757260271155</v>
      </c>
      <c r="J87" s="2">
        <f>VLOOKUP(A87,Planilha1!A:M,13,0)</f>
        <v>3220.2324129890262</v>
      </c>
      <c r="K87" s="10">
        <f t="shared" si="2"/>
        <v>1871.1506184686896</v>
      </c>
      <c r="L87" s="10">
        <f t="shared" si="3"/>
        <v>449.69393150677888</v>
      </c>
    </row>
    <row r="88" spans="1:12" x14ac:dyDescent="0.25">
      <c r="A88" s="2">
        <v>2</v>
      </c>
      <c r="B88" s="4">
        <v>57</v>
      </c>
      <c r="C88" s="4">
        <v>31.2</v>
      </c>
      <c r="D88" s="4">
        <v>0</v>
      </c>
      <c r="E88" s="4" t="s">
        <v>8</v>
      </c>
      <c r="F88" s="4" t="s">
        <v>9</v>
      </c>
      <c r="G88" s="4" t="s">
        <v>14</v>
      </c>
      <c r="H88" s="4">
        <v>4682.6202892593656</v>
      </c>
      <c r="I88" s="4">
        <v>4459.6383707232062</v>
      </c>
      <c r="J88" s="2">
        <f>VLOOKUP(A88,Planilha1!A:M,13,0)</f>
        <v>3220.2324129890262</v>
      </c>
      <c r="K88" s="10">
        <f t="shared" si="2"/>
        <v>-1462.3878762703393</v>
      </c>
      <c r="L88" s="10">
        <f t="shared" si="3"/>
        <v>-222.98191853615936</v>
      </c>
    </row>
    <row r="89" spans="1:12" x14ac:dyDescent="0.25">
      <c r="A89" s="2">
        <v>1</v>
      </c>
      <c r="B89" s="4">
        <v>56</v>
      </c>
      <c r="C89" s="4">
        <v>27.2</v>
      </c>
      <c r="D89" s="4">
        <v>0</v>
      </c>
      <c r="E89" s="4" t="s">
        <v>8</v>
      </c>
      <c r="F89" s="4" t="s">
        <v>12</v>
      </c>
      <c r="G89" s="4" t="s">
        <v>10</v>
      </c>
      <c r="H89" s="4">
        <v>5688.3468893807276</v>
      </c>
      <c r="I89" s="4">
        <v>5417.4732279816471</v>
      </c>
      <c r="J89" s="2">
        <f>VLOOKUP(A89,Planilha1!A:M,13,0)</f>
        <v>6326.3485212104815</v>
      </c>
      <c r="K89" s="10">
        <f t="shared" si="2"/>
        <v>638.00163182975393</v>
      </c>
      <c r="L89" s="10">
        <f t="shared" si="3"/>
        <v>-270.87366139908045</v>
      </c>
    </row>
    <row r="90" spans="1:12" x14ac:dyDescent="0.25">
      <c r="A90" s="2">
        <v>1</v>
      </c>
      <c r="B90" s="4">
        <v>46</v>
      </c>
      <c r="C90" s="4">
        <v>27.7</v>
      </c>
      <c r="D90" s="4">
        <v>0</v>
      </c>
      <c r="E90" s="4" t="s">
        <v>8</v>
      </c>
      <c r="F90" s="4" t="s">
        <v>12</v>
      </c>
      <c r="G90" s="4" t="s">
        <v>14</v>
      </c>
      <c r="H90" s="4">
        <v>4398.7505345334012</v>
      </c>
      <c r="I90" s="4">
        <v>4189.2862233651458</v>
      </c>
      <c r="J90" s="2">
        <f>VLOOKUP(A90,Planilha1!A:M,13,0)</f>
        <v>6326.3485212104815</v>
      </c>
      <c r="K90" s="10">
        <f t="shared" si="2"/>
        <v>1927.5979866770804</v>
      </c>
      <c r="L90" s="10">
        <f t="shared" si="3"/>
        <v>-209.46431116825534</v>
      </c>
    </row>
    <row r="91" spans="1:12" x14ac:dyDescent="0.25">
      <c r="A91" s="2">
        <v>1</v>
      </c>
      <c r="B91" s="4">
        <v>55</v>
      </c>
      <c r="C91" s="4">
        <v>27</v>
      </c>
      <c r="D91" s="4">
        <v>0</v>
      </c>
      <c r="E91" s="4" t="s">
        <v>8</v>
      </c>
      <c r="F91" s="4" t="s">
        <v>12</v>
      </c>
      <c r="G91" s="4" t="s">
        <v>14</v>
      </c>
      <c r="H91" s="4">
        <v>5388.6136888826732</v>
      </c>
      <c r="I91" s="4">
        <v>5132.013037031119</v>
      </c>
      <c r="J91" s="2">
        <f>VLOOKUP(A91,Planilha1!A:M,13,0)</f>
        <v>6326.3485212104815</v>
      </c>
      <c r="K91" s="10">
        <f t="shared" si="2"/>
        <v>937.73483232780836</v>
      </c>
      <c r="L91" s="10">
        <f t="shared" si="3"/>
        <v>-256.60065185155418</v>
      </c>
    </row>
    <row r="92" spans="1:12" x14ac:dyDescent="0.25">
      <c r="A92" s="2">
        <v>0</v>
      </c>
      <c r="B92" s="4">
        <v>21</v>
      </c>
      <c r="C92" s="4">
        <v>20.399999999999999</v>
      </c>
      <c r="D92" s="4">
        <v>0</v>
      </c>
      <c r="E92" s="4" t="s">
        <v>8</v>
      </c>
      <c r="F92" s="4" t="s">
        <v>12</v>
      </c>
      <c r="G92" s="4" t="s">
        <v>13</v>
      </c>
      <c r="H92" s="4">
        <v>1985.2144381811302</v>
      </c>
      <c r="I92" s="4">
        <v>2335.5463978601538</v>
      </c>
      <c r="J92" s="2">
        <f>VLOOKUP(A92,Planilha1!A:M,13,0)</f>
        <v>2511.8220480829059</v>
      </c>
      <c r="K92" s="10">
        <f t="shared" si="2"/>
        <v>526.60760990177573</v>
      </c>
      <c r="L92" s="10">
        <f t="shared" si="3"/>
        <v>350.33195967902361</v>
      </c>
    </row>
    <row r="93" spans="1:12" x14ac:dyDescent="0.25">
      <c r="A93" s="2">
        <v>1</v>
      </c>
      <c r="B93" s="4">
        <v>53</v>
      </c>
      <c r="C93" s="4">
        <v>24.8</v>
      </c>
      <c r="D93" s="4">
        <v>1</v>
      </c>
      <c r="E93" s="4" t="s">
        <v>8</v>
      </c>
      <c r="F93" s="4" t="s">
        <v>12</v>
      </c>
      <c r="G93" s="4" t="s">
        <v>14</v>
      </c>
      <c r="H93" s="4">
        <v>4468.7099785149176</v>
      </c>
      <c r="I93" s="4">
        <v>4255.9142652523042</v>
      </c>
      <c r="J93" s="2">
        <f>VLOOKUP(A93,Planilha1!A:M,13,0)</f>
        <v>6326.3485212104815</v>
      </c>
      <c r="K93" s="10">
        <f t="shared" si="2"/>
        <v>1857.638542695564</v>
      </c>
      <c r="L93" s="10">
        <f t="shared" si="3"/>
        <v>-212.79571326261339</v>
      </c>
    </row>
    <row r="94" spans="1:12" x14ac:dyDescent="0.25">
      <c r="A94" s="2">
        <v>2</v>
      </c>
      <c r="B94" s="4">
        <v>59</v>
      </c>
      <c r="C94" s="4">
        <v>29.8</v>
      </c>
      <c r="D94" s="4">
        <v>3</v>
      </c>
      <c r="E94" s="4" t="s">
        <v>11</v>
      </c>
      <c r="F94" s="4" t="s">
        <v>9</v>
      </c>
      <c r="G94" s="4" t="s">
        <v>15</v>
      </c>
      <c r="H94" s="4">
        <v>1979.1236414412906</v>
      </c>
      <c r="I94" s="4">
        <v>2638.8315219217207</v>
      </c>
      <c r="J94" s="2">
        <f>VLOOKUP(A94,Planilha1!A:M,13,0)</f>
        <v>3220.2324129890262</v>
      </c>
      <c r="K94" s="10">
        <f t="shared" si="2"/>
        <v>1241.1087715477356</v>
      </c>
      <c r="L94" s="10">
        <f t="shared" si="3"/>
        <v>659.70788048043005</v>
      </c>
    </row>
    <row r="95" spans="1:12" x14ac:dyDescent="0.25">
      <c r="A95" s="2">
        <v>3</v>
      </c>
      <c r="B95" s="4">
        <v>35</v>
      </c>
      <c r="C95" s="4">
        <v>34.799999999999997</v>
      </c>
      <c r="D95" s="4">
        <v>2</v>
      </c>
      <c r="E95" s="4" t="s">
        <v>11</v>
      </c>
      <c r="F95" s="4" t="s">
        <v>12</v>
      </c>
      <c r="G95" s="4" t="s">
        <v>14</v>
      </c>
      <c r="H95" s="4">
        <v>1420.8993791965383</v>
      </c>
      <c r="I95" s="4">
        <v>1894.5325055953845</v>
      </c>
      <c r="J95" s="2">
        <f>VLOOKUP(A95,Planilha1!A:M,13,0)</f>
        <v>3049.3550806113421</v>
      </c>
      <c r="K95" s="10">
        <f t="shared" si="2"/>
        <v>1628.4557014148038</v>
      </c>
      <c r="L95" s="10">
        <f t="shared" si="3"/>
        <v>473.63312639884612</v>
      </c>
    </row>
    <row r="96" spans="1:12" x14ac:dyDescent="0.25">
      <c r="A96" s="2">
        <v>2</v>
      </c>
      <c r="B96" s="4">
        <v>64</v>
      </c>
      <c r="C96" s="4">
        <v>31.3</v>
      </c>
      <c r="D96" s="4">
        <v>2</v>
      </c>
      <c r="E96" s="4" t="s">
        <v>8</v>
      </c>
      <c r="F96" s="4" t="s">
        <v>9</v>
      </c>
      <c r="G96" s="4" t="s">
        <v>10</v>
      </c>
      <c r="H96" s="4">
        <v>4226.0672002939264</v>
      </c>
      <c r="I96" s="4">
        <v>4024.825905041836</v>
      </c>
      <c r="J96" s="2">
        <f>VLOOKUP(A96,Planilha1!A:M,13,0)</f>
        <v>3220.2324129890262</v>
      </c>
      <c r="K96" s="10">
        <f t="shared" si="2"/>
        <v>-1005.8347873049001</v>
      </c>
      <c r="L96" s="10">
        <f t="shared" si="3"/>
        <v>-201.24129525209037</v>
      </c>
    </row>
    <row r="97" spans="1:12" x14ac:dyDescent="0.25">
      <c r="A97" s="2">
        <v>0</v>
      </c>
      <c r="B97" s="4">
        <v>28</v>
      </c>
      <c r="C97" s="4">
        <v>22.3</v>
      </c>
      <c r="D97" s="4">
        <v>1</v>
      </c>
      <c r="E97" s="4" t="s">
        <v>8</v>
      </c>
      <c r="F97" s="4" t="s">
        <v>12</v>
      </c>
      <c r="G97" s="4" t="s">
        <v>13</v>
      </c>
      <c r="H97" s="4">
        <v>2491.2687980162623</v>
      </c>
      <c r="I97" s="4">
        <v>2930.9044682544268</v>
      </c>
      <c r="J97" s="2">
        <f>VLOOKUP(A97,Planilha1!A:M,13,0)</f>
        <v>2511.8220480829059</v>
      </c>
      <c r="K97" s="10">
        <f t="shared" si="2"/>
        <v>20.553250066643614</v>
      </c>
      <c r="L97" s="10">
        <f t="shared" si="3"/>
        <v>439.63567023816449</v>
      </c>
    </row>
    <row r="98" spans="1:12" x14ac:dyDescent="0.25">
      <c r="A98" s="2">
        <v>3</v>
      </c>
      <c r="B98" s="4">
        <v>54</v>
      </c>
      <c r="C98" s="4">
        <v>30.8</v>
      </c>
      <c r="D98" s="4">
        <v>3</v>
      </c>
      <c r="E98" s="4" t="s">
        <v>8</v>
      </c>
      <c r="F98" s="4" t="s">
        <v>12</v>
      </c>
      <c r="G98" s="4" t="s">
        <v>10</v>
      </c>
      <c r="H98" s="4">
        <v>2714.9978669848169</v>
      </c>
      <c r="I98" s="4">
        <v>3619.9971559797559</v>
      </c>
      <c r="J98" s="2">
        <f>VLOOKUP(A98,Planilha1!A:M,13,0)</f>
        <v>3049.3550806113421</v>
      </c>
      <c r="K98" s="10">
        <f t="shared" si="2"/>
        <v>334.35721362652521</v>
      </c>
      <c r="L98" s="10">
        <f t="shared" si="3"/>
        <v>904.99928899493898</v>
      </c>
    </row>
    <row r="99" spans="1:12" x14ac:dyDescent="0.25">
      <c r="A99" s="2">
        <v>1</v>
      </c>
      <c r="B99" s="4">
        <v>55</v>
      </c>
      <c r="C99" s="4">
        <v>38.299999999999997</v>
      </c>
      <c r="D99" s="4">
        <v>0</v>
      </c>
      <c r="E99" s="4" t="s">
        <v>11</v>
      </c>
      <c r="F99" s="4" t="s">
        <v>12</v>
      </c>
      <c r="G99" s="4" t="s">
        <v>13</v>
      </c>
      <c r="H99" s="4">
        <v>4573.8199875381815</v>
      </c>
      <c r="I99" s="4">
        <v>4356.0190357506508</v>
      </c>
      <c r="J99" s="2">
        <f>VLOOKUP(A99,Planilha1!A:M,13,0)</f>
        <v>6326.3485212104815</v>
      </c>
      <c r="K99" s="10">
        <f t="shared" si="2"/>
        <v>1752.5285336723</v>
      </c>
      <c r="L99" s="10">
        <f t="shared" si="3"/>
        <v>-217.80095178753072</v>
      </c>
    </row>
    <row r="100" spans="1:12" x14ac:dyDescent="0.25">
      <c r="A100" s="2">
        <v>2</v>
      </c>
      <c r="B100" s="4">
        <v>56</v>
      </c>
      <c r="C100" s="4">
        <v>20</v>
      </c>
      <c r="D100" s="4">
        <v>0</v>
      </c>
      <c r="E100" s="4" t="s">
        <v>11</v>
      </c>
      <c r="F100" s="4" t="s">
        <v>9</v>
      </c>
      <c r="G100" s="4" t="s">
        <v>15</v>
      </c>
      <c r="H100" s="4">
        <v>3762.4287431027205</v>
      </c>
      <c r="I100" s="4">
        <v>3583.2654696216405</v>
      </c>
      <c r="J100" s="2">
        <f>VLOOKUP(A100,Planilha1!A:M,13,0)</f>
        <v>3220.2324129890262</v>
      </c>
      <c r="K100" s="10">
        <f t="shared" si="2"/>
        <v>-542.19633011369433</v>
      </c>
      <c r="L100" s="10">
        <f t="shared" si="3"/>
        <v>-179.16327348108007</v>
      </c>
    </row>
    <row r="101" spans="1:12" x14ac:dyDescent="0.25">
      <c r="A101" s="2">
        <v>2</v>
      </c>
      <c r="B101" s="4">
        <v>38</v>
      </c>
      <c r="C101" s="4">
        <v>24.4</v>
      </c>
      <c r="D101" s="4">
        <v>0</v>
      </c>
      <c r="E101" s="4" t="s">
        <v>11</v>
      </c>
      <c r="F101" s="4" t="s">
        <v>9</v>
      </c>
      <c r="G101" s="4" t="s">
        <v>10</v>
      </c>
      <c r="H101" s="4">
        <v>1862.1234597222269</v>
      </c>
      <c r="I101" s="4">
        <v>2190.7334820261499</v>
      </c>
      <c r="J101" s="2">
        <f>VLOOKUP(A101,Planilha1!A:M,13,0)</f>
        <v>3220.2324129890262</v>
      </c>
      <c r="K101" s="10">
        <f t="shared" si="2"/>
        <v>1358.1089532667993</v>
      </c>
      <c r="L101" s="10">
        <f t="shared" si="3"/>
        <v>328.61002230392296</v>
      </c>
    </row>
    <row r="102" spans="1:12" x14ac:dyDescent="0.25">
      <c r="A102" s="2">
        <v>1</v>
      </c>
      <c r="B102" s="4">
        <v>41</v>
      </c>
      <c r="C102" s="4">
        <v>31.6</v>
      </c>
      <c r="D102" s="4">
        <v>0</v>
      </c>
      <c r="E102" s="4" t="s">
        <v>8</v>
      </c>
      <c r="F102" s="4" t="s">
        <v>12</v>
      </c>
      <c r="G102" s="4" t="s">
        <v>10</v>
      </c>
      <c r="H102" s="4">
        <v>5540.1331975344701</v>
      </c>
      <c r="I102" s="4">
        <v>5276.3173309852109</v>
      </c>
      <c r="J102" s="2">
        <f>VLOOKUP(A102,Planilha1!A:M,13,0)</f>
        <v>6326.3485212104815</v>
      </c>
      <c r="K102" s="10">
        <f t="shared" si="2"/>
        <v>786.21532367601139</v>
      </c>
      <c r="L102" s="10">
        <f t="shared" si="3"/>
        <v>-263.81586654925923</v>
      </c>
    </row>
    <row r="103" spans="1:12" x14ac:dyDescent="0.25">
      <c r="A103" s="2">
        <v>0</v>
      </c>
      <c r="B103" s="4">
        <v>30</v>
      </c>
      <c r="C103" s="4">
        <v>24</v>
      </c>
      <c r="D103" s="4">
        <v>0</v>
      </c>
      <c r="E103" s="4" t="s">
        <v>11</v>
      </c>
      <c r="F103" s="4" t="s">
        <v>12</v>
      </c>
      <c r="G103" s="4" t="s">
        <v>15</v>
      </c>
      <c r="H103" s="4">
        <v>1725.6873835924328</v>
      </c>
      <c r="I103" s="4">
        <v>2030.2204512852159</v>
      </c>
      <c r="J103" s="2">
        <f>VLOOKUP(A103,Planilha1!A:M,13,0)</f>
        <v>2511.8220480829059</v>
      </c>
      <c r="K103" s="10">
        <f t="shared" si="2"/>
        <v>786.13466449047314</v>
      </c>
      <c r="L103" s="10">
        <f t="shared" si="3"/>
        <v>304.53306769278311</v>
      </c>
    </row>
    <row r="104" spans="1:12" x14ac:dyDescent="0.25">
      <c r="A104" s="2">
        <v>0</v>
      </c>
      <c r="B104" s="4">
        <v>18</v>
      </c>
      <c r="C104" s="4">
        <v>25.8</v>
      </c>
      <c r="D104" s="4">
        <v>0</v>
      </c>
      <c r="E104" s="4" t="s">
        <v>8</v>
      </c>
      <c r="F104" s="4" t="s">
        <v>12</v>
      </c>
      <c r="G104" s="4" t="s">
        <v>15</v>
      </c>
      <c r="H104" s="4">
        <v>1676.5324466235249</v>
      </c>
      <c r="I104" s="4">
        <v>1972.3911136747361</v>
      </c>
      <c r="J104" s="2">
        <f>VLOOKUP(A104,Planilha1!A:M,13,0)</f>
        <v>2511.8220480829059</v>
      </c>
      <c r="K104" s="10">
        <f t="shared" si="2"/>
        <v>835.28960145938095</v>
      </c>
      <c r="L104" s="10">
        <f t="shared" si="3"/>
        <v>295.85866705121111</v>
      </c>
    </row>
    <row r="105" spans="1:12" x14ac:dyDescent="0.25">
      <c r="A105" s="2">
        <v>2</v>
      </c>
      <c r="B105" s="4">
        <v>61</v>
      </c>
      <c r="C105" s="4">
        <v>29.9</v>
      </c>
      <c r="D105" s="4">
        <v>3</v>
      </c>
      <c r="E105" s="4" t="s">
        <v>8</v>
      </c>
      <c r="F105" s="4" t="s">
        <v>9</v>
      </c>
      <c r="G105" s="4" t="s">
        <v>13</v>
      </c>
      <c r="H105" s="4">
        <v>2065.7567231661196</v>
      </c>
      <c r="I105" s="4">
        <v>2754.3422975548265</v>
      </c>
      <c r="J105" s="2">
        <f>VLOOKUP(A105,Planilha1!A:M,13,0)</f>
        <v>3220.2324129890262</v>
      </c>
      <c r="K105" s="10">
        <f t="shared" si="2"/>
        <v>1154.4756898229066</v>
      </c>
      <c r="L105" s="10">
        <f t="shared" si="3"/>
        <v>688.58557438870685</v>
      </c>
    </row>
    <row r="106" spans="1:12" x14ac:dyDescent="0.25">
      <c r="A106" s="2">
        <v>0</v>
      </c>
      <c r="B106" s="4">
        <v>34</v>
      </c>
      <c r="C106" s="4">
        <v>24</v>
      </c>
      <c r="D106" s="4">
        <v>1</v>
      </c>
      <c r="E106" s="4" t="s">
        <v>8</v>
      </c>
      <c r="F106" s="4" t="s">
        <v>12</v>
      </c>
      <c r="G106" s="4" t="s">
        <v>10</v>
      </c>
      <c r="H106" s="4">
        <v>1629.5980714431037</v>
      </c>
      <c r="I106" s="4">
        <v>1917.1742016977698</v>
      </c>
      <c r="J106" s="2">
        <f>VLOOKUP(A106,Planilha1!A:M,13,0)</f>
        <v>2511.8220480829059</v>
      </c>
      <c r="K106" s="10">
        <f t="shared" si="2"/>
        <v>882.22397663980223</v>
      </c>
      <c r="L106" s="10">
        <f t="shared" si="3"/>
        <v>287.57613025466617</v>
      </c>
    </row>
    <row r="107" spans="1:12" x14ac:dyDescent="0.25">
      <c r="A107" s="2">
        <v>2</v>
      </c>
      <c r="B107" s="4">
        <v>20</v>
      </c>
      <c r="C107" s="4">
        <v>20.3</v>
      </c>
      <c r="D107" s="4">
        <v>1</v>
      </c>
      <c r="E107" s="4" t="s">
        <v>11</v>
      </c>
      <c r="F107" s="4" t="s">
        <v>9</v>
      </c>
      <c r="G107" s="4" t="s">
        <v>14</v>
      </c>
      <c r="H107" s="4">
        <v>1412.5701369134324</v>
      </c>
      <c r="I107" s="4">
        <v>1661.8472198981565</v>
      </c>
      <c r="J107" s="2">
        <f>VLOOKUP(A107,Planilha1!A:M,13,0)</f>
        <v>3220.2324129890262</v>
      </c>
      <c r="K107" s="10">
        <f t="shared" si="2"/>
        <v>1807.6622760755938</v>
      </c>
      <c r="L107" s="10">
        <f t="shared" si="3"/>
        <v>249.27708298472407</v>
      </c>
    </row>
    <row r="108" spans="1:12" x14ac:dyDescent="0.25">
      <c r="A108" s="2">
        <v>0</v>
      </c>
      <c r="B108" s="4">
        <v>19</v>
      </c>
      <c r="C108" s="4">
        <v>21.4</v>
      </c>
      <c r="D108" s="4">
        <v>1</v>
      </c>
      <c r="E108" s="4" t="s">
        <v>8</v>
      </c>
      <c r="F108" s="4" t="s">
        <v>12</v>
      </c>
      <c r="G108" s="4" t="s">
        <v>10</v>
      </c>
      <c r="H108" s="4">
        <v>1732.0546304830134</v>
      </c>
      <c r="I108" s="4">
        <v>2037.7113299800167</v>
      </c>
      <c r="J108" s="2">
        <f>VLOOKUP(A108,Planilha1!A:M,13,0)</f>
        <v>2511.8220480829059</v>
      </c>
      <c r="K108" s="10">
        <f t="shared" si="2"/>
        <v>779.7674175998925</v>
      </c>
      <c r="L108" s="10">
        <f t="shared" si="3"/>
        <v>305.65669949700327</v>
      </c>
    </row>
    <row r="109" spans="1:12" x14ac:dyDescent="0.25">
      <c r="A109" s="2">
        <v>3</v>
      </c>
      <c r="B109" s="4">
        <v>26</v>
      </c>
      <c r="C109" s="4">
        <v>30.9</v>
      </c>
      <c r="D109" s="4">
        <v>2</v>
      </c>
      <c r="E109" s="4" t="s">
        <v>11</v>
      </c>
      <c r="F109" s="4" t="s">
        <v>12</v>
      </c>
      <c r="G109" s="4" t="s">
        <v>14</v>
      </c>
      <c r="H109" s="4">
        <v>2517.0728798476548</v>
      </c>
      <c r="I109" s="4">
        <v>3356.0971731302066</v>
      </c>
      <c r="J109" s="2">
        <f>VLOOKUP(A109,Planilha1!A:M,13,0)</f>
        <v>3049.3550806113421</v>
      </c>
      <c r="K109" s="10">
        <f t="shared" si="2"/>
        <v>532.28220076368734</v>
      </c>
      <c r="L109" s="10">
        <f t="shared" si="3"/>
        <v>839.02429328255175</v>
      </c>
    </row>
    <row r="110" spans="1:12" x14ac:dyDescent="0.25">
      <c r="A110" s="2">
        <v>0</v>
      </c>
      <c r="B110" s="4">
        <v>29</v>
      </c>
      <c r="C110" s="4">
        <v>21</v>
      </c>
      <c r="D110" s="4">
        <v>0</v>
      </c>
      <c r="E110" s="4" t="s">
        <v>11</v>
      </c>
      <c r="F110" s="4" t="s">
        <v>12</v>
      </c>
      <c r="G110" s="4" t="s">
        <v>13</v>
      </c>
      <c r="H110" s="4">
        <v>1946.3102372709895</v>
      </c>
      <c r="I110" s="4">
        <v>2289.7767497305767</v>
      </c>
      <c r="J110" s="2">
        <f>VLOOKUP(A110,Planilha1!A:M,13,0)</f>
        <v>2511.8220480829059</v>
      </c>
      <c r="K110" s="10">
        <f t="shared" si="2"/>
        <v>565.51181081191635</v>
      </c>
      <c r="L110" s="10">
        <f t="shared" si="3"/>
        <v>343.46651245958719</v>
      </c>
    </row>
    <row r="111" spans="1:12" x14ac:dyDescent="0.25">
      <c r="A111" s="2">
        <v>2</v>
      </c>
      <c r="B111" s="4">
        <v>63</v>
      </c>
      <c r="C111" s="4">
        <v>35.1</v>
      </c>
      <c r="D111" s="4">
        <v>0</v>
      </c>
      <c r="E111" s="4" t="s">
        <v>11</v>
      </c>
      <c r="F111" s="4" t="s">
        <v>9</v>
      </c>
      <c r="G111" s="4" t="s">
        <v>13</v>
      </c>
      <c r="H111" s="4">
        <v>5365.5387078461554</v>
      </c>
      <c r="I111" s="4">
        <v>5110.0368646153875</v>
      </c>
      <c r="J111" s="2">
        <f>VLOOKUP(A111,Planilha1!A:M,13,0)</f>
        <v>3220.2324129890262</v>
      </c>
      <c r="K111" s="10">
        <f t="shared" si="2"/>
        <v>-2145.3062948571292</v>
      </c>
      <c r="L111" s="10">
        <f t="shared" si="3"/>
        <v>-255.50184323076792</v>
      </c>
    </row>
    <row r="112" spans="1:12" x14ac:dyDescent="0.25">
      <c r="A112" s="2">
        <v>1</v>
      </c>
      <c r="B112" s="4">
        <v>54</v>
      </c>
      <c r="C112" s="4">
        <v>33.6</v>
      </c>
      <c r="D112" s="4">
        <v>1</v>
      </c>
      <c r="E112" s="4" t="s">
        <v>11</v>
      </c>
      <c r="F112" s="4" t="s">
        <v>12</v>
      </c>
      <c r="G112" s="4" t="s">
        <v>14</v>
      </c>
      <c r="H112" s="4">
        <v>5580.8013011362837</v>
      </c>
      <c r="I112" s="4">
        <v>5315.0488582250346</v>
      </c>
      <c r="J112" s="2">
        <f>VLOOKUP(A112,Planilha1!A:M,13,0)</f>
        <v>6326.3485212104815</v>
      </c>
      <c r="K112" s="10">
        <f t="shared" si="2"/>
        <v>745.54722007419787</v>
      </c>
      <c r="L112" s="10">
        <f t="shared" si="3"/>
        <v>-265.75244291124909</v>
      </c>
    </row>
    <row r="113" spans="1:12" x14ac:dyDescent="0.25">
      <c r="A113" s="2">
        <v>3</v>
      </c>
      <c r="B113" s="4">
        <v>55</v>
      </c>
      <c r="C113" s="4">
        <v>29.7</v>
      </c>
      <c r="D113" s="4">
        <v>2</v>
      </c>
      <c r="E113" s="4" t="s">
        <v>8</v>
      </c>
      <c r="F113" s="4" t="s">
        <v>12</v>
      </c>
      <c r="G113" s="4" t="s">
        <v>10</v>
      </c>
      <c r="H113" s="4">
        <v>1595.0953825058127</v>
      </c>
      <c r="I113" s="4">
        <v>2126.7938433410836</v>
      </c>
      <c r="J113" s="2">
        <f>VLOOKUP(A113,Planilha1!A:M,13,0)</f>
        <v>3049.3550806113421</v>
      </c>
      <c r="K113" s="10">
        <f t="shared" si="2"/>
        <v>1454.2596981055294</v>
      </c>
      <c r="L113" s="10">
        <f t="shared" si="3"/>
        <v>531.69846083527091</v>
      </c>
    </row>
    <row r="114" spans="1:12" x14ac:dyDescent="0.25">
      <c r="A114" s="2">
        <v>0</v>
      </c>
      <c r="B114" s="4">
        <v>37</v>
      </c>
      <c r="C114" s="4">
        <v>20</v>
      </c>
      <c r="D114" s="4">
        <v>0</v>
      </c>
      <c r="E114" s="4" t="s">
        <v>11</v>
      </c>
      <c r="F114" s="4" t="s">
        <v>12</v>
      </c>
      <c r="G114" s="4" t="s">
        <v>10</v>
      </c>
      <c r="H114" s="4">
        <v>2231.2468538328712</v>
      </c>
      <c r="I114" s="4">
        <v>2624.9962986269084</v>
      </c>
      <c r="J114" s="2">
        <f>VLOOKUP(A114,Planilha1!A:M,13,0)</f>
        <v>2511.8220480829059</v>
      </c>
      <c r="K114" s="10">
        <f t="shared" si="2"/>
        <v>280.57519425003466</v>
      </c>
      <c r="L114" s="10">
        <f t="shared" si="3"/>
        <v>393.74944479403712</v>
      </c>
    </row>
    <row r="115" spans="1:12" x14ac:dyDescent="0.25">
      <c r="A115" s="2">
        <v>0</v>
      </c>
      <c r="B115" s="4">
        <v>21</v>
      </c>
      <c r="C115" s="4">
        <v>21.4</v>
      </c>
      <c r="D115" s="4">
        <v>0</v>
      </c>
      <c r="E115" s="4" t="s">
        <v>8</v>
      </c>
      <c r="F115" s="4" t="s">
        <v>12</v>
      </c>
      <c r="G115" s="4" t="s">
        <v>14</v>
      </c>
      <c r="H115" s="4">
        <v>1634.5056560994026</v>
      </c>
      <c r="I115" s="4">
        <v>1922.9478307051802</v>
      </c>
      <c r="J115" s="2">
        <f>VLOOKUP(A115,Planilha1!A:M,13,0)</f>
        <v>2511.8220480829059</v>
      </c>
      <c r="K115" s="10">
        <f t="shared" si="2"/>
        <v>877.31639198350331</v>
      </c>
      <c r="L115" s="10">
        <f t="shared" si="3"/>
        <v>288.44217460577761</v>
      </c>
    </row>
    <row r="116" spans="1:12" x14ac:dyDescent="0.25">
      <c r="A116" s="2">
        <v>3</v>
      </c>
      <c r="B116" s="4">
        <v>52</v>
      </c>
      <c r="C116" s="4">
        <v>32.200000000000003</v>
      </c>
      <c r="D116" s="4">
        <v>3</v>
      </c>
      <c r="E116" s="4" t="s">
        <v>11</v>
      </c>
      <c r="F116" s="4" t="s">
        <v>12</v>
      </c>
      <c r="G116" s="4" t="s">
        <v>15</v>
      </c>
      <c r="H116" s="4">
        <v>1847.5148385060888</v>
      </c>
      <c r="I116" s="4">
        <v>2463.3531180081186</v>
      </c>
      <c r="J116" s="2">
        <f>VLOOKUP(A116,Planilha1!A:M,13,0)</f>
        <v>3049.3550806113421</v>
      </c>
      <c r="K116" s="10">
        <f t="shared" si="2"/>
        <v>1201.8402421052533</v>
      </c>
      <c r="L116" s="10">
        <f t="shared" si="3"/>
        <v>615.83827950202976</v>
      </c>
    </row>
    <row r="117" spans="1:12" x14ac:dyDescent="0.25">
      <c r="A117" s="2">
        <v>1</v>
      </c>
      <c r="B117" s="4">
        <v>60</v>
      </c>
      <c r="C117" s="4">
        <v>28.6</v>
      </c>
      <c r="D117" s="4">
        <v>0</v>
      </c>
      <c r="E117" s="4" t="s">
        <v>11</v>
      </c>
      <c r="F117" s="4" t="s">
        <v>12</v>
      </c>
      <c r="G117" s="4" t="s">
        <v>15</v>
      </c>
      <c r="H117" s="4">
        <v>3863.1244188612586</v>
      </c>
      <c r="I117" s="4">
        <v>3679.1661132012005</v>
      </c>
      <c r="J117" s="2">
        <f>VLOOKUP(A117,Planilha1!A:M,13,0)</f>
        <v>6326.3485212104815</v>
      </c>
      <c r="K117" s="10">
        <f t="shared" si="2"/>
        <v>2463.2241023492229</v>
      </c>
      <c r="L117" s="10">
        <f t="shared" si="3"/>
        <v>-183.95830566005816</v>
      </c>
    </row>
    <row r="118" spans="1:12" x14ac:dyDescent="0.25">
      <c r="A118" s="2">
        <v>1</v>
      </c>
      <c r="B118" s="4">
        <v>58</v>
      </c>
      <c r="C118" s="4">
        <v>49.1</v>
      </c>
      <c r="D118" s="4">
        <v>0</v>
      </c>
      <c r="E118" s="4" t="s">
        <v>11</v>
      </c>
      <c r="F118" s="4" t="s">
        <v>12</v>
      </c>
      <c r="G118" s="4" t="s">
        <v>13</v>
      </c>
      <c r="H118" s="4">
        <v>4631.2842510199162</v>
      </c>
      <c r="I118" s="4">
        <v>4410.7469057332546</v>
      </c>
      <c r="J118" s="2">
        <f>VLOOKUP(A118,Planilha1!A:M,13,0)</f>
        <v>6326.3485212104815</v>
      </c>
      <c r="K118" s="10">
        <f t="shared" si="2"/>
        <v>1695.0642701905654</v>
      </c>
      <c r="L118" s="10">
        <f t="shared" si="3"/>
        <v>-220.53734528666155</v>
      </c>
    </row>
    <row r="119" spans="1:12" x14ac:dyDescent="0.25">
      <c r="A119" s="2">
        <v>2</v>
      </c>
      <c r="B119" s="4">
        <v>29</v>
      </c>
      <c r="C119" s="4">
        <v>22.1</v>
      </c>
      <c r="D119" s="4">
        <v>1</v>
      </c>
      <c r="E119" s="4" t="s">
        <v>8</v>
      </c>
      <c r="F119" s="4" t="s">
        <v>9</v>
      </c>
      <c r="G119" s="4" t="s">
        <v>13</v>
      </c>
      <c r="H119" s="4">
        <v>1568.6876054440893</v>
      </c>
      <c r="I119" s="4">
        <v>1845.5148299342236</v>
      </c>
      <c r="J119" s="2">
        <f>VLOOKUP(A119,Planilha1!A:M,13,0)</f>
        <v>3220.2324129890262</v>
      </c>
      <c r="K119" s="10">
        <f t="shared" si="2"/>
        <v>1651.5448075449369</v>
      </c>
      <c r="L119" s="10">
        <f t="shared" si="3"/>
        <v>276.82722449013431</v>
      </c>
    </row>
    <row r="120" spans="1:12" x14ac:dyDescent="0.25">
      <c r="A120" s="2">
        <v>1</v>
      </c>
      <c r="B120" s="4">
        <v>49</v>
      </c>
      <c r="C120" s="4">
        <v>27.2</v>
      </c>
      <c r="D120" s="4">
        <v>0</v>
      </c>
      <c r="E120" s="4" t="s">
        <v>8</v>
      </c>
      <c r="F120" s="4" t="s">
        <v>12</v>
      </c>
      <c r="G120" s="4" t="s">
        <v>13</v>
      </c>
      <c r="H120" s="4">
        <v>5204.7794364033334</v>
      </c>
      <c r="I120" s="4">
        <v>4956.9327965746052</v>
      </c>
      <c r="J120" s="2">
        <f>VLOOKUP(A120,Planilha1!A:M,13,0)</f>
        <v>6326.3485212104815</v>
      </c>
      <c r="K120" s="10">
        <f t="shared" si="2"/>
        <v>1121.5690848071481</v>
      </c>
      <c r="L120" s="10">
        <f t="shared" si="3"/>
        <v>-247.84663982872826</v>
      </c>
    </row>
    <row r="121" spans="1:12" x14ac:dyDescent="0.25">
      <c r="A121" s="2">
        <v>0</v>
      </c>
      <c r="B121" s="4">
        <v>37</v>
      </c>
      <c r="C121" s="4">
        <v>23.4</v>
      </c>
      <c r="D121" s="4">
        <v>2</v>
      </c>
      <c r="E121" s="4" t="s">
        <v>8</v>
      </c>
      <c r="F121" s="4" t="s">
        <v>12</v>
      </c>
      <c r="G121" s="4" t="s">
        <v>14</v>
      </c>
      <c r="H121" s="4">
        <v>2895.0414667981422</v>
      </c>
      <c r="I121" s="4">
        <v>3405.9311374095805</v>
      </c>
      <c r="J121" s="2">
        <f>VLOOKUP(A121,Planilha1!A:M,13,0)</f>
        <v>2511.8220480829059</v>
      </c>
      <c r="K121" s="10">
        <f t="shared" si="2"/>
        <v>-383.21941871523632</v>
      </c>
      <c r="L121" s="10">
        <f t="shared" si="3"/>
        <v>510.88967061143831</v>
      </c>
    </row>
    <row r="122" spans="1:12" x14ac:dyDescent="0.25">
      <c r="A122" s="2">
        <v>3</v>
      </c>
      <c r="B122" s="4">
        <v>44</v>
      </c>
      <c r="C122" s="4">
        <v>37.1</v>
      </c>
      <c r="D122" s="4">
        <v>2</v>
      </c>
      <c r="E122" s="4" t="s">
        <v>11</v>
      </c>
      <c r="F122" s="4" t="s">
        <v>12</v>
      </c>
      <c r="G122" s="4" t="s">
        <v>10</v>
      </c>
      <c r="H122" s="4">
        <v>1561.2965288556022</v>
      </c>
      <c r="I122" s="4">
        <v>2081.728705140803</v>
      </c>
      <c r="J122" s="2">
        <f>VLOOKUP(A122,Planilha1!A:M,13,0)</f>
        <v>3049.3550806113421</v>
      </c>
      <c r="K122" s="10">
        <f t="shared" si="2"/>
        <v>1488.0585517557399</v>
      </c>
      <c r="L122" s="10">
        <f t="shared" si="3"/>
        <v>520.43217628520074</v>
      </c>
    </row>
    <row r="123" spans="1:12" x14ac:dyDescent="0.25">
      <c r="A123" s="2">
        <v>0</v>
      </c>
      <c r="B123" s="4">
        <v>18</v>
      </c>
      <c r="C123" s="4">
        <v>22.6</v>
      </c>
      <c r="D123" s="4">
        <v>0</v>
      </c>
      <c r="E123" s="4" t="s">
        <v>11</v>
      </c>
      <c r="F123" s="4" t="s">
        <v>12</v>
      </c>
      <c r="G123" s="4" t="s">
        <v>15</v>
      </c>
      <c r="H123" s="4">
        <v>1580.2486739536644</v>
      </c>
      <c r="I123" s="4">
        <v>1859.1160870043118</v>
      </c>
      <c r="J123" s="2">
        <f>VLOOKUP(A123,Planilha1!A:M,13,0)</f>
        <v>2511.8220480829059</v>
      </c>
      <c r="K123" s="10">
        <f t="shared" si="2"/>
        <v>931.57337412924153</v>
      </c>
      <c r="L123" s="10">
        <f t="shared" si="3"/>
        <v>278.86741305064743</v>
      </c>
    </row>
    <row r="124" spans="1:12" x14ac:dyDescent="0.25">
      <c r="A124" s="2">
        <v>0</v>
      </c>
      <c r="B124" s="4">
        <v>20</v>
      </c>
      <c r="C124" s="4">
        <v>25.7</v>
      </c>
      <c r="D124" s="4">
        <v>0</v>
      </c>
      <c r="E124" s="4" t="s">
        <v>8</v>
      </c>
      <c r="F124" s="4" t="s">
        <v>12</v>
      </c>
      <c r="G124" s="4" t="s">
        <v>14</v>
      </c>
      <c r="H124" s="4">
        <v>2042.4378524175274</v>
      </c>
      <c r="I124" s="4">
        <v>2402.8680616676802</v>
      </c>
      <c r="J124" s="2">
        <f>VLOOKUP(A124,Planilha1!A:M,13,0)</f>
        <v>2511.8220480829059</v>
      </c>
      <c r="K124" s="10">
        <f t="shared" si="2"/>
        <v>469.38419566537846</v>
      </c>
      <c r="L124" s="10">
        <f t="shared" si="3"/>
        <v>360.43020925015276</v>
      </c>
    </row>
    <row r="125" spans="1:12" x14ac:dyDescent="0.25">
      <c r="A125" s="2">
        <v>2</v>
      </c>
      <c r="B125" s="4">
        <v>44</v>
      </c>
      <c r="C125" s="4">
        <v>31.4</v>
      </c>
      <c r="D125" s="4">
        <v>1</v>
      </c>
      <c r="E125" s="4" t="s">
        <v>11</v>
      </c>
      <c r="F125" s="4" t="s">
        <v>9</v>
      </c>
      <c r="G125" s="4" t="s">
        <v>15</v>
      </c>
      <c r="H125" s="4">
        <v>4791.3637556242538</v>
      </c>
      <c r="I125" s="4">
        <v>4563.2035767850048</v>
      </c>
      <c r="J125" s="2">
        <f>VLOOKUP(A125,Planilha1!A:M,13,0)</f>
        <v>3220.2324129890262</v>
      </c>
      <c r="K125" s="10">
        <f t="shared" si="2"/>
        <v>-1571.1313426352276</v>
      </c>
      <c r="L125" s="10">
        <f t="shared" si="3"/>
        <v>-228.16017883924906</v>
      </c>
    </row>
    <row r="126" spans="1:12" x14ac:dyDescent="0.25">
      <c r="A126" s="2">
        <v>3</v>
      </c>
      <c r="B126" s="4">
        <v>47</v>
      </c>
      <c r="C126" s="4">
        <v>33.9</v>
      </c>
      <c r="D126" s="4">
        <v>3</v>
      </c>
      <c r="E126" s="4" t="s">
        <v>8</v>
      </c>
      <c r="F126" s="4" t="s">
        <v>12</v>
      </c>
      <c r="G126" s="4" t="s">
        <v>14</v>
      </c>
      <c r="H126" s="4">
        <v>1950.1737489336697</v>
      </c>
      <c r="I126" s="4">
        <v>2600.2316652448931</v>
      </c>
      <c r="J126" s="2">
        <f>VLOOKUP(A126,Planilha1!A:M,13,0)</f>
        <v>3049.3550806113421</v>
      </c>
      <c r="K126" s="10">
        <f t="shared" si="2"/>
        <v>1099.1813316776725</v>
      </c>
      <c r="L126" s="10">
        <f t="shared" si="3"/>
        <v>650.05791631122338</v>
      </c>
    </row>
    <row r="127" spans="1:12" x14ac:dyDescent="0.25">
      <c r="A127" s="2">
        <v>0</v>
      </c>
      <c r="B127" s="4">
        <v>26</v>
      </c>
      <c r="C127" s="4">
        <v>23</v>
      </c>
      <c r="D127" s="4">
        <v>0</v>
      </c>
      <c r="E127" s="4" t="s">
        <v>8</v>
      </c>
      <c r="F127" s="4" t="s">
        <v>12</v>
      </c>
      <c r="G127" s="4" t="s">
        <v>15</v>
      </c>
      <c r="H127" s="4">
        <v>1920.7795768585809</v>
      </c>
      <c r="I127" s="4">
        <v>2259.7406786571546</v>
      </c>
      <c r="J127" s="2">
        <f>VLOOKUP(A127,Planilha1!A:M,13,0)</f>
        <v>2511.8220480829059</v>
      </c>
      <c r="K127" s="10">
        <f t="shared" si="2"/>
        <v>591.04247122432503</v>
      </c>
      <c r="L127" s="10">
        <f t="shared" si="3"/>
        <v>338.96110179857374</v>
      </c>
    </row>
    <row r="128" spans="1:12" x14ac:dyDescent="0.25">
      <c r="A128" s="2">
        <v>2</v>
      </c>
      <c r="B128" s="4">
        <v>19</v>
      </c>
      <c r="C128" s="4">
        <v>26</v>
      </c>
      <c r="D128" s="4">
        <v>0</v>
      </c>
      <c r="E128" s="4" t="s">
        <v>8</v>
      </c>
      <c r="F128" s="4" t="s">
        <v>9</v>
      </c>
      <c r="G128" s="4" t="s">
        <v>10</v>
      </c>
      <c r="H128" s="4">
        <v>1645.2179587103167</v>
      </c>
      <c r="I128" s="4">
        <v>1935.5505396591968</v>
      </c>
      <c r="J128" s="2">
        <f>VLOOKUP(A128,Planilha1!A:M,13,0)</f>
        <v>3220.2324129890262</v>
      </c>
      <c r="K128" s="10">
        <f t="shared" si="2"/>
        <v>1575.0144542787095</v>
      </c>
      <c r="L128" s="10">
        <f t="shared" si="3"/>
        <v>290.33258094888015</v>
      </c>
    </row>
    <row r="129" spans="1:12" x14ac:dyDescent="0.25">
      <c r="A129" s="2">
        <v>1</v>
      </c>
      <c r="B129" s="4">
        <v>52</v>
      </c>
      <c r="C129" s="4">
        <v>37.4</v>
      </c>
      <c r="D129" s="4">
        <v>0</v>
      </c>
      <c r="E129" s="4" t="s">
        <v>8</v>
      </c>
      <c r="F129" s="4" t="s">
        <v>12</v>
      </c>
      <c r="G129" s="4" t="s">
        <v>10</v>
      </c>
      <c r="H129" s="4">
        <v>5679.1385772799295</v>
      </c>
      <c r="I129" s="4">
        <v>5408.7034069332676</v>
      </c>
      <c r="J129" s="2">
        <f>VLOOKUP(A129,Planilha1!A:M,13,0)</f>
        <v>6326.3485212104815</v>
      </c>
      <c r="K129" s="10">
        <f t="shared" si="2"/>
        <v>647.20994393055207</v>
      </c>
      <c r="L129" s="10">
        <f t="shared" si="3"/>
        <v>-270.43517034666183</v>
      </c>
    </row>
    <row r="130" spans="1:12" x14ac:dyDescent="0.25">
      <c r="A130" s="2">
        <v>2</v>
      </c>
      <c r="B130" s="4">
        <v>32</v>
      </c>
      <c r="C130" s="4">
        <v>17.8</v>
      </c>
      <c r="D130" s="4">
        <v>2</v>
      </c>
      <c r="E130" s="4" t="s">
        <v>8</v>
      </c>
      <c r="F130" s="4" t="s">
        <v>9</v>
      </c>
      <c r="G130" s="4" t="s">
        <v>14</v>
      </c>
      <c r="H130" s="4">
        <v>2264.1915777157442</v>
      </c>
      <c r="I130" s="4">
        <v>2663.7547973126411</v>
      </c>
      <c r="J130" s="2">
        <f>VLOOKUP(A130,Planilha1!A:M,13,0)</f>
        <v>3220.2324129890262</v>
      </c>
      <c r="K130" s="10">
        <f t="shared" si="2"/>
        <v>956.04083527328203</v>
      </c>
      <c r="L130" s="10">
        <f t="shared" si="3"/>
        <v>399.56321959689694</v>
      </c>
    </row>
    <row r="131" spans="1:12" x14ac:dyDescent="0.25">
      <c r="A131" s="2">
        <v>3</v>
      </c>
      <c r="B131" s="4">
        <v>38</v>
      </c>
      <c r="C131" s="4">
        <v>34.700000000000003</v>
      </c>
      <c r="D131" s="4">
        <v>2</v>
      </c>
      <c r="E131" s="4" t="s">
        <v>11</v>
      </c>
      <c r="F131" s="4" t="s">
        <v>12</v>
      </c>
      <c r="G131" s="4" t="s">
        <v>10</v>
      </c>
      <c r="H131" s="4">
        <v>1977.8061891272491</v>
      </c>
      <c r="I131" s="4">
        <v>2637.074918836332</v>
      </c>
      <c r="J131" s="2">
        <f>VLOOKUP(A131,Planilha1!A:M,13,0)</f>
        <v>3049.3550806113421</v>
      </c>
      <c r="K131" s="10">
        <f t="shared" ref="K131:K194" si="4">J131-H131</f>
        <v>1071.548891484093</v>
      </c>
      <c r="L131" s="10">
        <f t="shared" ref="L131:L194" si="5">I131-H131</f>
        <v>659.26872970908289</v>
      </c>
    </row>
    <row r="132" spans="1:12" x14ac:dyDescent="0.25">
      <c r="A132" s="2">
        <v>1</v>
      </c>
      <c r="B132" s="4">
        <v>59</v>
      </c>
      <c r="C132" s="4">
        <v>26.5</v>
      </c>
      <c r="D132" s="4">
        <v>0</v>
      </c>
      <c r="E132" s="4" t="s">
        <v>8</v>
      </c>
      <c r="F132" s="4" t="s">
        <v>12</v>
      </c>
      <c r="G132" s="4" t="s">
        <v>15</v>
      </c>
      <c r="H132" s="4">
        <v>4719.7129221018167</v>
      </c>
      <c r="I132" s="4">
        <v>4494.9646877160176</v>
      </c>
      <c r="J132" s="2">
        <f>VLOOKUP(A132,Planilha1!A:M,13,0)</f>
        <v>6326.3485212104815</v>
      </c>
      <c r="K132" s="10">
        <f t="shared" si="4"/>
        <v>1606.6355991086648</v>
      </c>
      <c r="L132" s="10">
        <f t="shared" si="5"/>
        <v>-224.74823438579915</v>
      </c>
    </row>
    <row r="133" spans="1:12" x14ac:dyDescent="0.25">
      <c r="A133" s="2">
        <v>1</v>
      </c>
      <c r="B133" s="4">
        <v>61</v>
      </c>
      <c r="C133" s="4">
        <v>22</v>
      </c>
      <c r="D133" s="4">
        <v>0</v>
      </c>
      <c r="E133" s="4" t="s">
        <v>8</v>
      </c>
      <c r="F133" s="4" t="s">
        <v>12</v>
      </c>
      <c r="G133" s="4" t="s">
        <v>15</v>
      </c>
      <c r="H133" s="4">
        <v>3987.3824295814588</v>
      </c>
      <c r="I133" s="4">
        <v>3797.5070757918675</v>
      </c>
      <c r="J133" s="2">
        <f>VLOOKUP(A133,Planilha1!A:M,13,0)</f>
        <v>6326.3485212104815</v>
      </c>
      <c r="K133" s="10">
        <f t="shared" si="4"/>
        <v>2338.9660916290227</v>
      </c>
      <c r="L133" s="10">
        <f t="shared" si="5"/>
        <v>-189.87535378959137</v>
      </c>
    </row>
    <row r="134" spans="1:12" x14ac:dyDescent="0.25">
      <c r="A134" s="2">
        <v>3</v>
      </c>
      <c r="B134" s="4">
        <v>53</v>
      </c>
      <c r="C134" s="4">
        <v>35.9</v>
      </c>
      <c r="D134" s="4">
        <v>2</v>
      </c>
      <c r="E134" s="4" t="s">
        <v>8</v>
      </c>
      <c r="F134" s="4" t="s">
        <v>12</v>
      </c>
      <c r="G134" s="4" t="s">
        <v>10</v>
      </c>
      <c r="H134" s="4">
        <v>3558.6247785475998</v>
      </c>
      <c r="I134" s="4">
        <v>4744.8330380634661</v>
      </c>
      <c r="J134" s="2">
        <f>VLOOKUP(A134,Planilha1!A:M,13,0)</f>
        <v>3049.3550806113421</v>
      </c>
      <c r="K134" s="10">
        <f t="shared" si="4"/>
        <v>-509.26969793625767</v>
      </c>
      <c r="L134" s="10">
        <f t="shared" si="5"/>
        <v>1186.2082595158663</v>
      </c>
    </row>
    <row r="135" spans="1:12" x14ac:dyDescent="0.25">
      <c r="A135" s="2">
        <v>0</v>
      </c>
      <c r="B135" s="4">
        <v>19</v>
      </c>
      <c r="C135" s="4">
        <v>20.100000000000001</v>
      </c>
      <c r="D135" s="4">
        <v>0</v>
      </c>
      <c r="E135" s="4" t="s">
        <v>11</v>
      </c>
      <c r="F135" s="4" t="s">
        <v>12</v>
      </c>
      <c r="G135" s="4" t="s">
        <v>14</v>
      </c>
      <c r="H135" s="4">
        <v>1858.7342740920224</v>
      </c>
      <c r="I135" s="4">
        <v>2186.7462048141451</v>
      </c>
      <c r="J135" s="2">
        <f>VLOOKUP(A135,Planilha1!A:M,13,0)</f>
        <v>2511.8220480829059</v>
      </c>
      <c r="K135" s="10">
        <f t="shared" si="4"/>
        <v>653.08777399088353</v>
      </c>
      <c r="L135" s="10">
        <f t="shared" si="5"/>
        <v>328.01193072212277</v>
      </c>
    </row>
    <row r="136" spans="1:12" x14ac:dyDescent="0.25">
      <c r="A136" s="2">
        <v>0</v>
      </c>
      <c r="B136" s="4">
        <v>20</v>
      </c>
      <c r="C136" s="4">
        <v>21.7</v>
      </c>
      <c r="D136" s="4">
        <v>0</v>
      </c>
      <c r="E136" s="4" t="s">
        <v>8</v>
      </c>
      <c r="F136" s="4" t="s">
        <v>12</v>
      </c>
      <c r="G136" s="4" t="s">
        <v>15</v>
      </c>
      <c r="H136" s="4">
        <v>1833.3208697567895</v>
      </c>
      <c r="I136" s="4">
        <v>2156.8480820668119</v>
      </c>
      <c r="J136" s="2">
        <f>VLOOKUP(A136,Planilha1!A:M,13,0)</f>
        <v>2511.8220480829059</v>
      </c>
      <c r="K136" s="10">
        <f t="shared" si="4"/>
        <v>678.50117832611636</v>
      </c>
      <c r="L136" s="10">
        <f t="shared" si="5"/>
        <v>323.52721231002238</v>
      </c>
    </row>
    <row r="137" spans="1:12" x14ac:dyDescent="0.25">
      <c r="A137" s="2">
        <v>0</v>
      </c>
      <c r="B137" s="4">
        <v>22</v>
      </c>
      <c r="C137" s="4">
        <v>23.5</v>
      </c>
      <c r="D137" s="4">
        <v>0</v>
      </c>
      <c r="E137" s="4" t="s">
        <v>8</v>
      </c>
      <c r="F137" s="4" t="s">
        <v>12</v>
      </c>
      <c r="G137" s="4" t="s">
        <v>13</v>
      </c>
      <c r="H137" s="4">
        <v>1456.024836230511</v>
      </c>
      <c r="I137" s="4">
        <v>1712.9703955653076</v>
      </c>
      <c r="J137" s="2">
        <f>VLOOKUP(A137,Planilha1!A:M,13,0)</f>
        <v>2511.8220480829059</v>
      </c>
      <c r="K137" s="10">
        <f t="shared" si="4"/>
        <v>1055.7972118523949</v>
      </c>
      <c r="L137" s="10">
        <f t="shared" si="5"/>
        <v>256.9455593347966</v>
      </c>
    </row>
    <row r="138" spans="1:12" x14ac:dyDescent="0.25">
      <c r="A138" s="2">
        <v>0</v>
      </c>
      <c r="B138" s="4">
        <v>19</v>
      </c>
      <c r="C138" s="4">
        <v>22.3</v>
      </c>
      <c r="D138" s="4">
        <v>0</v>
      </c>
      <c r="E138" s="4" t="s">
        <v>11</v>
      </c>
      <c r="F138" s="4" t="s">
        <v>12</v>
      </c>
      <c r="G138" s="4" t="s">
        <v>10</v>
      </c>
      <c r="H138" s="4">
        <v>2228.1163471564914</v>
      </c>
      <c r="I138" s="4">
        <v>2621.3133495958737</v>
      </c>
      <c r="J138" s="2">
        <f>VLOOKUP(A138,Planilha1!A:M,13,0)</f>
        <v>2511.8220480829059</v>
      </c>
      <c r="K138" s="10">
        <f t="shared" si="4"/>
        <v>283.70570092641447</v>
      </c>
      <c r="L138" s="10">
        <f t="shared" si="5"/>
        <v>393.19700243938223</v>
      </c>
    </row>
    <row r="139" spans="1:12" x14ac:dyDescent="0.25">
      <c r="A139" s="2">
        <v>0</v>
      </c>
      <c r="B139" s="4">
        <v>22</v>
      </c>
      <c r="C139" s="4">
        <v>21</v>
      </c>
      <c r="D139" s="4">
        <v>0</v>
      </c>
      <c r="E139" s="4" t="s">
        <v>11</v>
      </c>
      <c r="F139" s="4" t="s">
        <v>12</v>
      </c>
      <c r="G139" s="4" t="s">
        <v>14</v>
      </c>
      <c r="H139" s="4">
        <v>2395.8762666556704</v>
      </c>
      <c r="I139" s="4">
        <v>2818.677960771377</v>
      </c>
      <c r="J139" s="2">
        <f>VLOOKUP(A139,Planilha1!A:M,13,0)</f>
        <v>2511.8220480829059</v>
      </c>
      <c r="K139" s="10">
        <f t="shared" si="4"/>
        <v>115.94578142723549</v>
      </c>
      <c r="L139" s="10">
        <f t="shared" si="5"/>
        <v>422.8016941157066</v>
      </c>
    </row>
    <row r="140" spans="1:12" x14ac:dyDescent="0.25">
      <c r="A140" s="2">
        <v>3</v>
      </c>
      <c r="B140" s="4">
        <v>54</v>
      </c>
      <c r="C140" s="4">
        <v>31.9</v>
      </c>
      <c r="D140" s="4">
        <v>3</v>
      </c>
      <c r="E140" s="4" t="s">
        <v>8</v>
      </c>
      <c r="F140" s="4" t="s">
        <v>12</v>
      </c>
      <c r="G140" s="4" t="s">
        <v>13</v>
      </c>
      <c r="H140" s="4">
        <v>2233.9484186959216</v>
      </c>
      <c r="I140" s="4">
        <v>2978.597891594562</v>
      </c>
      <c r="J140" s="2">
        <f>VLOOKUP(A140,Planilha1!A:M,13,0)</f>
        <v>3049.3550806113421</v>
      </c>
      <c r="K140" s="10">
        <f t="shared" si="4"/>
        <v>815.4066619154205</v>
      </c>
      <c r="L140" s="10">
        <f t="shared" si="5"/>
        <v>744.6494728986404</v>
      </c>
    </row>
    <row r="141" spans="1:12" x14ac:dyDescent="0.25">
      <c r="A141" s="2">
        <v>0</v>
      </c>
      <c r="B141" s="4">
        <v>22</v>
      </c>
      <c r="C141" s="4">
        <v>21</v>
      </c>
      <c r="D141" s="4">
        <v>0</v>
      </c>
      <c r="E141" s="4" t="s">
        <v>8</v>
      </c>
      <c r="F141" s="4" t="s">
        <v>12</v>
      </c>
      <c r="G141" s="4" t="s">
        <v>10</v>
      </c>
      <c r="H141" s="4">
        <v>1586.1094581231841</v>
      </c>
      <c r="I141" s="4">
        <v>1866.011127203747</v>
      </c>
      <c r="J141" s="2">
        <f>VLOOKUP(A141,Planilha1!A:M,13,0)</f>
        <v>2511.8220480829059</v>
      </c>
      <c r="K141" s="10">
        <f t="shared" si="4"/>
        <v>925.71258995972175</v>
      </c>
      <c r="L141" s="10">
        <f t="shared" si="5"/>
        <v>279.9016690805629</v>
      </c>
    </row>
    <row r="142" spans="1:12" x14ac:dyDescent="0.25">
      <c r="A142" s="2">
        <v>0</v>
      </c>
      <c r="B142" s="4">
        <v>34</v>
      </c>
      <c r="C142" s="4">
        <v>22.4</v>
      </c>
      <c r="D142" s="4">
        <v>2</v>
      </c>
      <c r="E142" s="4" t="s">
        <v>11</v>
      </c>
      <c r="F142" s="4" t="s">
        <v>12</v>
      </c>
      <c r="G142" s="4" t="s">
        <v>15</v>
      </c>
      <c r="H142" s="4">
        <v>1837.2503410340764</v>
      </c>
      <c r="I142" s="4">
        <v>2161.4709894518555</v>
      </c>
      <c r="J142" s="2">
        <f>VLOOKUP(A142,Planilha1!A:M,13,0)</f>
        <v>2511.8220480829059</v>
      </c>
      <c r="K142" s="10">
        <f t="shared" si="4"/>
        <v>674.57170704882947</v>
      </c>
      <c r="L142" s="10">
        <f t="shared" si="5"/>
        <v>324.2206484177791</v>
      </c>
    </row>
    <row r="143" spans="1:12" x14ac:dyDescent="0.25">
      <c r="A143" s="2">
        <v>0</v>
      </c>
      <c r="B143" s="4">
        <v>26</v>
      </c>
      <c r="C143" s="4">
        <v>20.399999999999999</v>
      </c>
      <c r="D143" s="4">
        <v>1</v>
      </c>
      <c r="E143" s="4" t="s">
        <v>11</v>
      </c>
      <c r="F143" s="4" t="s">
        <v>12</v>
      </c>
      <c r="G143" s="4" t="s">
        <v>15</v>
      </c>
      <c r="H143" s="4">
        <v>1945.6550897030884</v>
      </c>
      <c r="I143" s="4">
        <v>2289.005987885987</v>
      </c>
      <c r="J143" s="2">
        <f>VLOOKUP(A143,Planilha1!A:M,13,0)</f>
        <v>2511.8220480829059</v>
      </c>
      <c r="K143" s="10">
        <f t="shared" si="4"/>
        <v>566.16695837981752</v>
      </c>
      <c r="L143" s="10">
        <f t="shared" si="5"/>
        <v>343.35089818289862</v>
      </c>
    </row>
    <row r="144" spans="1:12" x14ac:dyDescent="0.25">
      <c r="A144" s="2">
        <v>2</v>
      </c>
      <c r="B144" s="4">
        <v>34</v>
      </c>
      <c r="C144" s="4">
        <v>25.3</v>
      </c>
      <c r="D144" s="4">
        <v>2</v>
      </c>
      <c r="E144" s="4" t="s">
        <v>11</v>
      </c>
      <c r="F144" s="4" t="s">
        <v>9</v>
      </c>
      <c r="G144" s="4" t="s">
        <v>13</v>
      </c>
      <c r="H144" s="4">
        <v>1629.2412772864204</v>
      </c>
      <c r="I144" s="4">
        <v>2172.3217030485607</v>
      </c>
      <c r="J144" s="2">
        <f>VLOOKUP(A144,Planilha1!A:M,13,0)</f>
        <v>3220.2324129890262</v>
      </c>
      <c r="K144" s="10">
        <f t="shared" si="4"/>
        <v>1590.9911357026058</v>
      </c>
      <c r="L144" s="10">
        <f t="shared" si="5"/>
        <v>543.08042576214029</v>
      </c>
    </row>
    <row r="145" spans="1:12" x14ac:dyDescent="0.25">
      <c r="A145" s="2">
        <v>3</v>
      </c>
      <c r="B145" s="4">
        <v>29</v>
      </c>
      <c r="C145" s="4">
        <v>29.7</v>
      </c>
      <c r="D145" s="4">
        <v>2</v>
      </c>
      <c r="E145" s="4" t="s">
        <v>11</v>
      </c>
      <c r="F145" s="4" t="s">
        <v>12</v>
      </c>
      <c r="G145" s="4" t="s">
        <v>14</v>
      </c>
      <c r="H145" s="4">
        <v>2891.3111819045457</v>
      </c>
      <c r="I145" s="4">
        <v>3855.0815758727276</v>
      </c>
      <c r="J145" s="2">
        <f>VLOOKUP(A145,Planilha1!A:M,13,0)</f>
        <v>3049.3550806113421</v>
      </c>
      <c r="K145" s="10">
        <f t="shared" si="4"/>
        <v>158.04389870679643</v>
      </c>
      <c r="L145" s="10">
        <f t="shared" si="5"/>
        <v>963.77039396818191</v>
      </c>
    </row>
    <row r="146" spans="1:12" x14ac:dyDescent="0.25">
      <c r="A146" s="2">
        <v>2</v>
      </c>
      <c r="B146" s="4">
        <v>30</v>
      </c>
      <c r="C146" s="4">
        <v>28.7</v>
      </c>
      <c r="D146" s="4">
        <v>3</v>
      </c>
      <c r="E146" s="4" t="s">
        <v>11</v>
      </c>
      <c r="F146" s="4" t="s">
        <v>9</v>
      </c>
      <c r="G146" s="4" t="s">
        <v>14</v>
      </c>
      <c r="H146" s="4">
        <v>2590.2733457826853</v>
      </c>
      <c r="I146" s="4">
        <v>3453.6977943769134</v>
      </c>
      <c r="J146" s="2">
        <f>VLOOKUP(A146,Planilha1!A:M,13,0)</f>
        <v>3220.2324129890262</v>
      </c>
      <c r="K146" s="10">
        <f t="shared" si="4"/>
        <v>629.95906720634093</v>
      </c>
      <c r="L146" s="10">
        <f t="shared" si="5"/>
        <v>863.42444859422812</v>
      </c>
    </row>
    <row r="147" spans="1:12" x14ac:dyDescent="0.25">
      <c r="A147" s="2">
        <v>3</v>
      </c>
      <c r="B147" s="4">
        <v>29</v>
      </c>
      <c r="C147" s="4">
        <v>38.799999999999997</v>
      </c>
      <c r="D147" s="4">
        <v>3</v>
      </c>
      <c r="E147" s="4" t="s">
        <v>8</v>
      </c>
      <c r="F147" s="4" t="s">
        <v>12</v>
      </c>
      <c r="G147" s="4" t="s">
        <v>13</v>
      </c>
      <c r="H147" s="4">
        <v>2261.7282365297101</v>
      </c>
      <c r="I147" s="4">
        <v>3015.6376487062803</v>
      </c>
      <c r="J147" s="2">
        <f>VLOOKUP(A147,Planilha1!A:M,13,0)</f>
        <v>3049.3550806113421</v>
      </c>
      <c r="K147" s="10">
        <f t="shared" si="4"/>
        <v>787.62684408163204</v>
      </c>
      <c r="L147" s="10">
        <f t="shared" si="5"/>
        <v>753.90941217657019</v>
      </c>
    </row>
    <row r="148" spans="1:12" x14ac:dyDescent="0.25">
      <c r="A148" s="2">
        <v>2</v>
      </c>
      <c r="B148" s="4">
        <v>46</v>
      </c>
      <c r="C148" s="4">
        <v>30.5</v>
      </c>
      <c r="D148" s="4">
        <v>3</v>
      </c>
      <c r="E148" s="4" t="s">
        <v>11</v>
      </c>
      <c r="F148" s="4" t="s">
        <v>9</v>
      </c>
      <c r="G148" s="4" t="s">
        <v>14</v>
      </c>
      <c r="H148" s="4">
        <v>1910.5681905759989</v>
      </c>
      <c r="I148" s="4">
        <v>2547.4242541013318</v>
      </c>
      <c r="J148" s="2">
        <f>VLOOKUP(A148,Planilha1!A:M,13,0)</f>
        <v>3220.2324129890262</v>
      </c>
      <c r="K148" s="10">
        <f t="shared" si="4"/>
        <v>1309.6642224130273</v>
      </c>
      <c r="L148" s="10">
        <f t="shared" si="5"/>
        <v>636.85606352533296</v>
      </c>
    </row>
    <row r="149" spans="1:12" x14ac:dyDescent="0.25">
      <c r="A149" s="2">
        <v>1</v>
      </c>
      <c r="B149" s="4">
        <v>51</v>
      </c>
      <c r="C149" s="4">
        <v>37.700000000000003</v>
      </c>
      <c r="D149" s="4">
        <v>1</v>
      </c>
      <c r="E149" s="4" t="s">
        <v>8</v>
      </c>
      <c r="F149" s="4" t="s">
        <v>12</v>
      </c>
      <c r="G149" s="4" t="s">
        <v>13</v>
      </c>
      <c r="H149" s="4">
        <v>4938.578238606071</v>
      </c>
      <c r="I149" s="4">
        <v>4703.4078462914968</v>
      </c>
      <c r="J149" s="2">
        <f>VLOOKUP(A149,Planilha1!A:M,13,0)</f>
        <v>6326.3485212104815</v>
      </c>
      <c r="K149" s="10">
        <f t="shared" si="4"/>
        <v>1387.7702826044106</v>
      </c>
      <c r="L149" s="10">
        <f t="shared" si="5"/>
        <v>-235.1703923145742</v>
      </c>
    </row>
    <row r="150" spans="1:12" x14ac:dyDescent="0.25">
      <c r="A150" s="2">
        <v>1</v>
      </c>
      <c r="B150" s="4">
        <v>53</v>
      </c>
      <c r="C150" s="4">
        <v>37.4</v>
      </c>
      <c r="D150" s="4">
        <v>1</v>
      </c>
      <c r="E150" s="4" t="s">
        <v>8</v>
      </c>
      <c r="F150" s="4" t="s">
        <v>12</v>
      </c>
      <c r="G150" s="4" t="s">
        <v>14</v>
      </c>
      <c r="H150" s="4">
        <v>5538.5560314170389</v>
      </c>
      <c r="I150" s="4">
        <v>5274.8152680162293</v>
      </c>
      <c r="J150" s="2">
        <f>VLOOKUP(A150,Planilha1!A:M,13,0)</f>
        <v>6326.3485212104815</v>
      </c>
      <c r="K150" s="10">
        <f t="shared" si="4"/>
        <v>787.79248979344266</v>
      </c>
      <c r="L150" s="10">
        <f t="shared" si="5"/>
        <v>-263.74076340080956</v>
      </c>
    </row>
    <row r="151" spans="1:12" x14ac:dyDescent="0.25">
      <c r="A151" s="2">
        <v>0</v>
      </c>
      <c r="B151" s="4">
        <v>19</v>
      </c>
      <c r="C151" s="4">
        <v>22.5</v>
      </c>
      <c r="D151" s="4">
        <v>1</v>
      </c>
      <c r="E151" s="4" t="s">
        <v>11</v>
      </c>
      <c r="F151" s="4" t="s">
        <v>12</v>
      </c>
      <c r="G151" s="4" t="s">
        <v>10</v>
      </c>
      <c r="H151" s="4">
        <v>2236.7287893571156</v>
      </c>
      <c r="I151" s="4">
        <v>2631.4456345377835</v>
      </c>
      <c r="J151" s="2">
        <f>VLOOKUP(A151,Planilha1!A:M,13,0)</f>
        <v>2511.8220480829059</v>
      </c>
      <c r="K151" s="10">
        <f t="shared" si="4"/>
        <v>275.09325872579029</v>
      </c>
      <c r="L151" s="10">
        <f t="shared" si="5"/>
        <v>394.71684518066786</v>
      </c>
    </row>
    <row r="152" spans="1:12" x14ac:dyDescent="0.25">
      <c r="A152" s="2">
        <v>0</v>
      </c>
      <c r="B152" s="4">
        <v>35</v>
      </c>
      <c r="C152" s="4">
        <v>21</v>
      </c>
      <c r="D152" s="4">
        <v>1</v>
      </c>
      <c r="E152" s="4" t="s">
        <v>11</v>
      </c>
      <c r="F152" s="4" t="s">
        <v>12</v>
      </c>
      <c r="G152" s="4" t="s">
        <v>14</v>
      </c>
      <c r="H152" s="4">
        <v>2450.5663956051567</v>
      </c>
      <c r="I152" s="4">
        <v>2883.0192889472437</v>
      </c>
      <c r="J152" s="2">
        <f>VLOOKUP(A152,Planilha1!A:M,13,0)</f>
        <v>2511.8220480829059</v>
      </c>
      <c r="K152" s="10">
        <f t="shared" si="4"/>
        <v>61.255652477749209</v>
      </c>
      <c r="L152" s="10">
        <f t="shared" si="5"/>
        <v>432.45289334208701</v>
      </c>
    </row>
    <row r="153" spans="1:12" x14ac:dyDescent="0.25">
      <c r="A153" s="2">
        <v>1</v>
      </c>
      <c r="B153" s="4">
        <v>48</v>
      </c>
      <c r="C153" s="4">
        <v>29.7</v>
      </c>
      <c r="D153" s="4">
        <v>0</v>
      </c>
      <c r="E153" s="4" t="s">
        <v>11</v>
      </c>
      <c r="F153" s="4" t="s">
        <v>12</v>
      </c>
      <c r="G153" s="4" t="s">
        <v>13</v>
      </c>
      <c r="H153" s="4">
        <v>4003.8747809567549</v>
      </c>
      <c r="I153" s="4">
        <v>3813.2140771016734</v>
      </c>
      <c r="J153" s="2">
        <f>VLOOKUP(A153,Planilha1!A:M,13,0)</f>
        <v>6326.3485212104815</v>
      </c>
      <c r="K153" s="10">
        <f t="shared" si="4"/>
        <v>2322.4737402537266</v>
      </c>
      <c r="L153" s="10">
        <f t="shared" si="5"/>
        <v>-190.66070385508147</v>
      </c>
    </row>
    <row r="154" spans="1:12" x14ac:dyDescent="0.25">
      <c r="A154" s="2">
        <v>3</v>
      </c>
      <c r="B154" s="4">
        <v>32</v>
      </c>
      <c r="C154" s="4">
        <v>37.1</v>
      </c>
      <c r="D154" s="4">
        <v>3</v>
      </c>
      <c r="E154" s="4" t="s">
        <v>8</v>
      </c>
      <c r="F154" s="4" t="s">
        <v>12</v>
      </c>
      <c r="G154" s="4" t="s">
        <v>15</v>
      </c>
      <c r="H154" s="4">
        <v>2364.3117742857507</v>
      </c>
      <c r="I154" s="4">
        <v>3152.4156990476677</v>
      </c>
      <c r="J154" s="2">
        <f>VLOOKUP(A154,Planilha1!A:M,13,0)</f>
        <v>3049.3550806113421</v>
      </c>
      <c r="K154" s="10">
        <f t="shared" si="4"/>
        <v>685.0433063255914</v>
      </c>
      <c r="L154" s="10">
        <f t="shared" si="5"/>
        <v>788.10392476191691</v>
      </c>
    </row>
    <row r="155" spans="1:12" x14ac:dyDescent="0.25">
      <c r="A155" s="2">
        <v>2</v>
      </c>
      <c r="B155" s="4">
        <v>42</v>
      </c>
      <c r="C155" s="4">
        <v>23.4</v>
      </c>
      <c r="D155" s="4">
        <v>0</v>
      </c>
      <c r="E155" s="4" t="s">
        <v>8</v>
      </c>
      <c r="F155" s="4" t="s">
        <v>9</v>
      </c>
      <c r="G155" s="4" t="s">
        <v>15</v>
      </c>
      <c r="H155" s="4">
        <v>1851.1209445254651</v>
      </c>
      <c r="I155" s="4">
        <v>2177.7893465005482</v>
      </c>
      <c r="J155" s="2">
        <f>VLOOKUP(A155,Planilha1!A:M,13,0)</f>
        <v>3220.2324129890262</v>
      </c>
      <c r="K155" s="10">
        <f t="shared" si="4"/>
        <v>1369.1114684635611</v>
      </c>
      <c r="L155" s="10">
        <f t="shared" si="5"/>
        <v>326.66840197508304</v>
      </c>
    </row>
    <row r="156" spans="1:12" x14ac:dyDescent="0.25">
      <c r="A156" s="2">
        <v>0</v>
      </c>
      <c r="B156" s="4">
        <v>40</v>
      </c>
      <c r="C156" s="4">
        <v>20.3</v>
      </c>
      <c r="D156" s="4">
        <v>1</v>
      </c>
      <c r="E156" s="4" t="s">
        <v>8</v>
      </c>
      <c r="F156" s="4" t="s">
        <v>12</v>
      </c>
      <c r="G156" s="4" t="s">
        <v>15</v>
      </c>
      <c r="H156" s="4">
        <v>1559.9016772221548</v>
      </c>
      <c r="I156" s="4">
        <v>1835.1784437907713</v>
      </c>
      <c r="J156" s="2">
        <f>VLOOKUP(A156,Planilha1!A:M,13,0)</f>
        <v>2511.8220480829059</v>
      </c>
      <c r="K156" s="10">
        <f t="shared" si="4"/>
        <v>951.92037086075106</v>
      </c>
      <c r="L156" s="10">
        <f t="shared" si="5"/>
        <v>275.27676656861649</v>
      </c>
    </row>
    <row r="157" spans="1:12" x14ac:dyDescent="0.25">
      <c r="A157" s="2">
        <v>1</v>
      </c>
      <c r="B157" s="4">
        <v>44</v>
      </c>
      <c r="C157" s="4">
        <v>39.5</v>
      </c>
      <c r="D157" s="4">
        <v>0</v>
      </c>
      <c r="E157" s="4" t="s">
        <v>11</v>
      </c>
      <c r="F157" s="4" t="s">
        <v>12</v>
      </c>
      <c r="G157" s="4" t="s">
        <v>14</v>
      </c>
      <c r="H157" s="4">
        <v>5230.8398758897047</v>
      </c>
      <c r="I157" s="4">
        <v>4981.7522627521012</v>
      </c>
      <c r="J157" s="2">
        <f>VLOOKUP(A157,Planilha1!A:M,13,0)</f>
        <v>6326.3485212104815</v>
      </c>
      <c r="K157" s="10">
        <f t="shared" si="4"/>
        <v>1095.5086453207768</v>
      </c>
      <c r="L157" s="10">
        <f t="shared" si="5"/>
        <v>-249.08761313760351</v>
      </c>
    </row>
    <row r="158" spans="1:12" x14ac:dyDescent="0.25">
      <c r="A158" s="2">
        <v>2</v>
      </c>
      <c r="B158" s="4">
        <v>48</v>
      </c>
      <c r="C158" s="4">
        <v>24.4</v>
      </c>
      <c r="D158" s="4">
        <v>0</v>
      </c>
      <c r="E158" s="4" t="s">
        <v>11</v>
      </c>
      <c r="F158" s="4" t="s">
        <v>9</v>
      </c>
      <c r="G158" s="4" t="s">
        <v>13</v>
      </c>
      <c r="H158" s="4">
        <v>4124.8583309055221</v>
      </c>
      <c r="I158" s="4">
        <v>3928.4365056243082</v>
      </c>
      <c r="J158" s="2">
        <f>VLOOKUP(A158,Planilha1!A:M,13,0)</f>
        <v>3220.2324129890262</v>
      </c>
      <c r="K158" s="10">
        <f t="shared" si="4"/>
        <v>-904.62591791649584</v>
      </c>
      <c r="L158" s="10">
        <f t="shared" si="5"/>
        <v>-196.42182528121384</v>
      </c>
    </row>
    <row r="159" spans="1:12" x14ac:dyDescent="0.25">
      <c r="A159" s="2">
        <v>2</v>
      </c>
      <c r="B159" s="4">
        <v>18</v>
      </c>
      <c r="C159" s="4">
        <v>25.3</v>
      </c>
      <c r="D159" s="4">
        <v>0</v>
      </c>
      <c r="E159" s="4" t="s">
        <v>11</v>
      </c>
      <c r="F159" s="4" t="s">
        <v>9</v>
      </c>
      <c r="G159" s="4" t="s">
        <v>15</v>
      </c>
      <c r="H159" s="4">
        <v>1694.5891241033398</v>
      </c>
      <c r="I159" s="4">
        <v>1993.6342636509889</v>
      </c>
      <c r="J159" s="2">
        <f>VLOOKUP(A159,Planilha1!A:M,13,0)</f>
        <v>3220.2324129890262</v>
      </c>
      <c r="K159" s="10">
        <f t="shared" si="4"/>
        <v>1525.6432888856864</v>
      </c>
      <c r="L159" s="10">
        <f t="shared" si="5"/>
        <v>299.04513954764911</v>
      </c>
    </row>
    <row r="160" spans="1:12" x14ac:dyDescent="0.25">
      <c r="A160" s="2">
        <v>2</v>
      </c>
      <c r="B160" s="4">
        <v>30</v>
      </c>
      <c r="C160" s="4">
        <v>23.1</v>
      </c>
      <c r="D160" s="4">
        <v>0</v>
      </c>
      <c r="E160" s="4" t="s">
        <v>11</v>
      </c>
      <c r="F160" s="4" t="s">
        <v>9</v>
      </c>
      <c r="G160" s="4" t="s">
        <v>13</v>
      </c>
      <c r="H160" s="4">
        <v>1418.3013068628275</v>
      </c>
      <c r="I160" s="4">
        <v>1668.5897727797976</v>
      </c>
      <c r="J160" s="2">
        <f>VLOOKUP(A160,Planilha1!A:M,13,0)</f>
        <v>3220.2324129890262</v>
      </c>
      <c r="K160" s="10">
        <f t="shared" si="4"/>
        <v>1801.9311061261988</v>
      </c>
      <c r="L160" s="10">
        <f t="shared" si="5"/>
        <v>250.28846591697015</v>
      </c>
    </row>
    <row r="161" spans="1:12" x14ac:dyDescent="0.25">
      <c r="A161" s="2">
        <v>3</v>
      </c>
      <c r="B161" s="4">
        <v>50</v>
      </c>
      <c r="C161" s="4">
        <v>27.8</v>
      </c>
      <c r="D161" s="4">
        <v>3</v>
      </c>
      <c r="E161" s="4" t="s">
        <v>8</v>
      </c>
      <c r="F161" s="4" t="s">
        <v>12</v>
      </c>
      <c r="G161" s="4" t="s">
        <v>13</v>
      </c>
      <c r="H161" s="4">
        <v>3233.2197513930842</v>
      </c>
      <c r="I161" s="4">
        <v>4310.9596685241122</v>
      </c>
      <c r="J161" s="2">
        <f>VLOOKUP(A161,Planilha1!A:M,13,0)</f>
        <v>3049.3550806113421</v>
      </c>
      <c r="K161" s="10">
        <f t="shared" si="4"/>
        <v>-183.86467078174201</v>
      </c>
      <c r="L161" s="10">
        <f t="shared" si="5"/>
        <v>1077.7399171310281</v>
      </c>
    </row>
    <row r="162" spans="1:12" x14ac:dyDescent="0.25">
      <c r="A162" s="2">
        <v>2</v>
      </c>
      <c r="B162" s="4">
        <v>42</v>
      </c>
      <c r="C162" s="4">
        <v>26.6</v>
      </c>
      <c r="D162" s="4">
        <v>0</v>
      </c>
      <c r="E162" s="4" t="s">
        <v>8</v>
      </c>
      <c r="F162" s="4" t="s">
        <v>9</v>
      </c>
      <c r="G162" s="4" t="s">
        <v>14</v>
      </c>
      <c r="H162" s="4">
        <v>5511.826731371003</v>
      </c>
      <c r="I162" s="4">
        <v>5249.3587917819086</v>
      </c>
      <c r="J162" s="2">
        <f>VLOOKUP(A162,Planilha1!A:M,13,0)</f>
        <v>3220.2324129890262</v>
      </c>
      <c r="K162" s="10">
        <f t="shared" si="4"/>
        <v>-2291.5943183819768</v>
      </c>
      <c r="L162" s="10">
        <f t="shared" si="5"/>
        <v>-262.46793958909439</v>
      </c>
    </row>
    <row r="163" spans="1:12" x14ac:dyDescent="0.25">
      <c r="A163" s="2">
        <v>2</v>
      </c>
      <c r="B163" s="4">
        <v>18</v>
      </c>
      <c r="C163" s="4">
        <v>21.6</v>
      </c>
      <c r="D163" s="4">
        <v>0</v>
      </c>
      <c r="E163" s="4" t="s">
        <v>8</v>
      </c>
      <c r="F163" s="4" t="s">
        <v>9</v>
      </c>
      <c r="G163" s="4" t="s">
        <v>13</v>
      </c>
      <c r="H163" s="4">
        <v>1317.6795185881097</v>
      </c>
      <c r="I163" s="4">
        <v>1550.2111983389532</v>
      </c>
      <c r="J163" s="2">
        <f>VLOOKUP(A163,Planilha1!A:M,13,0)</f>
        <v>3220.2324129890262</v>
      </c>
      <c r="K163" s="10">
        <f t="shared" si="4"/>
        <v>1902.5528944009166</v>
      </c>
      <c r="L163" s="10">
        <f t="shared" si="5"/>
        <v>232.53167975084352</v>
      </c>
    </row>
    <row r="164" spans="1:12" x14ac:dyDescent="0.25">
      <c r="A164" s="2">
        <v>1</v>
      </c>
      <c r="B164" s="4">
        <v>54</v>
      </c>
      <c r="C164" s="4">
        <v>39.6</v>
      </c>
      <c r="D164" s="4">
        <v>1</v>
      </c>
      <c r="E164" s="4" t="s">
        <v>11</v>
      </c>
      <c r="F164" s="4" t="s">
        <v>12</v>
      </c>
      <c r="G164" s="4" t="s">
        <v>10</v>
      </c>
      <c r="H164" s="4">
        <v>4050.4650160622559</v>
      </c>
      <c r="I164" s="4">
        <v>3857.585729583102</v>
      </c>
      <c r="J164" s="2">
        <f>VLOOKUP(A164,Planilha1!A:M,13,0)</f>
        <v>6326.3485212104815</v>
      </c>
      <c r="K164" s="10">
        <f t="shared" si="4"/>
        <v>2275.8835051482256</v>
      </c>
      <c r="L164" s="10">
        <f t="shared" si="5"/>
        <v>-192.87928647915396</v>
      </c>
    </row>
    <row r="165" spans="1:12" x14ac:dyDescent="0.25">
      <c r="A165" s="2">
        <v>3</v>
      </c>
      <c r="B165" s="4">
        <v>32</v>
      </c>
      <c r="C165" s="4">
        <v>29.8</v>
      </c>
      <c r="D165" s="4">
        <v>2</v>
      </c>
      <c r="E165" s="4" t="s">
        <v>8</v>
      </c>
      <c r="F165" s="4" t="s">
        <v>12</v>
      </c>
      <c r="G165" s="4" t="s">
        <v>10</v>
      </c>
      <c r="H165" s="4">
        <v>1829.0543833115646</v>
      </c>
      <c r="I165" s="4">
        <v>2438.7391777487528</v>
      </c>
      <c r="J165" s="2">
        <f>VLOOKUP(A165,Planilha1!A:M,13,0)</f>
        <v>3049.3550806113421</v>
      </c>
      <c r="K165" s="10">
        <f t="shared" si="4"/>
        <v>1220.3006972997775</v>
      </c>
      <c r="L165" s="10">
        <f t="shared" si="5"/>
        <v>609.6847944371882</v>
      </c>
    </row>
    <row r="166" spans="1:12" x14ac:dyDescent="0.25">
      <c r="A166" s="2">
        <v>0</v>
      </c>
      <c r="B166" s="4">
        <v>37</v>
      </c>
      <c r="C166" s="4">
        <v>23.2</v>
      </c>
      <c r="D166" s="4">
        <v>0</v>
      </c>
      <c r="E166" s="4" t="s">
        <v>11</v>
      </c>
      <c r="F166" s="4" t="s">
        <v>12</v>
      </c>
      <c r="G166" s="4" t="s">
        <v>14</v>
      </c>
      <c r="H166" s="4">
        <v>1848.8836691441438</v>
      </c>
      <c r="I166" s="4">
        <v>2175.1572578166406</v>
      </c>
      <c r="J166" s="2">
        <f>VLOOKUP(A166,Planilha1!A:M,13,0)</f>
        <v>2511.8220480829059</v>
      </c>
      <c r="K166" s="10">
        <f t="shared" si="4"/>
        <v>662.93837893876207</v>
      </c>
      <c r="L166" s="10">
        <f t="shared" si="5"/>
        <v>326.27358867249677</v>
      </c>
    </row>
    <row r="167" spans="1:12" x14ac:dyDescent="0.25">
      <c r="A167" s="2">
        <v>3</v>
      </c>
      <c r="B167" s="4">
        <v>47</v>
      </c>
      <c r="C167" s="4">
        <v>28.2</v>
      </c>
      <c r="D167" s="4">
        <v>4</v>
      </c>
      <c r="E167" s="4" t="s">
        <v>11</v>
      </c>
      <c r="F167" s="4" t="s">
        <v>12</v>
      </c>
      <c r="G167" s="4" t="s">
        <v>15</v>
      </c>
      <c r="H167" s="4">
        <v>1626.342168451547</v>
      </c>
      <c r="I167" s="4">
        <v>2168.4562246020628</v>
      </c>
      <c r="J167" s="2">
        <f>VLOOKUP(A167,Planilha1!A:M,13,0)</f>
        <v>3049.3550806113421</v>
      </c>
      <c r="K167" s="10">
        <f t="shared" si="4"/>
        <v>1423.0129121597952</v>
      </c>
      <c r="L167" s="10">
        <f t="shared" si="5"/>
        <v>542.11405615051581</v>
      </c>
    </row>
    <row r="168" spans="1:12" x14ac:dyDescent="0.25">
      <c r="A168" s="2">
        <v>3</v>
      </c>
      <c r="B168" s="4">
        <v>20</v>
      </c>
      <c r="C168" s="4">
        <v>37</v>
      </c>
      <c r="D168" s="4">
        <v>5</v>
      </c>
      <c r="E168" s="4" t="s">
        <v>8</v>
      </c>
      <c r="F168" s="4" t="s">
        <v>12</v>
      </c>
      <c r="G168" s="4" t="s">
        <v>10</v>
      </c>
      <c r="H168" s="4">
        <v>2277.4968096351595</v>
      </c>
      <c r="I168" s="4">
        <v>3036.6624128468793</v>
      </c>
      <c r="J168" s="2">
        <f>VLOOKUP(A168,Planilha1!A:M,13,0)</f>
        <v>3049.3550806113421</v>
      </c>
      <c r="K168" s="10">
        <f t="shared" si="4"/>
        <v>771.85827097618267</v>
      </c>
      <c r="L168" s="10">
        <f t="shared" si="5"/>
        <v>759.16560321171983</v>
      </c>
    </row>
    <row r="169" spans="1:12" x14ac:dyDescent="0.25">
      <c r="A169" s="2">
        <v>3</v>
      </c>
      <c r="B169" s="4">
        <v>32</v>
      </c>
      <c r="C169" s="4">
        <v>33.200000000000003</v>
      </c>
      <c r="D169" s="4">
        <v>3</v>
      </c>
      <c r="E169" s="4" t="s">
        <v>8</v>
      </c>
      <c r="F169" s="4" t="s">
        <v>12</v>
      </c>
      <c r="G169" s="4" t="s">
        <v>14</v>
      </c>
      <c r="H169" s="4">
        <v>1687.8582101088291</v>
      </c>
      <c r="I169" s="4">
        <v>2250.4776134784388</v>
      </c>
      <c r="J169" s="2">
        <f>VLOOKUP(A169,Planilha1!A:M,13,0)</f>
        <v>3049.3550806113421</v>
      </c>
      <c r="K169" s="10">
        <f t="shared" si="4"/>
        <v>1361.496870502513</v>
      </c>
      <c r="L169" s="10">
        <f t="shared" si="5"/>
        <v>562.6194033696097</v>
      </c>
    </row>
    <row r="170" spans="1:12" x14ac:dyDescent="0.25">
      <c r="A170" s="2">
        <v>0</v>
      </c>
      <c r="B170" s="4">
        <v>19</v>
      </c>
      <c r="C170" s="4">
        <v>24.1</v>
      </c>
      <c r="D170" s="4">
        <v>1</v>
      </c>
      <c r="E170" s="4" t="s">
        <v>8</v>
      </c>
      <c r="F170" s="4" t="s">
        <v>12</v>
      </c>
      <c r="G170" s="4" t="s">
        <v>14</v>
      </c>
      <c r="H170" s="4">
        <v>1763.5697596097079</v>
      </c>
      <c r="I170" s="4">
        <v>2074.78795248201</v>
      </c>
      <c r="J170" s="2">
        <f>VLOOKUP(A170,Planilha1!A:M,13,0)</f>
        <v>2511.8220480829059</v>
      </c>
      <c r="K170" s="10">
        <f t="shared" si="4"/>
        <v>748.25228847319795</v>
      </c>
      <c r="L170" s="10">
        <f t="shared" si="5"/>
        <v>311.2181928723021</v>
      </c>
    </row>
    <row r="171" spans="1:12" x14ac:dyDescent="0.25">
      <c r="A171" s="2">
        <v>0</v>
      </c>
      <c r="B171" s="4">
        <v>27</v>
      </c>
      <c r="C171" s="4">
        <v>18.899999999999999</v>
      </c>
      <c r="D171" s="4">
        <v>3</v>
      </c>
      <c r="E171" s="4" t="s">
        <v>11</v>
      </c>
      <c r="F171" s="4" t="s">
        <v>12</v>
      </c>
      <c r="G171" s="4" t="s">
        <v>15</v>
      </c>
      <c r="H171" s="4">
        <v>1700.7868573643609</v>
      </c>
      <c r="I171" s="4">
        <v>2000.9257145463077</v>
      </c>
      <c r="J171" s="2">
        <f>VLOOKUP(A171,Planilha1!A:M,13,0)</f>
        <v>2511.8220480829059</v>
      </c>
      <c r="K171" s="10">
        <f t="shared" si="4"/>
        <v>811.03519071854498</v>
      </c>
      <c r="L171" s="10">
        <f t="shared" si="5"/>
        <v>300.13885718194683</v>
      </c>
    </row>
    <row r="172" spans="1:12" x14ac:dyDescent="0.25">
      <c r="A172" s="2">
        <v>1</v>
      </c>
      <c r="B172" s="4">
        <v>63</v>
      </c>
      <c r="C172" s="4">
        <v>41.5</v>
      </c>
      <c r="D172" s="4">
        <v>0</v>
      </c>
      <c r="E172" s="4" t="s">
        <v>11</v>
      </c>
      <c r="F172" s="4" t="s">
        <v>12</v>
      </c>
      <c r="G172" s="4" t="s">
        <v>13</v>
      </c>
      <c r="H172" s="4">
        <v>5597.9751823582556</v>
      </c>
      <c r="I172" s="4">
        <v>5331.4049355792922</v>
      </c>
      <c r="J172" s="2">
        <f>VLOOKUP(A172,Planilha1!A:M,13,0)</f>
        <v>6326.3485212104815</v>
      </c>
      <c r="K172" s="10">
        <f t="shared" si="4"/>
        <v>728.37333885222597</v>
      </c>
      <c r="L172" s="10">
        <f t="shared" si="5"/>
        <v>-266.57024677896334</v>
      </c>
    </row>
    <row r="173" spans="1:12" x14ac:dyDescent="0.25">
      <c r="A173" s="2">
        <v>1</v>
      </c>
      <c r="B173" s="4">
        <v>49</v>
      </c>
      <c r="C173" s="4">
        <v>30.3</v>
      </c>
      <c r="D173" s="4">
        <v>0</v>
      </c>
      <c r="E173" s="4" t="s">
        <v>11</v>
      </c>
      <c r="F173" s="4" t="s">
        <v>12</v>
      </c>
      <c r="G173" s="4" t="s">
        <v>10</v>
      </c>
      <c r="H173" s="4">
        <v>4933.5168092938457</v>
      </c>
      <c r="I173" s="4">
        <v>4698.5874374227114</v>
      </c>
      <c r="J173" s="2">
        <f>VLOOKUP(A173,Planilha1!A:M,13,0)</f>
        <v>6326.3485212104815</v>
      </c>
      <c r="K173" s="10">
        <f t="shared" si="4"/>
        <v>1392.8317119166359</v>
      </c>
      <c r="L173" s="10">
        <f t="shared" si="5"/>
        <v>-234.92937187113421</v>
      </c>
    </row>
    <row r="174" spans="1:12" x14ac:dyDescent="0.25">
      <c r="A174" s="2">
        <v>0</v>
      </c>
      <c r="B174" s="4">
        <v>18</v>
      </c>
      <c r="C174" s="4">
        <v>25</v>
      </c>
      <c r="D174" s="4">
        <v>0</v>
      </c>
      <c r="E174" s="4" t="s">
        <v>11</v>
      </c>
      <c r="F174" s="4" t="s">
        <v>12</v>
      </c>
      <c r="G174" s="4" t="s">
        <v>15</v>
      </c>
      <c r="H174" s="4">
        <v>1957.8025427339503</v>
      </c>
      <c r="I174" s="4">
        <v>2303.2971090987658</v>
      </c>
      <c r="J174" s="2">
        <f>VLOOKUP(A174,Planilha1!A:M,13,0)</f>
        <v>2511.8220480829059</v>
      </c>
      <c r="K174" s="10">
        <f t="shared" si="4"/>
        <v>554.01950534895559</v>
      </c>
      <c r="L174" s="10">
        <f t="shared" si="5"/>
        <v>345.49456636481546</v>
      </c>
    </row>
    <row r="175" spans="1:12" x14ac:dyDescent="0.25">
      <c r="A175" s="2">
        <v>0</v>
      </c>
      <c r="B175" s="4">
        <v>35</v>
      </c>
      <c r="C175" s="4">
        <v>22.4</v>
      </c>
      <c r="D175" s="4">
        <v>1</v>
      </c>
      <c r="E175" s="4" t="s">
        <v>8</v>
      </c>
      <c r="F175" s="4" t="s">
        <v>12</v>
      </c>
      <c r="G175" s="4" t="s">
        <v>10</v>
      </c>
      <c r="H175" s="4">
        <v>2301.0034618048944</v>
      </c>
      <c r="I175" s="4">
        <v>2707.0628962410528</v>
      </c>
      <c r="J175" s="2">
        <f>VLOOKUP(A175,Planilha1!A:M,13,0)</f>
        <v>2511.8220480829059</v>
      </c>
      <c r="K175" s="10">
        <f t="shared" si="4"/>
        <v>210.81858627801148</v>
      </c>
      <c r="L175" s="10">
        <f t="shared" si="5"/>
        <v>406.05943443615843</v>
      </c>
    </row>
    <row r="176" spans="1:12" x14ac:dyDescent="0.25">
      <c r="A176" s="2">
        <v>0</v>
      </c>
      <c r="B176" s="4">
        <v>24</v>
      </c>
      <c r="C176" s="4">
        <v>20.3</v>
      </c>
      <c r="D176" s="4">
        <v>0</v>
      </c>
      <c r="E176" s="4" t="s">
        <v>8</v>
      </c>
      <c r="F176" s="4" t="s">
        <v>12</v>
      </c>
      <c r="G176" s="4" t="s">
        <v>14</v>
      </c>
      <c r="H176" s="4">
        <v>1616.802052057833</v>
      </c>
      <c r="I176" s="4">
        <v>1902.1200612445102</v>
      </c>
      <c r="J176" s="2">
        <f>VLOOKUP(A176,Planilha1!A:M,13,0)</f>
        <v>2511.8220480829059</v>
      </c>
      <c r="K176" s="10">
        <f t="shared" si="4"/>
        <v>895.01999602507294</v>
      </c>
      <c r="L176" s="10">
        <f t="shared" si="5"/>
        <v>285.31800918667727</v>
      </c>
    </row>
    <row r="177" spans="1:12" x14ac:dyDescent="0.25">
      <c r="A177" s="2">
        <v>2</v>
      </c>
      <c r="B177" s="4">
        <v>63</v>
      </c>
      <c r="C177" s="4">
        <v>37.700000000000003</v>
      </c>
      <c r="D177" s="4">
        <v>0</v>
      </c>
      <c r="E177" s="4" t="s">
        <v>8</v>
      </c>
      <c r="F177" s="4" t="s">
        <v>9</v>
      </c>
      <c r="G177" s="4" t="s">
        <v>10</v>
      </c>
      <c r="H177" s="4">
        <v>6084.078021496347</v>
      </c>
      <c r="I177" s="4">
        <v>5794.3600204727127</v>
      </c>
      <c r="J177" s="2">
        <f>VLOOKUP(A177,Planilha1!A:M,13,0)</f>
        <v>3220.2324129890262</v>
      </c>
      <c r="K177" s="10">
        <f t="shared" si="4"/>
        <v>-2863.8456085073208</v>
      </c>
      <c r="L177" s="10">
        <f t="shared" si="5"/>
        <v>-289.71800102363432</v>
      </c>
    </row>
    <row r="178" spans="1:12" x14ac:dyDescent="0.25">
      <c r="A178" s="2">
        <v>3</v>
      </c>
      <c r="B178" s="4">
        <v>38</v>
      </c>
      <c r="C178" s="4">
        <v>27.8</v>
      </c>
      <c r="D178" s="4">
        <v>2</v>
      </c>
      <c r="E178" s="4" t="s">
        <v>11</v>
      </c>
      <c r="F178" s="4" t="s">
        <v>12</v>
      </c>
      <c r="G178" s="4" t="s">
        <v>14</v>
      </c>
      <c r="H178" s="4">
        <v>1025.5731162499164</v>
      </c>
      <c r="I178" s="4">
        <v>1367.4308216665552</v>
      </c>
      <c r="J178" s="2">
        <f>VLOOKUP(A178,Planilha1!A:M,13,0)</f>
        <v>3049.3550806113421</v>
      </c>
      <c r="K178" s="10">
        <f t="shared" si="4"/>
        <v>2023.7819643614257</v>
      </c>
      <c r="L178" s="10">
        <f t="shared" si="5"/>
        <v>341.85770541663874</v>
      </c>
    </row>
    <row r="179" spans="1:12" x14ac:dyDescent="0.25">
      <c r="A179" s="2">
        <v>1</v>
      </c>
      <c r="B179" s="4">
        <v>54</v>
      </c>
      <c r="C179" s="4">
        <v>29.2</v>
      </c>
      <c r="D179" s="4">
        <v>1</v>
      </c>
      <c r="E179" s="4" t="s">
        <v>11</v>
      </c>
      <c r="F179" s="4" t="s">
        <v>12</v>
      </c>
      <c r="G179" s="4" t="s">
        <v>10</v>
      </c>
      <c r="H179" s="4">
        <v>4058.7901462347809</v>
      </c>
      <c r="I179" s="4">
        <v>3865.5144249855075</v>
      </c>
      <c r="J179" s="2">
        <f>VLOOKUP(A179,Planilha1!A:M,13,0)</f>
        <v>6326.3485212104815</v>
      </c>
      <c r="K179" s="10">
        <f t="shared" si="4"/>
        <v>2267.5583749757006</v>
      </c>
      <c r="L179" s="10">
        <f t="shared" si="5"/>
        <v>-193.27572124927337</v>
      </c>
    </row>
    <row r="180" spans="1:12" x14ac:dyDescent="0.25">
      <c r="A180" s="2">
        <v>3</v>
      </c>
      <c r="B180" s="4">
        <v>46</v>
      </c>
      <c r="C180" s="4">
        <v>28.9</v>
      </c>
      <c r="D180" s="4">
        <v>2</v>
      </c>
      <c r="E180" s="4" t="s">
        <v>8</v>
      </c>
      <c r="F180" s="4" t="s">
        <v>12</v>
      </c>
      <c r="G180" s="4" t="s">
        <v>10</v>
      </c>
      <c r="H180" s="4">
        <v>1882.2778795865493</v>
      </c>
      <c r="I180" s="4">
        <v>2509.7038394487322</v>
      </c>
      <c r="J180" s="2">
        <f>VLOOKUP(A180,Planilha1!A:M,13,0)</f>
        <v>3049.3550806113421</v>
      </c>
      <c r="K180" s="10">
        <f t="shared" si="4"/>
        <v>1167.0772010247929</v>
      </c>
      <c r="L180" s="10">
        <f t="shared" si="5"/>
        <v>627.42595986218294</v>
      </c>
    </row>
    <row r="181" spans="1:12" x14ac:dyDescent="0.25">
      <c r="A181" s="2">
        <v>3</v>
      </c>
      <c r="B181" s="4">
        <v>41</v>
      </c>
      <c r="C181" s="4">
        <v>33.200000000000003</v>
      </c>
      <c r="D181" s="4">
        <v>3</v>
      </c>
      <c r="E181" s="4" t="s">
        <v>8</v>
      </c>
      <c r="F181" s="4" t="s">
        <v>12</v>
      </c>
      <c r="G181" s="4" t="s">
        <v>15</v>
      </c>
      <c r="H181" s="4">
        <v>1520.6435618697235</v>
      </c>
      <c r="I181" s="4">
        <v>2027.5247491596313</v>
      </c>
      <c r="J181" s="2">
        <f>VLOOKUP(A181,Planilha1!A:M,13,0)</f>
        <v>3049.3550806113421</v>
      </c>
      <c r="K181" s="10">
        <f t="shared" si="4"/>
        <v>1528.7115187416186</v>
      </c>
      <c r="L181" s="10">
        <f t="shared" si="5"/>
        <v>506.88118728990776</v>
      </c>
    </row>
    <row r="182" spans="1:12" x14ac:dyDescent="0.25">
      <c r="A182" s="2">
        <v>1</v>
      </c>
      <c r="B182" s="4">
        <v>58</v>
      </c>
      <c r="C182" s="4">
        <v>28.6</v>
      </c>
      <c r="D182" s="4">
        <v>0</v>
      </c>
      <c r="E182" s="4" t="s">
        <v>11</v>
      </c>
      <c r="F182" s="4" t="s">
        <v>12</v>
      </c>
      <c r="G182" s="4" t="s">
        <v>14</v>
      </c>
      <c r="H182" s="4">
        <v>4532.5464411925796</v>
      </c>
      <c r="I182" s="4">
        <v>4316.7108963738865</v>
      </c>
      <c r="J182" s="2">
        <f>VLOOKUP(A182,Planilha1!A:M,13,0)</f>
        <v>6326.3485212104815</v>
      </c>
      <c r="K182" s="10">
        <f t="shared" si="4"/>
        <v>1793.802080017902</v>
      </c>
      <c r="L182" s="10">
        <f t="shared" si="5"/>
        <v>-215.83554481869305</v>
      </c>
    </row>
    <row r="183" spans="1:12" x14ac:dyDescent="0.25">
      <c r="A183" s="2">
        <v>0</v>
      </c>
      <c r="B183" s="4">
        <v>18</v>
      </c>
      <c r="C183" s="4">
        <v>22.6</v>
      </c>
      <c r="D183" s="4">
        <v>0</v>
      </c>
      <c r="E183" s="4" t="s">
        <v>8</v>
      </c>
      <c r="F183" s="4" t="s">
        <v>12</v>
      </c>
      <c r="G183" s="4" t="s">
        <v>13</v>
      </c>
      <c r="H183" s="4">
        <v>1750.8711520464799</v>
      </c>
      <c r="I183" s="4">
        <v>2059.8484141723297</v>
      </c>
      <c r="J183" s="2">
        <f>VLOOKUP(A183,Planilha1!A:M,13,0)</f>
        <v>2511.8220480829059</v>
      </c>
      <c r="K183" s="10">
        <f t="shared" si="4"/>
        <v>760.950896036426</v>
      </c>
      <c r="L183" s="10">
        <f t="shared" si="5"/>
        <v>308.97726212584985</v>
      </c>
    </row>
    <row r="184" spans="1:12" x14ac:dyDescent="0.25">
      <c r="A184" s="2">
        <v>0</v>
      </c>
      <c r="B184" s="4">
        <v>22</v>
      </c>
      <c r="C184" s="4">
        <v>20</v>
      </c>
      <c r="D184" s="4">
        <v>3</v>
      </c>
      <c r="E184" s="4" t="s">
        <v>11</v>
      </c>
      <c r="F184" s="4" t="s">
        <v>12</v>
      </c>
      <c r="G184" s="4" t="s">
        <v>15</v>
      </c>
      <c r="H184" s="4">
        <v>1879.8791937771161</v>
      </c>
      <c r="I184" s="4">
        <v>2211.6225809142552</v>
      </c>
      <c r="J184" s="2">
        <f>VLOOKUP(A184,Planilha1!A:M,13,0)</f>
        <v>2511.8220480829059</v>
      </c>
      <c r="K184" s="10">
        <f t="shared" si="4"/>
        <v>631.94285430578975</v>
      </c>
      <c r="L184" s="10">
        <f t="shared" si="5"/>
        <v>331.74338713713905</v>
      </c>
    </row>
    <row r="185" spans="1:12" x14ac:dyDescent="0.25">
      <c r="A185" s="2">
        <v>1</v>
      </c>
      <c r="B185" s="4">
        <v>44</v>
      </c>
      <c r="C185" s="4">
        <v>26.4</v>
      </c>
      <c r="D185" s="4">
        <v>0</v>
      </c>
      <c r="E185" s="4" t="s">
        <v>8</v>
      </c>
      <c r="F185" s="4" t="s">
        <v>12</v>
      </c>
      <c r="G185" s="4" t="s">
        <v>14</v>
      </c>
      <c r="H185" s="4">
        <v>4476.3831103566699</v>
      </c>
      <c r="I185" s="4">
        <v>4263.2220098634971</v>
      </c>
      <c r="J185" s="2">
        <f>VLOOKUP(A185,Planilha1!A:M,13,0)</f>
        <v>6326.3485212104815</v>
      </c>
      <c r="K185" s="10">
        <f t="shared" si="4"/>
        <v>1849.9654108538116</v>
      </c>
      <c r="L185" s="10">
        <f t="shared" si="5"/>
        <v>-213.16110049317285</v>
      </c>
    </row>
    <row r="186" spans="1:12" x14ac:dyDescent="0.25">
      <c r="A186" s="2">
        <v>3</v>
      </c>
      <c r="B186" s="4">
        <v>44</v>
      </c>
      <c r="C186" s="4">
        <v>30.7</v>
      </c>
      <c r="D186" s="4">
        <v>2</v>
      </c>
      <c r="E186" s="4" t="s">
        <v>11</v>
      </c>
      <c r="F186" s="4" t="s">
        <v>12</v>
      </c>
      <c r="G186" s="4" t="s">
        <v>13</v>
      </c>
      <c r="H186" s="4">
        <v>2280.9833671234942</v>
      </c>
      <c r="I186" s="4">
        <v>3041.3111561646588</v>
      </c>
      <c r="J186" s="2">
        <f>VLOOKUP(A186,Planilha1!A:M,13,0)</f>
        <v>3049.3550806113421</v>
      </c>
      <c r="K186" s="10">
        <f t="shared" si="4"/>
        <v>768.37171348784796</v>
      </c>
      <c r="L186" s="10">
        <f t="shared" si="5"/>
        <v>760.32778904116458</v>
      </c>
    </row>
    <row r="187" spans="1:12" x14ac:dyDescent="0.25">
      <c r="A187" s="2">
        <v>2</v>
      </c>
      <c r="B187" s="4">
        <v>36</v>
      </c>
      <c r="C187" s="4">
        <v>41.9</v>
      </c>
      <c r="D187" s="4">
        <v>3</v>
      </c>
      <c r="E187" s="4" t="s">
        <v>11</v>
      </c>
      <c r="F187" s="4" t="s">
        <v>9</v>
      </c>
      <c r="G187" s="4" t="s">
        <v>15</v>
      </c>
      <c r="H187" s="4">
        <v>2312.4757375941704</v>
      </c>
      <c r="I187" s="4">
        <v>3083.3009834588938</v>
      </c>
      <c r="J187" s="2">
        <f>VLOOKUP(A187,Planilha1!A:M,13,0)</f>
        <v>3220.2324129890262</v>
      </c>
      <c r="K187" s="10">
        <f t="shared" si="4"/>
        <v>907.75667539485585</v>
      </c>
      <c r="L187" s="10">
        <f t="shared" si="5"/>
        <v>770.82524586472346</v>
      </c>
    </row>
    <row r="188" spans="1:12" x14ac:dyDescent="0.25">
      <c r="A188" s="2">
        <v>3</v>
      </c>
      <c r="B188" s="4">
        <v>26</v>
      </c>
      <c r="C188" s="4">
        <v>29.9</v>
      </c>
      <c r="D188" s="4">
        <v>2</v>
      </c>
      <c r="E188" s="4" t="s">
        <v>8</v>
      </c>
      <c r="F188" s="4" t="s">
        <v>12</v>
      </c>
      <c r="G188" s="4" t="s">
        <v>13</v>
      </c>
      <c r="H188" s="4">
        <v>881.68074720814354</v>
      </c>
      <c r="I188" s="4">
        <v>1175.5743296108581</v>
      </c>
      <c r="J188" s="2">
        <f>VLOOKUP(A188,Planilha1!A:M,13,0)</f>
        <v>3049.3550806113421</v>
      </c>
      <c r="K188" s="10">
        <f t="shared" si="4"/>
        <v>2167.6743334031985</v>
      </c>
      <c r="L188" s="10">
        <f t="shared" si="5"/>
        <v>293.89358240271451</v>
      </c>
    </row>
    <row r="189" spans="1:12" x14ac:dyDescent="0.25">
      <c r="A189" s="2">
        <v>3</v>
      </c>
      <c r="B189" s="4">
        <v>30</v>
      </c>
      <c r="C189" s="4">
        <v>30.9</v>
      </c>
      <c r="D189" s="4">
        <v>3</v>
      </c>
      <c r="E189" s="4" t="s">
        <v>8</v>
      </c>
      <c r="F189" s="4" t="s">
        <v>12</v>
      </c>
      <c r="G189" s="4" t="s">
        <v>10</v>
      </c>
      <c r="H189" s="4">
        <v>3064.5401476940028</v>
      </c>
      <c r="I189" s="4">
        <v>4086.0535302586704</v>
      </c>
      <c r="J189" s="2">
        <f>VLOOKUP(A189,Planilha1!A:M,13,0)</f>
        <v>3049.3550806113421</v>
      </c>
      <c r="K189" s="10">
        <f t="shared" si="4"/>
        <v>-15.18506708266068</v>
      </c>
      <c r="L189" s="10">
        <f t="shared" si="5"/>
        <v>1021.5133825646676</v>
      </c>
    </row>
    <row r="190" spans="1:12" x14ac:dyDescent="0.25">
      <c r="A190" s="2">
        <v>1</v>
      </c>
      <c r="B190" s="4">
        <v>41</v>
      </c>
      <c r="C190" s="4">
        <v>32.200000000000003</v>
      </c>
      <c r="D190" s="4">
        <v>1</v>
      </c>
      <c r="E190" s="4" t="s">
        <v>8</v>
      </c>
      <c r="F190" s="4" t="s">
        <v>12</v>
      </c>
      <c r="G190" s="4" t="s">
        <v>10</v>
      </c>
      <c r="H190" s="4">
        <v>5032.6208874507311</v>
      </c>
      <c r="I190" s="4">
        <v>4792.9722737626016</v>
      </c>
      <c r="J190" s="2">
        <f>VLOOKUP(A190,Planilha1!A:M,13,0)</f>
        <v>6326.3485212104815</v>
      </c>
      <c r="K190" s="10">
        <f t="shared" si="4"/>
        <v>1293.7276337597505</v>
      </c>
      <c r="L190" s="10">
        <f t="shared" si="5"/>
        <v>-239.64861368812944</v>
      </c>
    </row>
    <row r="191" spans="1:12" x14ac:dyDescent="0.25">
      <c r="A191" s="2">
        <v>3</v>
      </c>
      <c r="B191" s="4">
        <v>29</v>
      </c>
      <c r="C191" s="4">
        <v>32.1</v>
      </c>
      <c r="D191" s="4">
        <v>2</v>
      </c>
      <c r="E191" s="4" t="s">
        <v>8</v>
      </c>
      <c r="F191" s="4" t="s">
        <v>12</v>
      </c>
      <c r="G191" s="4" t="s">
        <v>14</v>
      </c>
      <c r="H191" s="4">
        <v>1266.1030498786652</v>
      </c>
      <c r="I191" s="4">
        <v>1688.1373998382203</v>
      </c>
      <c r="J191" s="2">
        <f>VLOOKUP(A191,Planilha1!A:M,13,0)</f>
        <v>3049.3550806113421</v>
      </c>
      <c r="K191" s="10">
        <f t="shared" si="4"/>
        <v>1783.252030732677</v>
      </c>
      <c r="L191" s="10">
        <f t="shared" si="5"/>
        <v>422.03434995955513</v>
      </c>
    </row>
    <row r="192" spans="1:12" x14ac:dyDescent="0.25">
      <c r="A192" s="2">
        <v>1</v>
      </c>
      <c r="B192" s="4">
        <v>61</v>
      </c>
      <c r="C192" s="4">
        <v>31.6</v>
      </c>
      <c r="D192" s="4">
        <v>0</v>
      </c>
      <c r="E192" s="4" t="s">
        <v>11</v>
      </c>
      <c r="F192" s="4" t="s">
        <v>12</v>
      </c>
      <c r="G192" s="4" t="s">
        <v>13</v>
      </c>
      <c r="H192" s="4">
        <v>5650.2782969314203</v>
      </c>
      <c r="I192" s="4">
        <v>5381.2174256489734</v>
      </c>
      <c r="J192" s="2">
        <f>VLOOKUP(A192,Planilha1!A:M,13,0)</f>
        <v>6326.3485212104815</v>
      </c>
      <c r="K192" s="10">
        <f t="shared" si="4"/>
        <v>676.07022427906122</v>
      </c>
      <c r="L192" s="10">
        <f t="shared" si="5"/>
        <v>-269.0608712824469</v>
      </c>
    </row>
    <row r="193" spans="1:12" x14ac:dyDescent="0.25">
      <c r="A193" s="2">
        <v>0</v>
      </c>
      <c r="B193" s="4">
        <v>36</v>
      </c>
      <c r="C193" s="4">
        <v>20.9</v>
      </c>
      <c r="D193" s="4">
        <v>0</v>
      </c>
      <c r="E193" s="4" t="s">
        <v>8</v>
      </c>
      <c r="F193" s="4" t="s">
        <v>12</v>
      </c>
      <c r="G193" s="4" t="s">
        <v>10</v>
      </c>
      <c r="H193" s="4">
        <v>1871.593715814392</v>
      </c>
      <c r="I193" s="4">
        <v>2201.8749597816382</v>
      </c>
      <c r="J193" s="2">
        <f>VLOOKUP(A193,Planilha1!A:M,13,0)</f>
        <v>2511.8220480829059</v>
      </c>
      <c r="K193" s="10">
        <f t="shared" si="4"/>
        <v>640.2283322685139</v>
      </c>
      <c r="L193" s="10">
        <f t="shared" si="5"/>
        <v>330.28124396724616</v>
      </c>
    </row>
    <row r="194" spans="1:12" x14ac:dyDescent="0.25">
      <c r="A194" s="2">
        <v>0</v>
      </c>
      <c r="B194" s="4">
        <v>25</v>
      </c>
      <c r="C194" s="4">
        <v>24.1</v>
      </c>
      <c r="D194" s="4">
        <v>0</v>
      </c>
      <c r="E194" s="4" t="s">
        <v>11</v>
      </c>
      <c r="F194" s="4" t="s">
        <v>12</v>
      </c>
      <c r="G194" s="4" t="s">
        <v>13</v>
      </c>
      <c r="H194" s="4">
        <v>2159.5878910743363</v>
      </c>
      <c r="I194" s="4">
        <v>2540.6916365580437</v>
      </c>
      <c r="J194" s="2">
        <f>VLOOKUP(A194,Planilha1!A:M,13,0)</f>
        <v>2511.8220480829059</v>
      </c>
      <c r="K194" s="10">
        <f t="shared" si="4"/>
        <v>352.23415700856958</v>
      </c>
      <c r="L194" s="10">
        <f t="shared" si="5"/>
        <v>381.10374548370737</v>
      </c>
    </row>
    <row r="195" spans="1:12" x14ac:dyDescent="0.25">
      <c r="A195" s="2">
        <v>1</v>
      </c>
      <c r="B195" s="4">
        <v>56</v>
      </c>
      <c r="C195" s="4">
        <v>26.6</v>
      </c>
      <c r="D195" s="4">
        <v>1</v>
      </c>
      <c r="E195" s="4" t="s">
        <v>8</v>
      </c>
      <c r="F195" s="4" t="s">
        <v>12</v>
      </c>
      <c r="G195" s="4" t="s">
        <v>14</v>
      </c>
      <c r="H195" s="4">
        <v>4491.1182396027843</v>
      </c>
      <c r="I195" s="4">
        <v>4277.2554662883676</v>
      </c>
      <c r="J195" s="2">
        <f>VLOOKUP(A195,Planilha1!A:M,13,0)</f>
        <v>6326.3485212104815</v>
      </c>
      <c r="K195" s="10">
        <f t="shared" ref="K195:K258" si="6">J195-H195</f>
        <v>1835.2302816076972</v>
      </c>
      <c r="L195" s="10">
        <f t="shared" ref="L195:L258" si="7">I195-H195</f>
        <v>-213.8627733144167</v>
      </c>
    </row>
    <row r="196" spans="1:12" x14ac:dyDescent="0.25">
      <c r="A196" s="2">
        <v>0</v>
      </c>
      <c r="B196" s="4">
        <v>18</v>
      </c>
      <c r="C196" s="4">
        <v>22.9</v>
      </c>
      <c r="D196" s="4">
        <v>0</v>
      </c>
      <c r="E196" s="4" t="s">
        <v>11</v>
      </c>
      <c r="F196" s="4" t="s">
        <v>12</v>
      </c>
      <c r="G196" s="4" t="s">
        <v>13</v>
      </c>
      <c r="H196" s="4">
        <v>1701.1841159027517</v>
      </c>
      <c r="I196" s="4">
        <v>2001.3930775326498</v>
      </c>
      <c r="J196" s="2">
        <f>VLOOKUP(A196,Planilha1!A:M,13,0)</f>
        <v>2511.8220480829059</v>
      </c>
      <c r="K196" s="10">
        <f t="shared" si="6"/>
        <v>810.63793218015417</v>
      </c>
      <c r="L196" s="10">
        <f t="shared" si="7"/>
        <v>300.20896162989811</v>
      </c>
    </row>
    <row r="197" spans="1:12" x14ac:dyDescent="0.25">
      <c r="A197" s="2">
        <v>0</v>
      </c>
      <c r="B197" s="4">
        <v>19</v>
      </c>
      <c r="C197" s="4">
        <v>24</v>
      </c>
      <c r="D197" s="4">
        <v>0</v>
      </c>
      <c r="E197" s="4" t="s">
        <v>11</v>
      </c>
      <c r="F197" s="4" t="s">
        <v>12</v>
      </c>
      <c r="G197" s="4" t="s">
        <v>14</v>
      </c>
      <c r="H197" s="4">
        <v>2075.6090322175382</v>
      </c>
      <c r="I197" s="4">
        <v>2441.8929790794573</v>
      </c>
      <c r="J197" s="2">
        <f>VLOOKUP(A197,Planilha1!A:M,13,0)</f>
        <v>2511.8220480829059</v>
      </c>
      <c r="K197" s="10">
        <f t="shared" si="6"/>
        <v>436.21301586536765</v>
      </c>
      <c r="L197" s="10">
        <f t="shared" si="7"/>
        <v>366.28394686191905</v>
      </c>
    </row>
    <row r="198" spans="1:12" x14ac:dyDescent="0.25">
      <c r="A198" s="2">
        <v>1</v>
      </c>
      <c r="B198" s="4">
        <v>39</v>
      </c>
      <c r="C198" s="4">
        <v>32.799999999999997</v>
      </c>
      <c r="D198" s="4">
        <v>0</v>
      </c>
      <c r="E198" s="4" t="s">
        <v>8</v>
      </c>
      <c r="F198" s="4" t="s">
        <v>12</v>
      </c>
      <c r="G198" s="4" t="s">
        <v>10</v>
      </c>
      <c r="H198" s="4">
        <v>4359.8215796193836</v>
      </c>
      <c r="I198" s="4">
        <v>4152.2110282089388</v>
      </c>
      <c r="J198" s="2">
        <f>VLOOKUP(A198,Planilha1!A:M,13,0)</f>
        <v>6326.3485212104815</v>
      </c>
      <c r="K198" s="10">
        <f t="shared" si="6"/>
        <v>1966.526941591098</v>
      </c>
      <c r="L198" s="10">
        <f t="shared" si="7"/>
        <v>-207.61055141044471</v>
      </c>
    </row>
    <row r="199" spans="1:12" x14ac:dyDescent="0.25">
      <c r="A199" s="2">
        <v>3</v>
      </c>
      <c r="B199" s="4">
        <v>45</v>
      </c>
      <c r="C199" s="4">
        <v>28.6</v>
      </c>
      <c r="D199" s="4">
        <v>2</v>
      </c>
      <c r="E199" s="4" t="s">
        <v>8</v>
      </c>
      <c r="F199" s="4" t="s">
        <v>12</v>
      </c>
      <c r="G199" s="4" t="s">
        <v>13</v>
      </c>
      <c r="H199" s="4">
        <v>1692.8985486601821</v>
      </c>
      <c r="I199" s="4">
        <v>2257.1980648802428</v>
      </c>
      <c r="J199" s="2">
        <f>VLOOKUP(A199,Planilha1!A:M,13,0)</f>
        <v>3049.3550806113421</v>
      </c>
      <c r="K199" s="10">
        <f t="shared" si="6"/>
        <v>1356.4565319511601</v>
      </c>
      <c r="L199" s="10">
        <f t="shared" si="7"/>
        <v>564.2995162200607</v>
      </c>
    </row>
    <row r="200" spans="1:12" x14ac:dyDescent="0.25">
      <c r="A200" s="2">
        <v>0</v>
      </c>
      <c r="B200" s="4">
        <v>51</v>
      </c>
      <c r="C200" s="4">
        <v>18.100000000000001</v>
      </c>
      <c r="D200" s="4">
        <v>0</v>
      </c>
      <c r="E200" s="4" t="s">
        <v>8</v>
      </c>
      <c r="F200" s="4" t="s">
        <v>12</v>
      </c>
      <c r="G200" s="4" t="s">
        <v>14</v>
      </c>
      <c r="H200" s="4">
        <v>2237.2492180679405</v>
      </c>
      <c r="I200" s="4">
        <v>2632.0579036093427</v>
      </c>
      <c r="J200" s="2">
        <f>VLOOKUP(A200,Planilha1!A:M,13,0)</f>
        <v>2511.8220480829059</v>
      </c>
      <c r="K200" s="10">
        <f t="shared" si="6"/>
        <v>274.57283001496535</v>
      </c>
      <c r="L200" s="10">
        <f t="shared" si="7"/>
        <v>394.80868554140216</v>
      </c>
    </row>
    <row r="201" spans="1:12" x14ac:dyDescent="0.25">
      <c r="A201" s="2">
        <v>1</v>
      </c>
      <c r="B201" s="4">
        <v>64</v>
      </c>
      <c r="C201" s="4">
        <v>39.299999999999997</v>
      </c>
      <c r="D201" s="4">
        <v>0</v>
      </c>
      <c r="E201" s="4" t="s">
        <v>8</v>
      </c>
      <c r="F201" s="4" t="s">
        <v>12</v>
      </c>
      <c r="G201" s="4" t="s">
        <v>15</v>
      </c>
      <c r="H201" s="4">
        <v>4130.1982629749527</v>
      </c>
      <c r="I201" s="4">
        <v>3933.522155214242</v>
      </c>
      <c r="J201" s="2">
        <f>VLOOKUP(A201,Planilha1!A:M,13,0)</f>
        <v>6326.3485212104815</v>
      </c>
      <c r="K201" s="10">
        <f t="shared" si="6"/>
        <v>2196.1502582355288</v>
      </c>
      <c r="L201" s="10">
        <f t="shared" si="7"/>
        <v>-196.67610776071069</v>
      </c>
    </row>
    <row r="202" spans="1:12" x14ac:dyDescent="0.25">
      <c r="A202" s="2">
        <v>0</v>
      </c>
      <c r="B202" s="4">
        <v>19</v>
      </c>
      <c r="C202" s="4">
        <v>23.1</v>
      </c>
      <c r="D202" s="4">
        <v>0</v>
      </c>
      <c r="E202" s="4" t="s">
        <v>8</v>
      </c>
      <c r="F202" s="4" t="s">
        <v>12</v>
      </c>
      <c r="G202" s="4" t="s">
        <v>14</v>
      </c>
      <c r="H202" s="4">
        <v>2045.0786561708117</v>
      </c>
      <c r="I202" s="4">
        <v>2405.9748896127203</v>
      </c>
      <c r="J202" s="2">
        <f>VLOOKUP(A202,Planilha1!A:M,13,0)</f>
        <v>2511.8220480829059</v>
      </c>
      <c r="K202" s="10">
        <f t="shared" si="6"/>
        <v>466.74339191209424</v>
      </c>
      <c r="L202" s="10">
        <f t="shared" si="7"/>
        <v>360.89623344190863</v>
      </c>
    </row>
    <row r="203" spans="1:12" x14ac:dyDescent="0.25">
      <c r="A203" s="2">
        <v>1</v>
      </c>
      <c r="B203" s="4">
        <v>48</v>
      </c>
      <c r="C203" s="4">
        <v>32.200000000000003</v>
      </c>
      <c r="D203" s="4">
        <v>1</v>
      </c>
      <c r="E203" s="4" t="s">
        <v>8</v>
      </c>
      <c r="F203" s="4" t="s">
        <v>12</v>
      </c>
      <c r="G203" s="4" t="s">
        <v>13</v>
      </c>
      <c r="H203" s="4">
        <v>5402.9525447644046</v>
      </c>
      <c r="I203" s="4">
        <v>5145.6690902518158</v>
      </c>
      <c r="J203" s="2">
        <f>VLOOKUP(A203,Planilha1!A:M,13,0)</f>
        <v>6326.3485212104815</v>
      </c>
      <c r="K203" s="10">
        <f t="shared" si="6"/>
        <v>923.39597644607693</v>
      </c>
      <c r="L203" s="10">
        <f t="shared" si="7"/>
        <v>-257.28345451258883</v>
      </c>
    </row>
    <row r="204" spans="1:12" x14ac:dyDescent="0.25">
      <c r="A204" s="2">
        <v>1</v>
      </c>
      <c r="B204" s="4">
        <v>60</v>
      </c>
      <c r="C204" s="4">
        <v>24</v>
      </c>
      <c r="D204" s="4">
        <v>0</v>
      </c>
      <c r="E204" s="4" t="s">
        <v>8</v>
      </c>
      <c r="F204" s="4" t="s">
        <v>12</v>
      </c>
      <c r="G204" s="4" t="s">
        <v>14</v>
      </c>
      <c r="H204" s="4">
        <v>3897.7315321782989</v>
      </c>
      <c r="I204" s="4">
        <v>3712.1252687412384</v>
      </c>
      <c r="J204" s="2">
        <f>VLOOKUP(A204,Planilha1!A:M,13,0)</f>
        <v>6326.3485212104815</v>
      </c>
      <c r="K204" s="10">
        <f t="shared" si="6"/>
        <v>2428.6169890321826</v>
      </c>
      <c r="L204" s="10">
        <f t="shared" si="7"/>
        <v>-185.60626343706053</v>
      </c>
    </row>
    <row r="205" spans="1:12" x14ac:dyDescent="0.25">
      <c r="A205" s="2">
        <v>2</v>
      </c>
      <c r="B205" s="4">
        <v>27</v>
      </c>
      <c r="C205" s="4">
        <v>23.2</v>
      </c>
      <c r="D205" s="4">
        <v>0</v>
      </c>
      <c r="E205" s="4" t="s">
        <v>8</v>
      </c>
      <c r="F205" s="4" t="s">
        <v>9</v>
      </c>
      <c r="G205" s="4" t="s">
        <v>13</v>
      </c>
      <c r="H205" s="4">
        <v>1746.3861754104666</v>
      </c>
      <c r="I205" s="4">
        <v>2054.5719710711378</v>
      </c>
      <c r="J205" s="2">
        <f>VLOOKUP(A205,Planilha1!A:M,13,0)</f>
        <v>3220.2324129890262</v>
      </c>
      <c r="K205" s="10">
        <f t="shared" si="6"/>
        <v>1473.8462375785596</v>
      </c>
      <c r="L205" s="10">
        <f t="shared" si="7"/>
        <v>308.18579566067115</v>
      </c>
    </row>
    <row r="206" spans="1:12" x14ac:dyDescent="0.25">
      <c r="A206" s="2">
        <v>0</v>
      </c>
      <c r="B206" s="4">
        <v>46</v>
      </c>
      <c r="C206" s="4">
        <v>22.3</v>
      </c>
      <c r="D206" s="4">
        <v>0</v>
      </c>
      <c r="E206" s="4" t="s">
        <v>11</v>
      </c>
      <c r="F206" s="4" t="s">
        <v>12</v>
      </c>
      <c r="G206" s="4" t="s">
        <v>10</v>
      </c>
      <c r="H206" s="4">
        <v>1510.3061279524916</v>
      </c>
      <c r="I206" s="4">
        <v>1776.830738767638</v>
      </c>
      <c r="J206" s="2">
        <f>VLOOKUP(A206,Planilha1!A:M,13,0)</f>
        <v>2511.8220480829059</v>
      </c>
      <c r="K206" s="10">
        <f t="shared" si="6"/>
        <v>1001.5159201304143</v>
      </c>
      <c r="L206" s="10">
        <f t="shared" si="7"/>
        <v>266.52461081514639</v>
      </c>
    </row>
    <row r="207" spans="1:12" x14ac:dyDescent="0.25">
      <c r="A207" s="2">
        <v>0</v>
      </c>
      <c r="B207" s="4">
        <v>28</v>
      </c>
      <c r="C207" s="4">
        <v>21</v>
      </c>
      <c r="D207" s="4">
        <v>1</v>
      </c>
      <c r="E207" s="4" t="s">
        <v>8</v>
      </c>
      <c r="F207" s="4" t="s">
        <v>12</v>
      </c>
      <c r="G207" s="4" t="s">
        <v>15</v>
      </c>
      <c r="H207" s="4">
        <v>2343.3566315236467</v>
      </c>
      <c r="I207" s="4">
        <v>2756.8901547337027</v>
      </c>
      <c r="J207" s="2">
        <f>VLOOKUP(A207,Planilha1!A:M,13,0)</f>
        <v>2511.8220480829059</v>
      </c>
      <c r="K207" s="10">
        <f t="shared" si="6"/>
        <v>168.46541655925921</v>
      </c>
      <c r="L207" s="10">
        <f t="shared" si="7"/>
        <v>413.53352321005605</v>
      </c>
    </row>
    <row r="208" spans="1:12" x14ac:dyDescent="0.25">
      <c r="A208" s="2">
        <v>1</v>
      </c>
      <c r="B208" s="4">
        <v>59</v>
      </c>
      <c r="C208" s="4">
        <v>26.4</v>
      </c>
      <c r="D208" s="4">
        <v>0</v>
      </c>
      <c r="E208" s="4" t="s">
        <v>11</v>
      </c>
      <c r="F208" s="4" t="s">
        <v>12</v>
      </c>
      <c r="G208" s="4" t="s">
        <v>13</v>
      </c>
      <c r="H208" s="4">
        <v>6051.3719088374319</v>
      </c>
      <c r="I208" s="4">
        <v>5763.2113417499359</v>
      </c>
      <c r="J208" s="2">
        <f>VLOOKUP(A208,Planilha1!A:M,13,0)</f>
        <v>6326.3485212104815</v>
      </c>
      <c r="K208" s="10">
        <f t="shared" si="6"/>
        <v>274.97661237304965</v>
      </c>
      <c r="L208" s="10">
        <f t="shared" si="7"/>
        <v>-288.16056708749602</v>
      </c>
    </row>
    <row r="209" spans="1:12" x14ac:dyDescent="0.25">
      <c r="A209" s="2">
        <v>2</v>
      </c>
      <c r="B209" s="4">
        <v>35</v>
      </c>
      <c r="C209" s="4">
        <v>27.7</v>
      </c>
      <c r="D209" s="4">
        <v>2</v>
      </c>
      <c r="E209" s="4" t="s">
        <v>11</v>
      </c>
      <c r="F209" s="4" t="s">
        <v>9</v>
      </c>
      <c r="G209" s="4" t="s">
        <v>15</v>
      </c>
      <c r="H209" s="4">
        <v>848.18601641632051</v>
      </c>
      <c r="I209" s="4">
        <v>1130.914688555094</v>
      </c>
      <c r="J209" s="2">
        <f>VLOOKUP(A209,Planilha1!A:M,13,0)</f>
        <v>3220.2324129890262</v>
      </c>
      <c r="K209" s="10">
        <f t="shared" si="6"/>
        <v>2372.0463965727058</v>
      </c>
      <c r="L209" s="10">
        <f t="shared" si="7"/>
        <v>282.7286721387735</v>
      </c>
    </row>
    <row r="210" spans="1:12" x14ac:dyDescent="0.25">
      <c r="A210" s="2">
        <v>1</v>
      </c>
      <c r="B210" s="4">
        <v>63</v>
      </c>
      <c r="C210" s="4">
        <v>31.8</v>
      </c>
      <c r="D210" s="4">
        <v>0</v>
      </c>
      <c r="E210" s="4" t="s">
        <v>8</v>
      </c>
      <c r="F210" s="4" t="s">
        <v>12</v>
      </c>
      <c r="G210" s="4" t="s">
        <v>10</v>
      </c>
      <c r="H210" s="4">
        <v>5624.9067544344052</v>
      </c>
      <c r="I210" s="4">
        <v>5357.0540518422913</v>
      </c>
      <c r="J210" s="2">
        <f>VLOOKUP(A210,Planilha1!A:M,13,0)</f>
        <v>6326.3485212104815</v>
      </c>
      <c r="K210" s="10">
        <f t="shared" si="6"/>
        <v>701.44176677607629</v>
      </c>
      <c r="L210" s="10">
        <f t="shared" si="7"/>
        <v>-267.85270259211393</v>
      </c>
    </row>
    <row r="211" spans="1:12" x14ac:dyDescent="0.25">
      <c r="A211" s="2">
        <v>1</v>
      </c>
      <c r="B211" s="4">
        <v>40</v>
      </c>
      <c r="C211" s="4">
        <v>41.2</v>
      </c>
      <c r="D211" s="4">
        <v>1</v>
      </c>
      <c r="E211" s="4" t="s">
        <v>11</v>
      </c>
      <c r="F211" s="4" t="s">
        <v>12</v>
      </c>
      <c r="G211" s="4" t="s">
        <v>15</v>
      </c>
      <c r="H211" s="4">
        <v>4258.6245869923941</v>
      </c>
      <c r="I211" s="4">
        <v>4055.8329399927579</v>
      </c>
      <c r="J211" s="2">
        <f>VLOOKUP(A211,Planilha1!A:M,13,0)</f>
        <v>6326.3485212104815</v>
      </c>
      <c r="K211" s="10">
        <f t="shared" si="6"/>
        <v>2067.7239342180874</v>
      </c>
      <c r="L211" s="10">
        <f t="shared" si="7"/>
        <v>-202.79164699963621</v>
      </c>
    </row>
    <row r="212" spans="1:12" x14ac:dyDescent="0.25">
      <c r="A212" s="2">
        <v>0</v>
      </c>
      <c r="B212" s="4">
        <v>20</v>
      </c>
      <c r="C212" s="4">
        <v>22.9</v>
      </c>
      <c r="D212" s="4">
        <v>1</v>
      </c>
      <c r="E212" s="4" t="s">
        <v>11</v>
      </c>
      <c r="F212" s="4" t="s">
        <v>12</v>
      </c>
      <c r="G212" s="4" t="s">
        <v>10</v>
      </c>
      <c r="H212" s="4">
        <v>1726.3275422841214</v>
      </c>
      <c r="I212" s="4">
        <v>2030.9735791577905</v>
      </c>
      <c r="J212" s="2">
        <f>VLOOKUP(A212,Planilha1!A:M,13,0)</f>
        <v>2511.8220480829059</v>
      </c>
      <c r="K212" s="10">
        <f t="shared" si="6"/>
        <v>785.49450579878453</v>
      </c>
      <c r="L212" s="10">
        <f t="shared" si="7"/>
        <v>304.64603687366912</v>
      </c>
    </row>
    <row r="213" spans="1:12" x14ac:dyDescent="0.25">
      <c r="A213" s="2">
        <v>3</v>
      </c>
      <c r="B213" s="4">
        <v>40</v>
      </c>
      <c r="C213" s="4">
        <v>30.9</v>
      </c>
      <c r="D213" s="4">
        <v>4</v>
      </c>
      <c r="E213" s="4" t="s">
        <v>11</v>
      </c>
      <c r="F213" s="4" t="s">
        <v>12</v>
      </c>
      <c r="G213" s="4" t="s">
        <v>14</v>
      </c>
      <c r="H213" s="4">
        <v>2164.1328442501817</v>
      </c>
      <c r="I213" s="4">
        <v>2885.510459000242</v>
      </c>
      <c r="J213" s="2">
        <f>VLOOKUP(A213,Planilha1!A:M,13,0)</f>
        <v>3049.3550806113421</v>
      </c>
      <c r="K213" s="10">
        <f t="shared" si="6"/>
        <v>885.22223636116041</v>
      </c>
      <c r="L213" s="10">
        <f t="shared" si="7"/>
        <v>721.37761475006027</v>
      </c>
    </row>
    <row r="214" spans="1:12" x14ac:dyDescent="0.25">
      <c r="A214" s="2">
        <v>0</v>
      </c>
      <c r="B214" s="4">
        <v>24</v>
      </c>
      <c r="C214" s="4">
        <v>24.5</v>
      </c>
      <c r="D214" s="4">
        <v>2</v>
      </c>
      <c r="E214" s="4" t="s">
        <v>11</v>
      </c>
      <c r="F214" s="4" t="s">
        <v>12</v>
      </c>
      <c r="G214" s="4" t="s">
        <v>14</v>
      </c>
      <c r="H214" s="4">
        <v>2863.7255677819567</v>
      </c>
      <c r="I214" s="4">
        <v>3369.088903272891</v>
      </c>
      <c r="J214" s="2">
        <f>VLOOKUP(A214,Planilha1!A:M,13,0)</f>
        <v>2511.8220480829059</v>
      </c>
      <c r="K214" s="10">
        <f t="shared" si="6"/>
        <v>-351.90351969905078</v>
      </c>
      <c r="L214" s="10">
        <f t="shared" si="7"/>
        <v>505.36333549093433</v>
      </c>
    </row>
    <row r="215" spans="1:12" x14ac:dyDescent="0.25">
      <c r="A215" s="2">
        <v>0</v>
      </c>
      <c r="B215" s="4">
        <v>34</v>
      </c>
      <c r="C215" s="4">
        <v>21.2</v>
      </c>
      <c r="D215" s="4">
        <v>1</v>
      </c>
      <c r="E215" s="4" t="s">
        <v>8</v>
      </c>
      <c r="F215" s="4" t="s">
        <v>12</v>
      </c>
      <c r="G215" s="4" t="s">
        <v>13</v>
      </c>
      <c r="H215" s="4">
        <v>2058.4208878984177</v>
      </c>
      <c r="I215" s="4">
        <v>2421.6716328216689</v>
      </c>
      <c r="J215" s="2">
        <f>VLOOKUP(A215,Planilha1!A:M,13,0)</f>
        <v>2511.8220480829059</v>
      </c>
      <c r="K215" s="10">
        <f t="shared" si="6"/>
        <v>453.40116018448816</v>
      </c>
      <c r="L215" s="10">
        <f t="shared" si="7"/>
        <v>363.2507449232512</v>
      </c>
    </row>
    <row r="216" spans="1:12" x14ac:dyDescent="0.25">
      <c r="A216" s="2">
        <v>3</v>
      </c>
      <c r="B216" s="4">
        <v>45</v>
      </c>
      <c r="C216" s="4">
        <v>30.9</v>
      </c>
      <c r="D216" s="4">
        <v>2</v>
      </c>
      <c r="E216" s="4" t="s">
        <v>8</v>
      </c>
      <c r="F216" s="4" t="s">
        <v>12</v>
      </c>
      <c r="G216" s="4" t="s">
        <v>10</v>
      </c>
      <c r="H216" s="4">
        <v>1688.7906650789728</v>
      </c>
      <c r="I216" s="4">
        <v>2251.7208867719637</v>
      </c>
      <c r="J216" s="2">
        <f>VLOOKUP(A216,Planilha1!A:M,13,0)</f>
        <v>3049.3550806113421</v>
      </c>
      <c r="K216" s="10">
        <f t="shared" si="6"/>
        <v>1360.5644155323694</v>
      </c>
      <c r="L216" s="10">
        <f t="shared" si="7"/>
        <v>562.93022169299093</v>
      </c>
    </row>
    <row r="217" spans="1:12" x14ac:dyDescent="0.25">
      <c r="A217" s="2">
        <v>3</v>
      </c>
      <c r="B217" s="4">
        <v>41</v>
      </c>
      <c r="C217" s="4">
        <v>37.1</v>
      </c>
      <c r="D217" s="4">
        <v>2</v>
      </c>
      <c r="E217" s="4" t="s">
        <v>8</v>
      </c>
      <c r="F217" s="4" t="s">
        <v>12</v>
      </c>
      <c r="G217" s="4" t="s">
        <v>10</v>
      </c>
      <c r="H217" s="4">
        <v>1515.0812868256578</v>
      </c>
      <c r="I217" s="4">
        <v>2020.1083824342104</v>
      </c>
      <c r="J217" s="2">
        <f>VLOOKUP(A217,Planilha1!A:M,13,0)</f>
        <v>3049.3550806113421</v>
      </c>
      <c r="K217" s="10">
        <f t="shared" si="6"/>
        <v>1534.2737937856843</v>
      </c>
      <c r="L217" s="10">
        <f t="shared" si="7"/>
        <v>505.0270956085526</v>
      </c>
    </row>
    <row r="218" spans="1:12" x14ac:dyDescent="0.25">
      <c r="A218" s="2">
        <v>1</v>
      </c>
      <c r="B218" s="4">
        <v>53</v>
      </c>
      <c r="C218" s="4">
        <v>26.6</v>
      </c>
      <c r="D218" s="4">
        <v>0</v>
      </c>
      <c r="E218" s="4" t="s">
        <v>8</v>
      </c>
      <c r="F218" s="4" t="s">
        <v>12</v>
      </c>
      <c r="G218" s="4" t="s">
        <v>14</v>
      </c>
      <c r="H218" s="4">
        <v>4621.910954154102</v>
      </c>
      <c r="I218" s="4">
        <v>4401.8199563372409</v>
      </c>
      <c r="J218" s="2">
        <f>VLOOKUP(A218,Planilha1!A:M,13,0)</f>
        <v>6326.3485212104815</v>
      </c>
      <c r="K218" s="10">
        <f t="shared" si="6"/>
        <v>1704.4375670563795</v>
      </c>
      <c r="L218" s="10">
        <f t="shared" si="7"/>
        <v>-220.09099781686109</v>
      </c>
    </row>
    <row r="219" spans="1:12" x14ac:dyDescent="0.25">
      <c r="A219" s="2">
        <v>0</v>
      </c>
      <c r="B219" s="4">
        <v>27</v>
      </c>
      <c r="C219" s="4">
        <v>22.5</v>
      </c>
      <c r="D219" s="4">
        <v>0</v>
      </c>
      <c r="E219" s="4" t="s">
        <v>11</v>
      </c>
      <c r="F219" s="4" t="s">
        <v>12</v>
      </c>
      <c r="G219" s="4" t="s">
        <v>13</v>
      </c>
      <c r="H219" s="4">
        <v>1871.0752806256</v>
      </c>
      <c r="I219" s="4">
        <v>2201.2650360301186</v>
      </c>
      <c r="J219" s="2">
        <f>VLOOKUP(A219,Planilha1!A:M,13,0)</f>
        <v>2511.8220480829059</v>
      </c>
      <c r="K219" s="10">
        <f t="shared" si="6"/>
        <v>640.74676745730585</v>
      </c>
      <c r="L219" s="10">
        <f t="shared" si="7"/>
        <v>330.18975540451856</v>
      </c>
    </row>
    <row r="220" spans="1:12" x14ac:dyDescent="0.25">
      <c r="A220" s="2">
        <v>0</v>
      </c>
      <c r="B220" s="4">
        <v>26</v>
      </c>
      <c r="C220" s="4">
        <v>23</v>
      </c>
      <c r="D220" s="4">
        <v>1</v>
      </c>
      <c r="E220" s="4" t="s">
        <v>8</v>
      </c>
      <c r="F220" s="4" t="s">
        <v>12</v>
      </c>
      <c r="G220" s="4" t="s">
        <v>13</v>
      </c>
      <c r="H220" s="4">
        <v>2487.4977097495671</v>
      </c>
      <c r="I220" s="4">
        <v>2926.4678938230213</v>
      </c>
      <c r="J220" s="2">
        <f>VLOOKUP(A220,Planilha1!A:M,13,0)</f>
        <v>2511.8220480829059</v>
      </c>
      <c r="K220" s="10">
        <f t="shared" si="6"/>
        <v>24.324338333338801</v>
      </c>
      <c r="L220" s="10">
        <f t="shared" si="7"/>
        <v>438.97018407345422</v>
      </c>
    </row>
    <row r="221" spans="1:12" x14ac:dyDescent="0.25">
      <c r="A221" s="2">
        <v>0</v>
      </c>
      <c r="B221" s="4">
        <v>24</v>
      </c>
      <c r="C221" s="4">
        <v>25</v>
      </c>
      <c r="D221" s="4">
        <v>0</v>
      </c>
      <c r="E221" s="4" t="s">
        <v>8</v>
      </c>
      <c r="F221" s="4" t="s">
        <v>12</v>
      </c>
      <c r="G221" s="4" t="s">
        <v>13</v>
      </c>
      <c r="H221" s="4">
        <v>1668.1985603501566</v>
      </c>
      <c r="I221" s="4">
        <v>1962.58654158842</v>
      </c>
      <c r="J221" s="2">
        <f>VLOOKUP(A221,Planilha1!A:M,13,0)</f>
        <v>2511.8220480829059</v>
      </c>
      <c r="K221" s="10">
        <f t="shared" si="6"/>
        <v>843.62348773274925</v>
      </c>
      <c r="L221" s="10">
        <f t="shared" si="7"/>
        <v>294.38798123826336</v>
      </c>
    </row>
    <row r="222" spans="1:12" x14ac:dyDescent="0.25">
      <c r="A222" s="2">
        <v>0</v>
      </c>
      <c r="B222" s="4">
        <v>34</v>
      </c>
      <c r="C222" s="4">
        <v>25.8</v>
      </c>
      <c r="D222" s="4">
        <v>1</v>
      </c>
      <c r="E222" s="4" t="s">
        <v>8</v>
      </c>
      <c r="F222" s="4" t="s">
        <v>12</v>
      </c>
      <c r="G222" s="4" t="s">
        <v>10</v>
      </c>
      <c r="H222" s="4">
        <v>1633.3749622372356</v>
      </c>
      <c r="I222" s="4">
        <v>1921.6176026320427</v>
      </c>
      <c r="J222" s="2">
        <f>VLOOKUP(A222,Planilha1!A:M,13,0)</f>
        <v>2511.8220480829059</v>
      </c>
      <c r="K222" s="10">
        <f t="shared" si="6"/>
        <v>878.44708584567024</v>
      </c>
      <c r="L222" s="10">
        <f t="shared" si="7"/>
        <v>288.24264039480704</v>
      </c>
    </row>
    <row r="223" spans="1:12" x14ac:dyDescent="0.25">
      <c r="A223" s="2">
        <v>1</v>
      </c>
      <c r="B223" s="4">
        <v>53</v>
      </c>
      <c r="C223" s="4">
        <v>33.299999999999997</v>
      </c>
      <c r="D223" s="4">
        <v>0</v>
      </c>
      <c r="E223" s="4" t="s">
        <v>8</v>
      </c>
      <c r="F223" s="4" t="s">
        <v>12</v>
      </c>
      <c r="G223" s="4" t="s">
        <v>15</v>
      </c>
      <c r="H223" s="4">
        <v>3740.2731651152167</v>
      </c>
      <c r="I223" s="4">
        <v>3562.1649191573506</v>
      </c>
      <c r="J223" s="2">
        <f>VLOOKUP(A223,Planilha1!A:M,13,0)</f>
        <v>6326.3485212104815</v>
      </c>
      <c r="K223" s="10">
        <f t="shared" si="6"/>
        <v>2586.0753560952649</v>
      </c>
      <c r="L223" s="10">
        <f t="shared" si="7"/>
        <v>-178.10824595786607</v>
      </c>
    </row>
    <row r="224" spans="1:12" x14ac:dyDescent="0.25">
      <c r="A224" s="2">
        <v>3</v>
      </c>
      <c r="B224" s="4">
        <v>32</v>
      </c>
      <c r="C224" s="4">
        <v>30.8</v>
      </c>
      <c r="D224" s="4">
        <v>3</v>
      </c>
      <c r="E224" s="4" t="s">
        <v>11</v>
      </c>
      <c r="F224" s="4" t="s">
        <v>12</v>
      </c>
      <c r="G224" s="4" t="s">
        <v>10</v>
      </c>
      <c r="H224" s="4">
        <v>2674.407145905061</v>
      </c>
      <c r="I224" s="4">
        <v>3565.8761945400811</v>
      </c>
      <c r="J224" s="2">
        <f>VLOOKUP(A224,Planilha1!A:M,13,0)</f>
        <v>3049.3550806113421</v>
      </c>
      <c r="K224" s="10">
        <f t="shared" si="6"/>
        <v>374.9479347062811</v>
      </c>
      <c r="L224" s="10">
        <f t="shared" si="7"/>
        <v>891.46904863502004</v>
      </c>
    </row>
    <row r="225" spans="1:12" x14ac:dyDescent="0.25">
      <c r="A225" s="2">
        <v>2</v>
      </c>
      <c r="B225" s="4">
        <v>19</v>
      </c>
      <c r="C225" s="4">
        <v>24</v>
      </c>
      <c r="D225" s="4">
        <v>0</v>
      </c>
      <c r="E225" s="4" t="s">
        <v>11</v>
      </c>
      <c r="F225" s="4" t="s">
        <v>9</v>
      </c>
      <c r="G225" s="4" t="s">
        <v>10</v>
      </c>
      <c r="H225" s="4">
        <v>2219.2073066477078</v>
      </c>
      <c r="I225" s="4">
        <v>2610.8321254678926</v>
      </c>
      <c r="J225" s="2">
        <f>VLOOKUP(A225,Planilha1!A:M,13,0)</f>
        <v>3220.2324129890262</v>
      </c>
      <c r="K225" s="10">
        <f t="shared" si="6"/>
        <v>1001.0251063413184</v>
      </c>
      <c r="L225" s="10">
        <f t="shared" si="7"/>
        <v>391.62481882018483</v>
      </c>
    </row>
    <row r="226" spans="1:12" x14ac:dyDescent="0.25">
      <c r="A226" s="2">
        <v>2</v>
      </c>
      <c r="B226" s="4">
        <v>42</v>
      </c>
      <c r="C226" s="4">
        <v>24.6</v>
      </c>
      <c r="D226" s="4">
        <v>0</v>
      </c>
      <c r="E226" s="4" t="s">
        <v>11</v>
      </c>
      <c r="F226" s="4" t="s">
        <v>9</v>
      </c>
      <c r="G226" s="4" t="s">
        <v>13</v>
      </c>
      <c r="H226" s="4">
        <v>1855.9439104159846</v>
      </c>
      <c r="I226" s="4">
        <v>2183.4634240188066</v>
      </c>
      <c r="J226" s="2">
        <f>VLOOKUP(A226,Planilha1!A:M,13,0)</f>
        <v>3220.2324129890262</v>
      </c>
      <c r="K226" s="10">
        <f t="shared" si="6"/>
        <v>1364.2885025730416</v>
      </c>
      <c r="L226" s="10">
        <f t="shared" si="7"/>
        <v>327.51951360282192</v>
      </c>
    </row>
    <row r="227" spans="1:12" x14ac:dyDescent="0.25">
      <c r="A227" s="2">
        <v>3</v>
      </c>
      <c r="B227" s="4">
        <v>55</v>
      </c>
      <c r="C227" s="4">
        <v>33.9</v>
      </c>
      <c r="D227" s="4">
        <v>3</v>
      </c>
      <c r="E227" s="4" t="s">
        <v>11</v>
      </c>
      <c r="F227" s="4" t="s">
        <v>12</v>
      </c>
      <c r="G227" s="4" t="s">
        <v>13</v>
      </c>
      <c r="H227" s="4">
        <v>1680.3570135453585</v>
      </c>
      <c r="I227" s="4">
        <v>2240.4760180604781</v>
      </c>
      <c r="J227" s="2">
        <f>VLOOKUP(A227,Planilha1!A:M,13,0)</f>
        <v>3049.3550806113421</v>
      </c>
      <c r="K227" s="10">
        <f t="shared" si="6"/>
        <v>1368.9980670659836</v>
      </c>
      <c r="L227" s="10">
        <f t="shared" si="7"/>
        <v>560.11900451511951</v>
      </c>
    </row>
    <row r="228" spans="1:12" x14ac:dyDescent="0.25">
      <c r="A228" s="2">
        <v>0</v>
      </c>
      <c r="B228" s="4">
        <v>28</v>
      </c>
      <c r="C228" s="4">
        <v>22.6</v>
      </c>
      <c r="D228" s="4">
        <v>0</v>
      </c>
      <c r="E228" s="4" t="s">
        <v>11</v>
      </c>
      <c r="F228" s="4" t="s">
        <v>12</v>
      </c>
      <c r="G228" s="4" t="s">
        <v>13</v>
      </c>
      <c r="H228" s="4">
        <v>1310.4139232379407</v>
      </c>
      <c r="I228" s="4">
        <v>1541.6634391034604</v>
      </c>
      <c r="J228" s="2">
        <f>VLOOKUP(A228,Planilha1!A:M,13,0)</f>
        <v>2511.8220480829059</v>
      </c>
      <c r="K228" s="10">
        <f t="shared" si="6"/>
        <v>1201.4081248449652</v>
      </c>
      <c r="L228" s="10">
        <f t="shared" si="7"/>
        <v>231.2495158655197</v>
      </c>
    </row>
    <row r="229" spans="1:12" x14ac:dyDescent="0.25">
      <c r="A229" s="2">
        <v>1</v>
      </c>
      <c r="B229" s="4">
        <v>58</v>
      </c>
      <c r="C229" s="4">
        <v>41.9</v>
      </c>
      <c r="D229" s="4">
        <v>0</v>
      </c>
      <c r="E229" s="4" t="s">
        <v>8</v>
      </c>
      <c r="F229" s="4" t="s">
        <v>12</v>
      </c>
      <c r="G229" s="4" t="s">
        <v>13</v>
      </c>
      <c r="H229" s="4">
        <v>4103.6410442475262</v>
      </c>
      <c r="I229" s="4">
        <v>3908.2295659500264</v>
      </c>
      <c r="J229" s="2">
        <f>VLOOKUP(A229,Planilha1!A:M,13,0)</f>
        <v>6326.3485212104815</v>
      </c>
      <c r="K229" s="10">
        <f t="shared" si="6"/>
        <v>2222.7074769629553</v>
      </c>
      <c r="L229" s="10">
        <f t="shared" si="7"/>
        <v>-195.4114782974998</v>
      </c>
    </row>
    <row r="230" spans="1:12" x14ac:dyDescent="0.25">
      <c r="A230" s="2">
        <v>1</v>
      </c>
      <c r="B230" s="4">
        <v>41</v>
      </c>
      <c r="C230" s="4">
        <v>31.6</v>
      </c>
      <c r="D230" s="4">
        <v>1</v>
      </c>
      <c r="E230" s="4" t="s">
        <v>8</v>
      </c>
      <c r="F230" s="4" t="s">
        <v>12</v>
      </c>
      <c r="G230" s="4" t="s">
        <v>15</v>
      </c>
      <c r="H230" s="4">
        <v>4486.0052569578365</v>
      </c>
      <c r="I230" s="4">
        <v>4272.3859590074644</v>
      </c>
      <c r="J230" s="2">
        <f>VLOOKUP(A230,Planilha1!A:M,13,0)</f>
        <v>6326.3485212104815</v>
      </c>
      <c r="K230" s="10">
        <f t="shared" si="6"/>
        <v>1840.343264252645</v>
      </c>
      <c r="L230" s="10">
        <f t="shared" si="7"/>
        <v>-213.61929795037213</v>
      </c>
    </row>
    <row r="231" spans="1:12" x14ac:dyDescent="0.25">
      <c r="A231" s="2">
        <v>3</v>
      </c>
      <c r="B231" s="4">
        <v>47</v>
      </c>
      <c r="C231" s="4">
        <v>25.5</v>
      </c>
      <c r="D231" s="4">
        <v>2</v>
      </c>
      <c r="E231" s="4" t="s">
        <v>11</v>
      </c>
      <c r="F231" s="4" t="s">
        <v>12</v>
      </c>
      <c r="G231" s="4" t="s">
        <v>15</v>
      </c>
      <c r="H231" s="4">
        <v>3055.832565856248</v>
      </c>
      <c r="I231" s="4">
        <v>4074.4434211416637</v>
      </c>
      <c r="J231" s="2">
        <f>VLOOKUP(A231,Planilha1!A:M,13,0)</f>
        <v>3049.3550806113421</v>
      </c>
      <c r="K231" s="10">
        <f t="shared" si="6"/>
        <v>-6.4774852449058926</v>
      </c>
      <c r="L231" s="10">
        <f t="shared" si="7"/>
        <v>1018.6108552854157</v>
      </c>
    </row>
    <row r="232" spans="1:12" x14ac:dyDescent="0.25">
      <c r="A232" s="2">
        <v>1</v>
      </c>
      <c r="B232" s="4">
        <v>42</v>
      </c>
      <c r="C232" s="4">
        <v>36.200000000000003</v>
      </c>
      <c r="D232" s="4">
        <v>1</v>
      </c>
      <c r="E232" s="4" t="s">
        <v>8</v>
      </c>
      <c r="F232" s="4" t="s">
        <v>12</v>
      </c>
      <c r="G232" s="4" t="s">
        <v>14</v>
      </c>
      <c r="H232" s="4">
        <v>4421.9852066417152</v>
      </c>
      <c r="I232" s="4">
        <v>4211.4144825159201</v>
      </c>
      <c r="J232" s="2">
        <f>VLOOKUP(A232,Planilha1!A:M,13,0)</f>
        <v>6326.3485212104815</v>
      </c>
      <c r="K232" s="10">
        <f t="shared" si="6"/>
        <v>1904.3633145687663</v>
      </c>
      <c r="L232" s="10">
        <f t="shared" si="7"/>
        <v>-210.5707241257951</v>
      </c>
    </row>
    <row r="233" spans="1:12" x14ac:dyDescent="0.25">
      <c r="A233" s="2">
        <v>3</v>
      </c>
      <c r="B233" s="4">
        <v>59</v>
      </c>
      <c r="C233" s="4">
        <v>27.8</v>
      </c>
      <c r="D233" s="4">
        <v>3</v>
      </c>
      <c r="E233" s="4" t="s">
        <v>8</v>
      </c>
      <c r="F233" s="4" t="s">
        <v>12</v>
      </c>
      <c r="G233" s="4" t="s">
        <v>13</v>
      </c>
      <c r="H233" s="4">
        <v>3611.7647452514766</v>
      </c>
      <c r="I233" s="4">
        <v>4815.6863270019685</v>
      </c>
      <c r="J233" s="2">
        <f>VLOOKUP(A233,Planilha1!A:M,13,0)</f>
        <v>3049.3550806113421</v>
      </c>
      <c r="K233" s="10">
        <f t="shared" si="6"/>
        <v>-562.40966464013445</v>
      </c>
      <c r="L233" s="10">
        <f t="shared" si="7"/>
        <v>1203.9215817504919</v>
      </c>
    </row>
    <row r="234" spans="1:12" x14ac:dyDescent="0.25">
      <c r="A234" s="2">
        <v>0</v>
      </c>
      <c r="B234" s="4">
        <v>19</v>
      </c>
      <c r="C234" s="4">
        <v>20.100000000000001</v>
      </c>
      <c r="D234" s="4">
        <v>0</v>
      </c>
      <c r="E234" s="4" t="s">
        <v>8</v>
      </c>
      <c r="F234" s="4" t="s">
        <v>12</v>
      </c>
      <c r="G234" s="4" t="s">
        <v>10</v>
      </c>
      <c r="H234" s="4">
        <v>1610.7892486189119</v>
      </c>
      <c r="I234" s="4">
        <v>1895.0461748457794</v>
      </c>
      <c r="J234" s="2">
        <f>VLOOKUP(A234,Planilha1!A:M,13,0)</f>
        <v>2511.8220480829059</v>
      </c>
      <c r="K234" s="10">
        <f t="shared" si="6"/>
        <v>901.03279946399402</v>
      </c>
      <c r="L234" s="10">
        <f t="shared" si="7"/>
        <v>284.25692622686756</v>
      </c>
    </row>
    <row r="235" spans="1:12" x14ac:dyDescent="0.25">
      <c r="A235" s="2">
        <v>1</v>
      </c>
      <c r="B235" s="4">
        <v>59</v>
      </c>
      <c r="C235" s="4">
        <v>27.5</v>
      </c>
      <c r="D235" s="4">
        <v>1</v>
      </c>
      <c r="E235" s="4" t="s">
        <v>11</v>
      </c>
      <c r="F235" s="4" t="s">
        <v>12</v>
      </c>
      <c r="G235" s="4" t="s">
        <v>10</v>
      </c>
      <c r="H235" s="4">
        <v>4323.8900063519059</v>
      </c>
      <c r="I235" s="4">
        <v>4117.9904822399121</v>
      </c>
      <c r="J235" s="2">
        <f>VLOOKUP(A235,Planilha1!A:M,13,0)</f>
        <v>6326.3485212104815</v>
      </c>
      <c r="K235" s="10">
        <f t="shared" si="6"/>
        <v>2002.4585148585757</v>
      </c>
      <c r="L235" s="10">
        <f t="shared" si="7"/>
        <v>-205.89952411199374</v>
      </c>
    </row>
    <row r="236" spans="1:12" x14ac:dyDescent="0.25">
      <c r="A236" s="2">
        <v>3</v>
      </c>
      <c r="B236" s="4">
        <v>39</v>
      </c>
      <c r="C236" s="4">
        <v>24.5</v>
      </c>
      <c r="D236" s="4">
        <v>2</v>
      </c>
      <c r="E236" s="4" t="s">
        <v>11</v>
      </c>
      <c r="F236" s="4" t="s">
        <v>12</v>
      </c>
      <c r="G236" s="4" t="s">
        <v>14</v>
      </c>
      <c r="H236" s="4">
        <v>1435.6395704770975</v>
      </c>
      <c r="I236" s="4">
        <v>1914.1860939694634</v>
      </c>
      <c r="J236" s="2">
        <f>VLOOKUP(A236,Planilha1!A:M,13,0)</f>
        <v>3049.3550806113421</v>
      </c>
      <c r="K236" s="10">
        <f t="shared" si="6"/>
        <v>1613.7155101342446</v>
      </c>
      <c r="L236" s="10">
        <f t="shared" si="7"/>
        <v>478.54652349236585</v>
      </c>
    </row>
    <row r="237" spans="1:12" x14ac:dyDescent="0.25">
      <c r="A237" s="2">
        <v>2</v>
      </c>
      <c r="B237" s="4">
        <v>40</v>
      </c>
      <c r="C237" s="4">
        <v>22.2</v>
      </c>
      <c r="D237" s="4">
        <v>2</v>
      </c>
      <c r="E237" s="4" t="s">
        <v>8</v>
      </c>
      <c r="F237" s="4" t="s">
        <v>9</v>
      </c>
      <c r="G237" s="4" t="s">
        <v>13</v>
      </c>
      <c r="H237" s="4">
        <v>1757.6045394790262</v>
      </c>
      <c r="I237" s="4">
        <v>2067.770046445914</v>
      </c>
      <c r="J237" s="2">
        <f>VLOOKUP(A237,Planilha1!A:M,13,0)</f>
        <v>3220.2324129890262</v>
      </c>
      <c r="K237" s="10">
        <f t="shared" si="6"/>
        <v>1462.62787351</v>
      </c>
      <c r="L237" s="10">
        <f t="shared" si="7"/>
        <v>310.16550696688773</v>
      </c>
    </row>
    <row r="238" spans="1:12" x14ac:dyDescent="0.25">
      <c r="A238" s="2">
        <v>0</v>
      </c>
      <c r="B238" s="4">
        <v>18</v>
      </c>
      <c r="C238" s="4">
        <v>23.8</v>
      </c>
      <c r="D238" s="4">
        <v>0</v>
      </c>
      <c r="E238" s="4" t="s">
        <v>8</v>
      </c>
      <c r="F238" s="4" t="s">
        <v>12</v>
      </c>
      <c r="G238" s="4" t="s">
        <v>13</v>
      </c>
      <c r="H238" s="4">
        <v>1726.3650583258659</v>
      </c>
      <c r="I238" s="4">
        <v>2031.0177156774901</v>
      </c>
      <c r="J238" s="2">
        <f>VLOOKUP(A238,Planilha1!A:M,13,0)</f>
        <v>2511.8220480829059</v>
      </c>
      <c r="K238" s="10">
        <f t="shared" si="6"/>
        <v>785.45698975703999</v>
      </c>
      <c r="L238" s="10">
        <f t="shared" si="7"/>
        <v>304.65265735162416</v>
      </c>
    </row>
    <row r="239" spans="1:12" x14ac:dyDescent="0.25">
      <c r="A239" s="2">
        <v>3</v>
      </c>
      <c r="B239" s="4">
        <v>31</v>
      </c>
      <c r="C239" s="4">
        <v>38.4</v>
      </c>
      <c r="D239" s="4">
        <v>2</v>
      </c>
      <c r="E239" s="4" t="s">
        <v>11</v>
      </c>
      <c r="F239" s="4" t="s">
        <v>12</v>
      </c>
      <c r="G239" s="4" t="s">
        <v>13</v>
      </c>
      <c r="H239" s="4">
        <v>1511.5799677102475</v>
      </c>
      <c r="I239" s="4">
        <v>2015.4399569469967</v>
      </c>
      <c r="J239" s="2">
        <f>VLOOKUP(A239,Planilha1!A:M,13,0)</f>
        <v>3049.3550806113421</v>
      </c>
      <c r="K239" s="10">
        <f t="shared" si="6"/>
        <v>1537.7751129010946</v>
      </c>
      <c r="L239" s="10">
        <f t="shared" si="7"/>
        <v>503.85998923674924</v>
      </c>
    </row>
    <row r="240" spans="1:12" x14ac:dyDescent="0.25">
      <c r="A240" s="2">
        <v>2</v>
      </c>
      <c r="B240" s="4">
        <v>19</v>
      </c>
      <c r="C240" s="4">
        <v>24.5</v>
      </c>
      <c r="D240" s="4">
        <v>0</v>
      </c>
      <c r="E240" s="4" t="s">
        <v>11</v>
      </c>
      <c r="F240" s="4" t="s">
        <v>9</v>
      </c>
      <c r="G240" s="4" t="s">
        <v>14</v>
      </c>
      <c r="H240" s="4">
        <v>2293.922628434661</v>
      </c>
      <c r="I240" s="4">
        <v>2698.7325040407782</v>
      </c>
      <c r="J240" s="2">
        <f>VLOOKUP(A240,Planilha1!A:M,13,0)</f>
        <v>3220.2324129890262</v>
      </c>
      <c r="K240" s="10">
        <f t="shared" si="6"/>
        <v>926.30978455436525</v>
      </c>
      <c r="L240" s="10">
        <f t="shared" si="7"/>
        <v>404.8098756061172</v>
      </c>
    </row>
    <row r="241" spans="1:12" x14ac:dyDescent="0.25">
      <c r="A241" s="2">
        <v>1</v>
      </c>
      <c r="B241" s="4">
        <v>44</v>
      </c>
      <c r="C241" s="4">
        <v>38.1</v>
      </c>
      <c r="D241" s="4">
        <v>1</v>
      </c>
      <c r="E241" s="4" t="s">
        <v>11</v>
      </c>
      <c r="F241" s="4" t="s">
        <v>12</v>
      </c>
      <c r="G241" s="4" t="s">
        <v>13</v>
      </c>
      <c r="H241" s="4">
        <v>5134.6551669969049</v>
      </c>
      <c r="I241" s="4">
        <v>4890.1477780922924</v>
      </c>
      <c r="J241" s="2">
        <f>VLOOKUP(A241,Planilha1!A:M,13,0)</f>
        <v>6326.3485212104815</v>
      </c>
      <c r="K241" s="10">
        <f t="shared" si="6"/>
        <v>1191.6933542135766</v>
      </c>
      <c r="L241" s="10">
        <f t="shared" si="7"/>
        <v>-244.50738890461253</v>
      </c>
    </row>
    <row r="242" spans="1:12" x14ac:dyDescent="0.25">
      <c r="A242" s="2">
        <v>2</v>
      </c>
      <c r="B242" s="4">
        <v>23</v>
      </c>
      <c r="C242" s="4">
        <v>36.700000000000003</v>
      </c>
      <c r="D242" s="4">
        <v>2</v>
      </c>
      <c r="E242" s="4" t="s">
        <v>8</v>
      </c>
      <c r="F242" s="4" t="s">
        <v>9</v>
      </c>
      <c r="G242" s="4" t="s">
        <v>15</v>
      </c>
      <c r="H242" s="4">
        <v>993.70311077674023</v>
      </c>
      <c r="I242" s="4">
        <v>1324.9374810356537</v>
      </c>
      <c r="J242" s="2">
        <f>VLOOKUP(A242,Planilha1!A:M,13,0)</f>
        <v>3220.2324129890262</v>
      </c>
      <c r="K242" s="10">
        <f t="shared" si="6"/>
        <v>2226.529302212286</v>
      </c>
      <c r="L242" s="10">
        <f t="shared" si="7"/>
        <v>331.23437025891349</v>
      </c>
    </row>
    <row r="243" spans="1:12" x14ac:dyDescent="0.25">
      <c r="A243" s="2">
        <v>0</v>
      </c>
      <c r="B243" s="4">
        <v>33</v>
      </c>
      <c r="C243" s="4">
        <v>23.5</v>
      </c>
      <c r="D243" s="4">
        <v>1</v>
      </c>
      <c r="E243" s="4" t="s">
        <v>8</v>
      </c>
      <c r="F243" s="4" t="s">
        <v>12</v>
      </c>
      <c r="G243" s="4" t="s">
        <v>15</v>
      </c>
      <c r="H243" s="4">
        <v>2104.5684586962007</v>
      </c>
      <c r="I243" s="4">
        <v>2475.962892583766</v>
      </c>
      <c r="J243" s="2">
        <f>VLOOKUP(A243,Planilha1!A:M,13,0)</f>
        <v>2511.8220480829059</v>
      </c>
      <c r="K243" s="10">
        <f t="shared" si="6"/>
        <v>407.25358938670524</v>
      </c>
      <c r="L243" s="10">
        <f t="shared" si="7"/>
        <v>371.39443388756536</v>
      </c>
    </row>
    <row r="244" spans="1:12" x14ac:dyDescent="0.25">
      <c r="A244" s="2">
        <v>1</v>
      </c>
      <c r="B244" s="4">
        <v>55</v>
      </c>
      <c r="C244" s="4">
        <v>26.8</v>
      </c>
      <c r="D244" s="4">
        <v>1</v>
      </c>
      <c r="E244" s="4" t="s">
        <v>8</v>
      </c>
      <c r="F244" s="4" t="s">
        <v>12</v>
      </c>
      <c r="G244" s="4" t="s">
        <v>10</v>
      </c>
      <c r="H244" s="4">
        <v>3822.5014396624001</v>
      </c>
      <c r="I244" s="4">
        <v>3640.4775615832395</v>
      </c>
      <c r="J244" s="2">
        <f>VLOOKUP(A244,Planilha1!A:M,13,0)</f>
        <v>6326.3485212104815</v>
      </c>
      <c r="K244" s="10">
        <f t="shared" si="6"/>
        <v>2503.8470815480814</v>
      </c>
      <c r="L244" s="10">
        <f t="shared" si="7"/>
        <v>-182.02387807916057</v>
      </c>
    </row>
    <row r="245" spans="1:12" x14ac:dyDescent="0.25">
      <c r="A245" s="2">
        <v>3</v>
      </c>
      <c r="B245" s="4">
        <v>40</v>
      </c>
      <c r="C245" s="4">
        <v>35.299999999999997</v>
      </c>
      <c r="D245" s="4">
        <v>3</v>
      </c>
      <c r="E245" s="4" t="s">
        <v>11</v>
      </c>
      <c r="F245" s="4" t="s">
        <v>12</v>
      </c>
      <c r="G245" s="4" t="s">
        <v>10</v>
      </c>
      <c r="H245" s="4">
        <v>2871.9106915635125</v>
      </c>
      <c r="I245" s="4">
        <v>3829.2142554180168</v>
      </c>
      <c r="J245" s="2">
        <f>VLOOKUP(A245,Planilha1!A:M,13,0)</f>
        <v>3049.3550806113421</v>
      </c>
      <c r="K245" s="10">
        <f t="shared" si="6"/>
        <v>177.44438904782965</v>
      </c>
      <c r="L245" s="10">
        <f t="shared" si="7"/>
        <v>957.30356385450432</v>
      </c>
    </row>
    <row r="246" spans="1:12" x14ac:dyDescent="0.25">
      <c r="A246" s="2">
        <v>2</v>
      </c>
      <c r="B246" s="4">
        <v>63</v>
      </c>
      <c r="C246" s="4">
        <v>27.7</v>
      </c>
      <c r="D246" s="4">
        <v>0</v>
      </c>
      <c r="E246" s="4" t="s">
        <v>8</v>
      </c>
      <c r="F246" s="4" t="s">
        <v>9</v>
      </c>
      <c r="G246" s="4" t="s">
        <v>15</v>
      </c>
      <c r="H246" s="4">
        <v>5702.3174588026241</v>
      </c>
      <c r="I246" s="4">
        <v>5430.7785321929759</v>
      </c>
      <c r="J246" s="2">
        <f>VLOOKUP(A246,Planilha1!A:M,13,0)</f>
        <v>3220.2324129890262</v>
      </c>
      <c r="K246" s="10">
        <f t="shared" si="6"/>
        <v>-2482.0850458135978</v>
      </c>
      <c r="L246" s="10">
        <f t="shared" si="7"/>
        <v>-271.53892660964812</v>
      </c>
    </row>
    <row r="247" spans="1:12" x14ac:dyDescent="0.25">
      <c r="A247" s="2">
        <v>1</v>
      </c>
      <c r="B247" s="4">
        <v>54</v>
      </c>
      <c r="C247" s="4">
        <v>30</v>
      </c>
      <c r="D247" s="4">
        <v>0</v>
      </c>
      <c r="E247" s="4" t="s">
        <v>11</v>
      </c>
      <c r="F247" s="4" t="s">
        <v>12</v>
      </c>
      <c r="G247" s="4" t="s">
        <v>14</v>
      </c>
      <c r="H247" s="4">
        <v>4780.1823583978103</v>
      </c>
      <c r="I247" s="4">
        <v>4552.5546270455352</v>
      </c>
      <c r="J247" s="2">
        <f>VLOOKUP(A247,Planilha1!A:M,13,0)</f>
        <v>6326.3485212104815</v>
      </c>
      <c r="K247" s="10">
        <f t="shared" si="6"/>
        <v>1546.1661628126712</v>
      </c>
      <c r="L247" s="10">
        <f t="shared" si="7"/>
        <v>-227.62773135227508</v>
      </c>
    </row>
    <row r="248" spans="1:12" x14ac:dyDescent="0.25">
      <c r="A248" s="2">
        <v>1</v>
      </c>
      <c r="B248" s="4">
        <v>60</v>
      </c>
      <c r="C248" s="4">
        <v>38.1</v>
      </c>
      <c r="D248" s="4">
        <v>0</v>
      </c>
      <c r="E248" s="4" t="s">
        <v>8</v>
      </c>
      <c r="F248" s="4" t="s">
        <v>12</v>
      </c>
      <c r="G248" s="4" t="s">
        <v>13</v>
      </c>
      <c r="H248" s="4">
        <v>4611.3545717565994</v>
      </c>
      <c r="I248" s="4">
        <v>4391.76625881581</v>
      </c>
      <c r="J248" s="2">
        <f>VLOOKUP(A248,Planilha1!A:M,13,0)</f>
        <v>6326.3485212104815</v>
      </c>
      <c r="K248" s="10">
        <f t="shared" si="6"/>
        <v>1714.9939494538821</v>
      </c>
      <c r="L248" s="10">
        <f t="shared" si="7"/>
        <v>-219.58831294078936</v>
      </c>
    </row>
    <row r="249" spans="1:12" x14ac:dyDescent="0.25">
      <c r="A249" s="2">
        <v>0</v>
      </c>
      <c r="B249" s="4">
        <v>24</v>
      </c>
      <c r="C249" s="4">
        <v>25.7</v>
      </c>
      <c r="D249" s="4">
        <v>0</v>
      </c>
      <c r="E249" s="4" t="s">
        <v>11</v>
      </c>
      <c r="F249" s="4" t="s">
        <v>12</v>
      </c>
      <c r="G249" s="4" t="s">
        <v>13</v>
      </c>
      <c r="H249" s="4">
        <v>1962.5784826432321</v>
      </c>
      <c r="I249" s="4">
        <v>2308.9158619332152</v>
      </c>
      <c r="J249" s="2">
        <f>VLOOKUP(A249,Planilha1!A:M,13,0)</f>
        <v>2511.8220480829059</v>
      </c>
      <c r="K249" s="10">
        <f t="shared" si="6"/>
        <v>549.24356543967383</v>
      </c>
      <c r="L249" s="10">
        <f t="shared" si="7"/>
        <v>346.33737928998312</v>
      </c>
    </row>
    <row r="250" spans="1:12" x14ac:dyDescent="0.25">
      <c r="A250" s="2">
        <v>0</v>
      </c>
      <c r="B250" s="4">
        <v>19</v>
      </c>
      <c r="C250" s="4">
        <v>23.6</v>
      </c>
      <c r="D250" s="4">
        <v>1</v>
      </c>
      <c r="E250" s="4" t="s">
        <v>11</v>
      </c>
      <c r="F250" s="4" t="s">
        <v>12</v>
      </c>
      <c r="G250" s="4" t="s">
        <v>10</v>
      </c>
      <c r="H250" s="4">
        <v>2000.4099827288355</v>
      </c>
      <c r="I250" s="4">
        <v>2353.4235090927482</v>
      </c>
      <c r="J250" s="2">
        <f>VLOOKUP(A250,Planilha1!A:M,13,0)</f>
        <v>2511.8220480829059</v>
      </c>
      <c r="K250" s="10">
        <f t="shared" si="6"/>
        <v>511.41206535407036</v>
      </c>
      <c r="L250" s="10">
        <f t="shared" si="7"/>
        <v>353.01352636391266</v>
      </c>
    </row>
    <row r="251" spans="1:12" x14ac:dyDescent="0.25">
      <c r="A251" s="2">
        <v>0</v>
      </c>
      <c r="B251" s="4">
        <v>29</v>
      </c>
      <c r="C251" s="4">
        <v>21.9</v>
      </c>
      <c r="D251" s="4">
        <v>1</v>
      </c>
      <c r="E251" s="4" t="s">
        <v>11</v>
      </c>
      <c r="F251" s="4" t="s">
        <v>12</v>
      </c>
      <c r="G251" s="4" t="s">
        <v>15</v>
      </c>
      <c r="H251" s="4">
        <v>1920.5331582527567</v>
      </c>
      <c r="I251" s="4">
        <v>2259.4507744150087</v>
      </c>
      <c r="J251" s="2">
        <f>VLOOKUP(A251,Planilha1!A:M,13,0)</f>
        <v>2511.8220480829059</v>
      </c>
      <c r="K251" s="10">
        <f t="shared" si="6"/>
        <v>591.28888983014917</v>
      </c>
      <c r="L251" s="10">
        <f t="shared" si="7"/>
        <v>338.91761616225199</v>
      </c>
    </row>
    <row r="252" spans="1:12" x14ac:dyDescent="0.25">
      <c r="A252" s="2">
        <v>2</v>
      </c>
      <c r="B252" s="4">
        <v>18</v>
      </c>
      <c r="C252" s="4">
        <v>24.6</v>
      </c>
      <c r="D252" s="4">
        <v>2</v>
      </c>
      <c r="E252" s="4" t="s">
        <v>11</v>
      </c>
      <c r="F252" s="4" t="s">
        <v>9</v>
      </c>
      <c r="G252" s="4" t="s">
        <v>15</v>
      </c>
      <c r="H252" s="4">
        <v>1630.3923343612914</v>
      </c>
      <c r="I252" s="4">
        <v>1918.1086286603434</v>
      </c>
      <c r="J252" s="2">
        <f>VLOOKUP(A252,Planilha1!A:M,13,0)</f>
        <v>3220.2324129890262</v>
      </c>
      <c r="K252" s="10">
        <f t="shared" si="6"/>
        <v>1589.8400786277348</v>
      </c>
      <c r="L252" s="10">
        <f t="shared" si="7"/>
        <v>287.71629429905192</v>
      </c>
    </row>
    <row r="253" spans="1:12" x14ac:dyDescent="0.25">
      <c r="A253" s="2">
        <v>2</v>
      </c>
      <c r="B253" s="4">
        <v>63</v>
      </c>
      <c r="C253" s="4">
        <v>32.200000000000003</v>
      </c>
      <c r="D253" s="4">
        <v>2</v>
      </c>
      <c r="E253" s="4" t="s">
        <v>8</v>
      </c>
      <c r="F253" s="4" t="s">
        <v>9</v>
      </c>
      <c r="G253" s="4" t="s">
        <v>10</v>
      </c>
      <c r="H253" s="4">
        <v>4235.3579532476415</v>
      </c>
      <c r="I253" s="4">
        <v>4033.6742411882315</v>
      </c>
      <c r="J253" s="2">
        <f>VLOOKUP(A253,Planilha1!A:M,13,0)</f>
        <v>3220.2324129890262</v>
      </c>
      <c r="K253" s="10">
        <f t="shared" si="6"/>
        <v>-1015.1255402586153</v>
      </c>
      <c r="L253" s="10">
        <f t="shared" si="7"/>
        <v>-201.68371205941003</v>
      </c>
    </row>
    <row r="254" spans="1:12" x14ac:dyDescent="0.25">
      <c r="A254" s="2">
        <v>2</v>
      </c>
      <c r="B254" s="4">
        <v>54</v>
      </c>
      <c r="C254" s="4">
        <v>34.200000000000003</v>
      </c>
      <c r="D254" s="4">
        <v>2</v>
      </c>
      <c r="E254" s="4" t="s">
        <v>11</v>
      </c>
      <c r="F254" s="4" t="s">
        <v>9</v>
      </c>
      <c r="G254" s="4" t="s">
        <v>13</v>
      </c>
      <c r="H254" s="4">
        <v>2027.2472149566938</v>
      </c>
      <c r="I254" s="4">
        <v>2702.9962866089249</v>
      </c>
      <c r="J254" s="2">
        <f>VLOOKUP(A254,Planilha1!A:M,13,0)</f>
        <v>3220.2324129890262</v>
      </c>
      <c r="K254" s="10">
        <f t="shared" si="6"/>
        <v>1192.9851980323324</v>
      </c>
      <c r="L254" s="10">
        <f t="shared" si="7"/>
        <v>675.74907165223112</v>
      </c>
    </row>
    <row r="255" spans="1:12" x14ac:dyDescent="0.25">
      <c r="A255" s="2">
        <v>3</v>
      </c>
      <c r="B255" s="4">
        <v>27</v>
      </c>
      <c r="C255" s="4">
        <v>30.3</v>
      </c>
      <c r="D255" s="4">
        <v>3</v>
      </c>
      <c r="E255" s="4" t="s">
        <v>11</v>
      </c>
      <c r="F255" s="4" t="s">
        <v>12</v>
      </c>
      <c r="G255" s="4" t="s">
        <v>10</v>
      </c>
      <c r="H255" s="4">
        <v>1393.3229298499409</v>
      </c>
      <c r="I255" s="4">
        <v>1857.763906466588</v>
      </c>
      <c r="J255" s="2">
        <f>VLOOKUP(A255,Planilha1!A:M,13,0)</f>
        <v>3049.3550806113421</v>
      </c>
      <c r="K255" s="10">
        <f t="shared" si="6"/>
        <v>1656.0321507614012</v>
      </c>
      <c r="L255" s="10">
        <f t="shared" si="7"/>
        <v>464.44097661664705</v>
      </c>
    </row>
    <row r="256" spans="1:12" x14ac:dyDescent="0.25">
      <c r="A256" s="2">
        <v>2</v>
      </c>
      <c r="B256" s="4">
        <v>50</v>
      </c>
      <c r="C256" s="4">
        <v>31.8</v>
      </c>
      <c r="D256" s="4">
        <v>0</v>
      </c>
      <c r="E256" s="4" t="s">
        <v>11</v>
      </c>
      <c r="F256" s="4" t="s">
        <v>9</v>
      </c>
      <c r="G256" s="4" t="s">
        <v>15</v>
      </c>
      <c r="H256" s="4">
        <v>4704.4102630349707</v>
      </c>
      <c r="I256" s="4">
        <v>4480.390726699974</v>
      </c>
      <c r="J256" s="2">
        <f>VLOOKUP(A256,Planilha1!A:M,13,0)</f>
        <v>3220.2324129890262</v>
      </c>
      <c r="K256" s="10">
        <f t="shared" si="6"/>
        <v>-1484.1778500459445</v>
      </c>
      <c r="L256" s="10">
        <f t="shared" si="7"/>
        <v>-224.0195363349967</v>
      </c>
    </row>
    <row r="257" spans="1:12" x14ac:dyDescent="0.25">
      <c r="A257" s="2">
        <v>3</v>
      </c>
      <c r="B257" s="4">
        <v>55</v>
      </c>
      <c r="C257" s="4">
        <v>25.4</v>
      </c>
      <c r="D257" s="4">
        <v>3</v>
      </c>
      <c r="E257" s="4" t="s">
        <v>8</v>
      </c>
      <c r="F257" s="4" t="s">
        <v>12</v>
      </c>
      <c r="G257" s="4" t="s">
        <v>15</v>
      </c>
      <c r="H257" s="4">
        <v>2963.7545342791341</v>
      </c>
      <c r="I257" s="4">
        <v>3951.6727123721789</v>
      </c>
      <c r="J257" s="2">
        <f>VLOOKUP(A257,Planilha1!A:M,13,0)</f>
        <v>3049.3550806113421</v>
      </c>
      <c r="K257" s="10">
        <f t="shared" si="6"/>
        <v>85.600546332208069</v>
      </c>
      <c r="L257" s="10">
        <f t="shared" si="7"/>
        <v>987.91817809304484</v>
      </c>
    </row>
    <row r="258" spans="1:12" x14ac:dyDescent="0.25">
      <c r="A258" s="2">
        <v>2</v>
      </c>
      <c r="B258" s="4">
        <v>56</v>
      </c>
      <c r="C258" s="4">
        <v>33.6</v>
      </c>
      <c r="D258" s="4">
        <v>0</v>
      </c>
      <c r="E258" s="4" t="s">
        <v>11</v>
      </c>
      <c r="F258" s="4" t="s">
        <v>9</v>
      </c>
      <c r="G258" s="4" t="s">
        <v>14</v>
      </c>
      <c r="H258" s="4">
        <v>4925.2183144071541</v>
      </c>
      <c r="I258" s="4">
        <v>4690.6841089591962</v>
      </c>
      <c r="J258" s="2">
        <f>VLOOKUP(A258,Planilha1!A:M,13,0)</f>
        <v>3220.2324129890262</v>
      </c>
      <c r="K258" s="10">
        <f t="shared" si="6"/>
        <v>-1704.9859014181279</v>
      </c>
      <c r="L258" s="10">
        <f t="shared" si="7"/>
        <v>-234.5342054479579</v>
      </c>
    </row>
    <row r="259" spans="1:12" x14ac:dyDescent="0.25">
      <c r="A259" s="2">
        <v>1</v>
      </c>
      <c r="B259" s="4">
        <v>38</v>
      </c>
      <c r="C259" s="4">
        <v>40.200000000000003</v>
      </c>
      <c r="D259" s="4">
        <v>0</v>
      </c>
      <c r="E259" s="4" t="s">
        <v>8</v>
      </c>
      <c r="F259" s="4" t="s">
        <v>12</v>
      </c>
      <c r="G259" s="4" t="s">
        <v>13</v>
      </c>
      <c r="H259" s="4">
        <v>4437.4292913248055</v>
      </c>
      <c r="I259" s="4">
        <v>4226.1231345950546</v>
      </c>
      <c r="J259" s="2">
        <f>VLOOKUP(A259,Planilha1!A:M,13,0)</f>
        <v>6326.3485212104815</v>
      </c>
      <c r="K259" s="10">
        <f t="shared" ref="K259:K322" si="8">J259-H259</f>
        <v>1888.919229885676</v>
      </c>
      <c r="L259" s="10">
        <f t="shared" ref="L259:L322" si="9">I259-H259</f>
        <v>-211.30615672975091</v>
      </c>
    </row>
    <row r="260" spans="1:12" x14ac:dyDescent="0.25">
      <c r="A260" s="2">
        <v>3</v>
      </c>
      <c r="B260" s="4">
        <v>51</v>
      </c>
      <c r="C260" s="4">
        <v>24.4</v>
      </c>
      <c r="D260" s="4">
        <v>4</v>
      </c>
      <c r="E260" s="4" t="s">
        <v>11</v>
      </c>
      <c r="F260" s="4" t="s">
        <v>12</v>
      </c>
      <c r="G260" s="4" t="s">
        <v>14</v>
      </c>
      <c r="H260" s="4">
        <v>2888.8867893812385</v>
      </c>
      <c r="I260" s="4">
        <v>3851.849052508318</v>
      </c>
      <c r="J260" s="2">
        <f>VLOOKUP(A260,Planilha1!A:M,13,0)</f>
        <v>3049.3550806113421</v>
      </c>
      <c r="K260" s="10">
        <f t="shared" si="8"/>
        <v>160.46829123010366</v>
      </c>
      <c r="L260" s="10">
        <f t="shared" si="9"/>
        <v>962.9622631270795</v>
      </c>
    </row>
    <row r="261" spans="1:12" x14ac:dyDescent="0.25">
      <c r="A261" s="2">
        <v>2</v>
      </c>
      <c r="B261" s="4">
        <v>19</v>
      </c>
      <c r="C261" s="4">
        <v>23.4</v>
      </c>
      <c r="D261" s="4">
        <v>0</v>
      </c>
      <c r="E261" s="4" t="s">
        <v>11</v>
      </c>
      <c r="F261" s="4" t="s">
        <v>9</v>
      </c>
      <c r="G261" s="4" t="s">
        <v>14</v>
      </c>
      <c r="H261" s="4">
        <v>1596.3130294625093</v>
      </c>
      <c r="I261" s="4">
        <v>1878.0153287794235</v>
      </c>
      <c r="J261" s="2">
        <f>VLOOKUP(A261,Planilha1!A:M,13,0)</f>
        <v>3220.2324129890262</v>
      </c>
      <c r="K261" s="10">
        <f t="shared" si="8"/>
        <v>1623.9193835265169</v>
      </c>
      <c r="L261" s="10">
        <f t="shared" si="9"/>
        <v>281.70229931691415</v>
      </c>
    </row>
    <row r="262" spans="1:12" x14ac:dyDescent="0.25">
      <c r="A262" s="2">
        <v>1</v>
      </c>
      <c r="B262" s="4">
        <v>58</v>
      </c>
      <c r="C262" s="4">
        <v>25.2</v>
      </c>
      <c r="D262" s="4">
        <v>0</v>
      </c>
      <c r="E262" s="4" t="s">
        <v>8</v>
      </c>
      <c r="F262" s="4" t="s">
        <v>12</v>
      </c>
      <c r="G262" s="4" t="s">
        <v>10</v>
      </c>
      <c r="H262" s="4">
        <v>5384.5278724630443</v>
      </c>
      <c r="I262" s="4">
        <v>5128.1217832981383</v>
      </c>
      <c r="J262" s="2">
        <f>VLOOKUP(A262,Planilha1!A:M,13,0)</f>
        <v>6326.3485212104815</v>
      </c>
      <c r="K262" s="10">
        <f t="shared" si="8"/>
        <v>941.82064874743719</v>
      </c>
      <c r="L262" s="10">
        <f t="shared" si="9"/>
        <v>-256.40608916490601</v>
      </c>
    </row>
    <row r="263" spans="1:12" x14ac:dyDescent="0.25">
      <c r="A263" s="2">
        <v>2</v>
      </c>
      <c r="B263" s="4">
        <v>20</v>
      </c>
      <c r="C263" s="4">
        <v>23.5</v>
      </c>
      <c r="D263" s="4">
        <v>1</v>
      </c>
      <c r="E263" s="4" t="s">
        <v>8</v>
      </c>
      <c r="F263" s="4" t="s">
        <v>9</v>
      </c>
      <c r="G263" s="4" t="s">
        <v>13</v>
      </c>
      <c r="H263" s="4">
        <v>1672.5348281054803</v>
      </c>
      <c r="I263" s="4">
        <v>1967.6880330652716</v>
      </c>
      <c r="J263" s="2">
        <f>VLOOKUP(A263,Planilha1!A:M,13,0)</f>
        <v>3220.2324129890262</v>
      </c>
      <c r="K263" s="10">
        <f t="shared" si="8"/>
        <v>1547.6975848835459</v>
      </c>
      <c r="L263" s="10">
        <f t="shared" si="9"/>
        <v>295.15320495979131</v>
      </c>
    </row>
    <row r="264" spans="1:12" x14ac:dyDescent="0.25">
      <c r="A264" s="2">
        <v>2</v>
      </c>
      <c r="B264" s="4">
        <v>52</v>
      </c>
      <c r="C264" s="4">
        <v>24.3</v>
      </c>
      <c r="D264" s="4">
        <v>3</v>
      </c>
      <c r="E264" s="4" t="s">
        <v>11</v>
      </c>
      <c r="F264" s="4" t="s">
        <v>9</v>
      </c>
      <c r="G264" s="4" t="s">
        <v>15</v>
      </c>
      <c r="H264" s="4">
        <v>1597.2327923961661</v>
      </c>
      <c r="I264" s="4">
        <v>2129.643723194888</v>
      </c>
      <c r="J264" s="2">
        <f>VLOOKUP(A264,Planilha1!A:M,13,0)</f>
        <v>3220.2324129890262</v>
      </c>
      <c r="K264" s="10">
        <f t="shared" si="8"/>
        <v>1622.9996205928601</v>
      </c>
      <c r="L264" s="10">
        <f t="shared" si="9"/>
        <v>532.41093079872189</v>
      </c>
    </row>
    <row r="265" spans="1:12" x14ac:dyDescent="0.25">
      <c r="A265" s="2">
        <v>2</v>
      </c>
      <c r="B265" s="4">
        <v>19</v>
      </c>
      <c r="C265" s="4">
        <v>20.8</v>
      </c>
      <c r="D265" s="4">
        <v>0</v>
      </c>
      <c r="E265" s="4" t="s">
        <v>11</v>
      </c>
      <c r="F265" s="4" t="s">
        <v>9</v>
      </c>
      <c r="G265" s="4" t="s">
        <v>14</v>
      </c>
      <c r="H265" s="4">
        <v>1989.6723872002519</v>
      </c>
      <c r="I265" s="4">
        <v>2340.791043765003</v>
      </c>
      <c r="J265" s="2">
        <f>VLOOKUP(A265,Planilha1!A:M,13,0)</f>
        <v>3220.2324129890262</v>
      </c>
      <c r="K265" s="10">
        <f t="shared" si="8"/>
        <v>1230.5600257887743</v>
      </c>
      <c r="L265" s="10">
        <f t="shared" si="9"/>
        <v>351.11865656475106</v>
      </c>
    </row>
    <row r="266" spans="1:12" x14ac:dyDescent="0.25">
      <c r="A266" s="2">
        <v>3</v>
      </c>
      <c r="B266" s="4">
        <v>53</v>
      </c>
      <c r="C266" s="4">
        <v>38.1</v>
      </c>
      <c r="D266" s="4">
        <v>3</v>
      </c>
      <c r="E266" s="4" t="s">
        <v>8</v>
      </c>
      <c r="F266" s="4" t="s">
        <v>12</v>
      </c>
      <c r="G266" s="4" t="s">
        <v>13</v>
      </c>
      <c r="H266" s="4">
        <v>3509.1646687873053</v>
      </c>
      <c r="I266" s="4">
        <v>4678.8862250497405</v>
      </c>
      <c r="J266" s="2">
        <f>VLOOKUP(A266,Planilha1!A:M,13,0)</f>
        <v>3049.3550806113421</v>
      </c>
      <c r="K266" s="10">
        <f t="shared" si="8"/>
        <v>-459.8095881759632</v>
      </c>
      <c r="L266" s="10">
        <f t="shared" si="9"/>
        <v>1169.7215562624351</v>
      </c>
    </row>
    <row r="267" spans="1:12" x14ac:dyDescent="0.25">
      <c r="A267" s="2">
        <v>2</v>
      </c>
      <c r="B267" s="4">
        <v>46</v>
      </c>
      <c r="C267" s="4">
        <v>42.4</v>
      </c>
      <c r="D267" s="4">
        <v>3</v>
      </c>
      <c r="E267" s="4" t="s">
        <v>11</v>
      </c>
      <c r="F267" s="4" t="s">
        <v>9</v>
      </c>
      <c r="G267" s="4" t="s">
        <v>13</v>
      </c>
      <c r="H267" s="4">
        <v>2304.5210619811392</v>
      </c>
      <c r="I267" s="4">
        <v>3072.6947493081857</v>
      </c>
      <c r="J267" s="2">
        <f>VLOOKUP(A267,Planilha1!A:M,13,0)</f>
        <v>3220.2324129890262</v>
      </c>
      <c r="K267" s="10">
        <f t="shared" si="8"/>
        <v>915.71135100788706</v>
      </c>
      <c r="L267" s="10">
        <f t="shared" si="9"/>
        <v>768.17368732704654</v>
      </c>
    </row>
    <row r="268" spans="1:12" x14ac:dyDescent="0.25">
      <c r="A268" s="2">
        <v>2</v>
      </c>
      <c r="B268" s="4">
        <v>40</v>
      </c>
      <c r="C268" s="4">
        <v>25.8</v>
      </c>
      <c r="D268" s="4">
        <v>1</v>
      </c>
      <c r="E268" s="4" t="s">
        <v>11</v>
      </c>
      <c r="F268" s="4" t="s">
        <v>9</v>
      </c>
      <c r="G268" s="4" t="s">
        <v>13</v>
      </c>
      <c r="H268" s="4">
        <v>2086.7508242685512</v>
      </c>
      <c r="I268" s="4">
        <v>2455.0009697277083</v>
      </c>
      <c r="J268" s="2">
        <f>VLOOKUP(A268,Planilha1!A:M,13,0)</f>
        <v>3220.2324129890262</v>
      </c>
      <c r="K268" s="10">
        <f t="shared" si="8"/>
        <v>1133.481588720475</v>
      </c>
      <c r="L268" s="10">
        <f t="shared" si="9"/>
        <v>368.25014545915701</v>
      </c>
    </row>
    <row r="269" spans="1:12" x14ac:dyDescent="0.25">
      <c r="A269" s="2">
        <v>3</v>
      </c>
      <c r="B269" s="4">
        <v>59</v>
      </c>
      <c r="C269" s="4">
        <v>32.4</v>
      </c>
      <c r="D269" s="4">
        <v>3</v>
      </c>
      <c r="E269" s="4" t="s">
        <v>8</v>
      </c>
      <c r="F269" s="4" t="s">
        <v>12</v>
      </c>
      <c r="G269" s="4" t="s">
        <v>15</v>
      </c>
      <c r="H269" s="4">
        <v>3301.7597851266487</v>
      </c>
      <c r="I269" s="4">
        <v>4402.3463801688649</v>
      </c>
      <c r="J269" s="2">
        <f>VLOOKUP(A269,Planilha1!A:M,13,0)</f>
        <v>3049.3550806113421</v>
      </c>
      <c r="K269" s="10">
        <f t="shared" si="8"/>
        <v>-252.40470451530655</v>
      </c>
      <c r="L269" s="10">
        <f t="shared" si="9"/>
        <v>1100.5865950422162</v>
      </c>
    </row>
    <row r="270" spans="1:12" x14ac:dyDescent="0.25">
      <c r="A270" s="2">
        <v>1</v>
      </c>
      <c r="B270" s="4">
        <v>45</v>
      </c>
      <c r="C270" s="4">
        <v>30.2</v>
      </c>
      <c r="D270" s="4">
        <v>1</v>
      </c>
      <c r="E270" s="4" t="s">
        <v>11</v>
      </c>
      <c r="F270" s="4" t="s">
        <v>12</v>
      </c>
      <c r="G270" s="4" t="s">
        <v>10</v>
      </c>
      <c r="H270" s="4">
        <v>4385.7999846143657</v>
      </c>
      <c r="I270" s="4">
        <v>4176.952366299397</v>
      </c>
      <c r="J270" s="2">
        <f>VLOOKUP(A270,Planilha1!A:M,13,0)</f>
        <v>6326.3485212104815</v>
      </c>
      <c r="K270" s="10">
        <f t="shared" si="8"/>
        <v>1940.5485365961158</v>
      </c>
      <c r="L270" s="10">
        <f t="shared" si="9"/>
        <v>-208.84761831496871</v>
      </c>
    </row>
    <row r="271" spans="1:12" x14ac:dyDescent="0.25">
      <c r="A271" s="2">
        <v>1</v>
      </c>
      <c r="B271" s="4">
        <v>49</v>
      </c>
      <c r="C271" s="4">
        <v>25.8</v>
      </c>
      <c r="D271" s="4">
        <v>1</v>
      </c>
      <c r="E271" s="4" t="s">
        <v>11</v>
      </c>
      <c r="F271" s="4" t="s">
        <v>12</v>
      </c>
      <c r="G271" s="4" t="s">
        <v>15</v>
      </c>
      <c r="H271" s="4">
        <v>5301.2430280992203</v>
      </c>
      <c r="I271" s="4">
        <v>5048.8028839040217</v>
      </c>
      <c r="J271" s="2">
        <f>VLOOKUP(A271,Planilha1!A:M,13,0)</f>
        <v>6326.3485212104815</v>
      </c>
      <c r="K271" s="10">
        <f t="shared" si="8"/>
        <v>1025.1054931112612</v>
      </c>
      <c r="L271" s="10">
        <f t="shared" si="9"/>
        <v>-252.44014419519863</v>
      </c>
    </row>
    <row r="272" spans="1:12" x14ac:dyDescent="0.25">
      <c r="A272" s="2">
        <v>0</v>
      </c>
      <c r="B272" s="4">
        <v>18</v>
      </c>
      <c r="C272" s="4">
        <v>23.6</v>
      </c>
      <c r="D272" s="4">
        <v>1</v>
      </c>
      <c r="E272" s="4" t="s">
        <v>11</v>
      </c>
      <c r="F272" s="4" t="s">
        <v>12</v>
      </c>
      <c r="G272" s="4" t="s">
        <v>13</v>
      </c>
      <c r="H272" s="4">
        <v>2265.5020841342966</v>
      </c>
      <c r="I272" s="4">
        <v>2665.2965695697612</v>
      </c>
      <c r="J272" s="2">
        <f>VLOOKUP(A272,Planilha1!A:M,13,0)</f>
        <v>2511.8220480829059</v>
      </c>
      <c r="K272" s="10">
        <f t="shared" si="8"/>
        <v>246.31996394860926</v>
      </c>
      <c r="L272" s="10">
        <f t="shared" si="9"/>
        <v>399.79448543546459</v>
      </c>
    </row>
    <row r="273" spans="1:12" x14ac:dyDescent="0.25">
      <c r="A273" s="2">
        <v>2</v>
      </c>
      <c r="B273" s="4">
        <v>50</v>
      </c>
      <c r="C273" s="4">
        <v>34.200000000000003</v>
      </c>
      <c r="D273" s="4">
        <v>2</v>
      </c>
      <c r="E273" s="4" t="s">
        <v>11</v>
      </c>
      <c r="F273" s="4" t="s">
        <v>9</v>
      </c>
      <c r="G273" s="4" t="s">
        <v>10</v>
      </c>
      <c r="H273" s="4">
        <v>2217.5984802531066</v>
      </c>
      <c r="I273" s="4">
        <v>2956.7979736708085</v>
      </c>
      <c r="J273" s="2">
        <f>VLOOKUP(A273,Planilha1!A:M,13,0)</f>
        <v>3220.2324129890262</v>
      </c>
      <c r="K273" s="10">
        <f t="shared" si="8"/>
        <v>1002.6339327359196</v>
      </c>
      <c r="L273" s="10">
        <f t="shared" si="9"/>
        <v>739.19949341770189</v>
      </c>
    </row>
    <row r="274" spans="1:12" x14ac:dyDescent="0.25">
      <c r="A274" s="2">
        <v>3</v>
      </c>
      <c r="B274" s="4">
        <v>41</v>
      </c>
      <c r="C274" s="4">
        <v>37.1</v>
      </c>
      <c r="D274" s="4">
        <v>2</v>
      </c>
      <c r="E274" s="4" t="s">
        <v>11</v>
      </c>
      <c r="F274" s="4" t="s">
        <v>12</v>
      </c>
      <c r="G274" s="4" t="s">
        <v>14</v>
      </c>
      <c r="H274" s="4">
        <v>2942.9063544309497</v>
      </c>
      <c r="I274" s="4">
        <v>3923.8751392412664</v>
      </c>
      <c r="J274" s="2">
        <f>VLOOKUP(A274,Planilha1!A:M,13,0)</f>
        <v>3049.3550806113421</v>
      </c>
      <c r="K274" s="10">
        <f t="shared" si="8"/>
        <v>106.44872618039244</v>
      </c>
      <c r="L274" s="10">
        <f t="shared" si="9"/>
        <v>980.96878481031672</v>
      </c>
    </row>
    <row r="275" spans="1:12" x14ac:dyDescent="0.25">
      <c r="A275" s="2">
        <v>1</v>
      </c>
      <c r="B275" s="4">
        <v>50</v>
      </c>
      <c r="C275" s="4">
        <v>27.5</v>
      </c>
      <c r="D275" s="4">
        <v>1</v>
      </c>
      <c r="E275" s="4" t="s">
        <v>11</v>
      </c>
      <c r="F275" s="4" t="s">
        <v>12</v>
      </c>
      <c r="G275" s="4" t="s">
        <v>15</v>
      </c>
      <c r="H275" s="4">
        <v>3810.8908370019217</v>
      </c>
      <c r="I275" s="4">
        <v>3629.4198447637364</v>
      </c>
      <c r="J275" s="2">
        <f>VLOOKUP(A275,Planilha1!A:M,13,0)</f>
        <v>6326.3485212104815</v>
      </c>
      <c r="K275" s="10">
        <f t="shared" si="8"/>
        <v>2515.4576842085598</v>
      </c>
      <c r="L275" s="10">
        <f t="shared" si="9"/>
        <v>-181.47099223818532</v>
      </c>
    </row>
    <row r="276" spans="1:12" x14ac:dyDescent="0.25">
      <c r="A276" s="2">
        <v>0</v>
      </c>
      <c r="B276" s="4">
        <v>25</v>
      </c>
      <c r="C276" s="4">
        <v>24.6</v>
      </c>
      <c r="D276" s="4">
        <v>0</v>
      </c>
      <c r="E276" s="4" t="s">
        <v>11</v>
      </c>
      <c r="F276" s="4" t="s">
        <v>12</v>
      </c>
      <c r="G276" s="4" t="s">
        <v>14</v>
      </c>
      <c r="H276" s="4">
        <v>2027.3372360645233</v>
      </c>
      <c r="I276" s="4">
        <v>2385.1026306641456</v>
      </c>
      <c r="J276" s="2">
        <f>VLOOKUP(A276,Planilha1!A:M,13,0)</f>
        <v>2511.8220480829059</v>
      </c>
      <c r="K276" s="10">
        <f t="shared" si="8"/>
        <v>484.48481201838263</v>
      </c>
      <c r="L276" s="10">
        <f t="shared" si="9"/>
        <v>357.76539459962237</v>
      </c>
    </row>
    <row r="277" spans="1:12" x14ac:dyDescent="0.25">
      <c r="A277" s="2">
        <v>3</v>
      </c>
      <c r="B277" s="4">
        <v>47</v>
      </c>
      <c r="C277" s="4">
        <v>26.6</v>
      </c>
      <c r="D277" s="4">
        <v>2</v>
      </c>
      <c r="E277" s="4" t="s">
        <v>8</v>
      </c>
      <c r="F277" s="4" t="s">
        <v>12</v>
      </c>
      <c r="G277" s="4" t="s">
        <v>15</v>
      </c>
      <c r="H277" s="4">
        <v>1371.1892131619093</v>
      </c>
      <c r="I277" s="4">
        <v>1828.2522842158789</v>
      </c>
      <c r="J277" s="2">
        <f>VLOOKUP(A277,Planilha1!A:M,13,0)</f>
        <v>3049.3550806113421</v>
      </c>
      <c r="K277" s="10">
        <f t="shared" si="8"/>
        <v>1678.1658674494329</v>
      </c>
      <c r="L277" s="10">
        <f t="shared" si="9"/>
        <v>457.06307105396968</v>
      </c>
    </row>
    <row r="278" spans="1:12" x14ac:dyDescent="0.25">
      <c r="A278" s="2">
        <v>0</v>
      </c>
      <c r="B278" s="4">
        <v>19</v>
      </c>
      <c r="C278" s="4">
        <v>23.2</v>
      </c>
      <c r="D278" s="4">
        <v>2</v>
      </c>
      <c r="E278" s="4" t="s">
        <v>11</v>
      </c>
      <c r="F278" s="4" t="s">
        <v>12</v>
      </c>
      <c r="G278" s="4" t="s">
        <v>14</v>
      </c>
      <c r="H278" s="4">
        <v>1686.202836775135</v>
      </c>
      <c r="I278" s="4">
        <v>1983.7680432648654</v>
      </c>
      <c r="J278" s="2">
        <f>VLOOKUP(A278,Planilha1!A:M,13,0)</f>
        <v>2511.8220480829059</v>
      </c>
      <c r="K278" s="10">
        <f t="shared" si="8"/>
        <v>825.61921130777091</v>
      </c>
      <c r="L278" s="10">
        <f t="shared" si="9"/>
        <v>297.56520648973037</v>
      </c>
    </row>
    <row r="279" spans="1:12" x14ac:dyDescent="0.25">
      <c r="A279" s="2">
        <v>0</v>
      </c>
      <c r="B279" s="4">
        <v>22</v>
      </c>
      <c r="C279" s="4">
        <v>22.6</v>
      </c>
      <c r="D279" s="4">
        <v>0</v>
      </c>
      <c r="E279" s="4" t="s">
        <v>8</v>
      </c>
      <c r="F279" s="4" t="s">
        <v>12</v>
      </c>
      <c r="G279" s="4" t="s">
        <v>10</v>
      </c>
      <c r="H279" s="4">
        <v>1945.1792283344764</v>
      </c>
      <c r="I279" s="4">
        <v>2288.4461509817379</v>
      </c>
      <c r="J279" s="2">
        <f>VLOOKUP(A279,Planilha1!A:M,13,0)</f>
        <v>2511.8220480829059</v>
      </c>
      <c r="K279" s="10">
        <f t="shared" si="8"/>
        <v>566.64281974842947</v>
      </c>
      <c r="L279" s="10">
        <f t="shared" si="9"/>
        <v>343.26692264726148</v>
      </c>
    </row>
    <row r="280" spans="1:12" x14ac:dyDescent="0.25">
      <c r="A280" s="2">
        <v>3</v>
      </c>
      <c r="B280" s="4">
        <v>59</v>
      </c>
      <c r="C280" s="4">
        <v>31.8</v>
      </c>
      <c r="D280" s="4">
        <v>2</v>
      </c>
      <c r="E280" s="4" t="s">
        <v>11</v>
      </c>
      <c r="F280" s="4" t="s">
        <v>12</v>
      </c>
      <c r="G280" s="4" t="s">
        <v>13</v>
      </c>
      <c r="H280" s="4">
        <v>2657.0872801050332</v>
      </c>
      <c r="I280" s="4">
        <v>3542.7830401400442</v>
      </c>
      <c r="J280" s="2">
        <f>VLOOKUP(A280,Planilha1!A:M,13,0)</f>
        <v>3049.3550806113421</v>
      </c>
      <c r="K280" s="10">
        <f t="shared" si="8"/>
        <v>392.26780050630896</v>
      </c>
      <c r="L280" s="10">
        <f t="shared" si="9"/>
        <v>885.69576003501106</v>
      </c>
    </row>
    <row r="281" spans="1:12" x14ac:dyDescent="0.25">
      <c r="A281" s="2">
        <v>1</v>
      </c>
      <c r="B281" s="4">
        <v>51</v>
      </c>
      <c r="C281" s="4">
        <v>21.6</v>
      </c>
      <c r="D281" s="4">
        <v>1</v>
      </c>
      <c r="E281" s="4" t="s">
        <v>8</v>
      </c>
      <c r="F281" s="4" t="s">
        <v>12</v>
      </c>
      <c r="G281" s="4" t="s">
        <v>13</v>
      </c>
      <c r="H281" s="4">
        <v>3783.877145875138</v>
      </c>
      <c r="I281" s="4">
        <v>3603.692519881085</v>
      </c>
      <c r="J281" s="2">
        <f>VLOOKUP(A281,Planilha1!A:M,13,0)</f>
        <v>6326.3485212104815</v>
      </c>
      <c r="K281" s="10">
        <f t="shared" si="8"/>
        <v>2542.4713753353435</v>
      </c>
      <c r="L281" s="10">
        <f t="shared" si="9"/>
        <v>-180.18462599405302</v>
      </c>
    </row>
    <row r="282" spans="1:12" x14ac:dyDescent="0.25">
      <c r="A282" s="2">
        <v>2</v>
      </c>
      <c r="B282" s="4">
        <v>40</v>
      </c>
      <c r="C282" s="4">
        <v>23.1</v>
      </c>
      <c r="D282" s="4">
        <v>1</v>
      </c>
      <c r="E282" s="4" t="s">
        <v>8</v>
      </c>
      <c r="F282" s="4" t="s">
        <v>9</v>
      </c>
      <c r="G282" s="4" t="s">
        <v>15</v>
      </c>
      <c r="H282" s="4">
        <v>2607.6074390258159</v>
      </c>
      <c r="I282" s="4">
        <v>3067.7734576774315</v>
      </c>
      <c r="J282" s="2">
        <f>VLOOKUP(A282,Planilha1!A:M,13,0)</f>
        <v>3220.2324129890262</v>
      </c>
      <c r="K282" s="10">
        <f t="shared" si="8"/>
        <v>612.62497396321032</v>
      </c>
      <c r="L282" s="10">
        <f t="shared" si="9"/>
        <v>460.16601865161556</v>
      </c>
    </row>
    <row r="283" spans="1:12" x14ac:dyDescent="0.25">
      <c r="A283" s="2">
        <v>2</v>
      </c>
      <c r="B283" s="4">
        <v>54</v>
      </c>
      <c r="C283" s="4">
        <v>40.6</v>
      </c>
      <c r="D283" s="4">
        <v>3</v>
      </c>
      <c r="E283" s="4" t="s">
        <v>11</v>
      </c>
      <c r="F283" s="4" t="s">
        <v>9</v>
      </c>
      <c r="G283" s="4" t="s">
        <v>15</v>
      </c>
      <c r="H283" s="4">
        <v>3007.3943157178537</v>
      </c>
      <c r="I283" s="4">
        <v>4009.859087623805</v>
      </c>
      <c r="J283" s="2">
        <f>VLOOKUP(A283,Planilha1!A:M,13,0)</f>
        <v>3220.2324129890262</v>
      </c>
      <c r="K283" s="10">
        <f t="shared" si="8"/>
        <v>212.8380972711725</v>
      </c>
      <c r="L283" s="10">
        <f t="shared" si="9"/>
        <v>1002.4647719059512</v>
      </c>
    </row>
    <row r="284" spans="1:12" x14ac:dyDescent="0.25">
      <c r="A284" s="2">
        <v>0</v>
      </c>
      <c r="B284" s="4">
        <v>30</v>
      </c>
      <c r="C284" s="4">
        <v>25</v>
      </c>
      <c r="D284" s="4">
        <v>1</v>
      </c>
      <c r="E284" s="4" t="s">
        <v>11</v>
      </c>
      <c r="F284" s="4" t="s">
        <v>12</v>
      </c>
      <c r="G284" s="4" t="s">
        <v>15</v>
      </c>
      <c r="H284" s="4">
        <v>2302.2221007951284</v>
      </c>
      <c r="I284" s="4">
        <v>2708.4965891707398</v>
      </c>
      <c r="J284" s="2">
        <f>VLOOKUP(A284,Planilha1!A:M,13,0)</f>
        <v>2511.8220480829059</v>
      </c>
      <c r="K284" s="10">
        <f t="shared" si="8"/>
        <v>209.59994728777747</v>
      </c>
      <c r="L284" s="10">
        <f t="shared" si="9"/>
        <v>406.27448837561133</v>
      </c>
    </row>
    <row r="285" spans="1:12" x14ac:dyDescent="0.25">
      <c r="A285" s="2">
        <v>1</v>
      </c>
      <c r="B285" s="4">
        <v>55</v>
      </c>
      <c r="C285" s="4">
        <v>32.4</v>
      </c>
      <c r="D285" s="4">
        <v>1</v>
      </c>
      <c r="E285" s="4" t="s">
        <v>8</v>
      </c>
      <c r="F285" s="4" t="s">
        <v>12</v>
      </c>
      <c r="G285" s="4" t="s">
        <v>15</v>
      </c>
      <c r="H285" s="4">
        <v>4382.4910833418035</v>
      </c>
      <c r="I285" s="4">
        <v>4173.8010317541011</v>
      </c>
      <c r="J285" s="2">
        <f>VLOOKUP(A285,Planilha1!A:M,13,0)</f>
        <v>6326.3485212104815</v>
      </c>
      <c r="K285" s="10">
        <f t="shared" si="8"/>
        <v>1943.8574378686781</v>
      </c>
      <c r="L285" s="10">
        <f t="shared" si="9"/>
        <v>-208.69005158770233</v>
      </c>
    </row>
    <row r="286" spans="1:12" x14ac:dyDescent="0.25">
      <c r="A286" s="2">
        <v>1</v>
      </c>
      <c r="B286" s="4">
        <v>52</v>
      </c>
      <c r="C286" s="4">
        <v>31.2</v>
      </c>
      <c r="D286" s="4">
        <v>0</v>
      </c>
      <c r="E286" s="4" t="s">
        <v>8</v>
      </c>
      <c r="F286" s="4" t="s">
        <v>12</v>
      </c>
      <c r="G286" s="4" t="s">
        <v>10</v>
      </c>
      <c r="H286" s="4">
        <v>3673.0570975703913</v>
      </c>
      <c r="I286" s="4">
        <v>3498.1496167337077</v>
      </c>
      <c r="J286" s="2">
        <f>VLOOKUP(A286,Planilha1!A:M,13,0)</f>
        <v>6326.3485212104815</v>
      </c>
      <c r="K286" s="10">
        <f t="shared" si="8"/>
        <v>2653.2914236400902</v>
      </c>
      <c r="L286" s="10">
        <f t="shared" si="9"/>
        <v>-174.90748083668359</v>
      </c>
    </row>
    <row r="287" spans="1:12" x14ac:dyDescent="0.25">
      <c r="A287" s="2">
        <v>1</v>
      </c>
      <c r="B287" s="4">
        <v>46</v>
      </c>
      <c r="C287" s="4">
        <v>26.6</v>
      </c>
      <c r="D287" s="4">
        <v>1</v>
      </c>
      <c r="E287" s="4" t="s">
        <v>11</v>
      </c>
      <c r="F287" s="4" t="s">
        <v>12</v>
      </c>
      <c r="G287" s="4" t="s">
        <v>13</v>
      </c>
      <c r="H287" s="4">
        <v>5652.2488150001054</v>
      </c>
      <c r="I287" s="4">
        <v>5383.0941095239123</v>
      </c>
      <c r="J287" s="2">
        <f>VLOOKUP(A287,Planilha1!A:M,13,0)</f>
        <v>6326.3485212104815</v>
      </c>
      <c r="K287" s="10">
        <f t="shared" si="8"/>
        <v>674.0997062103761</v>
      </c>
      <c r="L287" s="10">
        <f t="shared" si="9"/>
        <v>-269.15470547619316</v>
      </c>
    </row>
    <row r="288" spans="1:12" x14ac:dyDescent="0.25">
      <c r="A288" s="2">
        <v>3</v>
      </c>
      <c r="B288" s="4">
        <v>46</v>
      </c>
      <c r="C288" s="4">
        <v>48.1</v>
      </c>
      <c r="D288" s="4">
        <v>2</v>
      </c>
      <c r="E288" s="4" t="s">
        <v>8</v>
      </c>
      <c r="F288" s="4" t="s">
        <v>12</v>
      </c>
      <c r="G288" s="4" t="s">
        <v>15</v>
      </c>
      <c r="H288" s="4">
        <v>1593.4845530367152</v>
      </c>
      <c r="I288" s="4">
        <v>2124.6460707156202</v>
      </c>
      <c r="J288" s="2">
        <f>VLOOKUP(A288,Planilha1!A:M,13,0)</f>
        <v>3049.3550806113421</v>
      </c>
      <c r="K288" s="10">
        <f t="shared" si="8"/>
        <v>1455.870527574627</v>
      </c>
      <c r="L288" s="10">
        <f t="shared" si="9"/>
        <v>531.16151767890506</v>
      </c>
    </row>
    <row r="289" spans="1:12" x14ac:dyDescent="0.25">
      <c r="A289" s="2">
        <v>1</v>
      </c>
      <c r="B289" s="4">
        <v>63</v>
      </c>
      <c r="C289" s="4">
        <v>26.2</v>
      </c>
      <c r="D289" s="4">
        <v>0</v>
      </c>
      <c r="E289" s="4" t="s">
        <v>8</v>
      </c>
      <c r="F289" s="4" t="s">
        <v>12</v>
      </c>
      <c r="G289" s="4" t="s">
        <v>14</v>
      </c>
      <c r="H289" s="4">
        <v>5142.5292281064494</v>
      </c>
      <c r="I289" s="4">
        <v>4897.6468839109057</v>
      </c>
      <c r="J289" s="2">
        <f>VLOOKUP(A289,Planilha1!A:M,13,0)</f>
        <v>6326.3485212104815</v>
      </c>
      <c r="K289" s="10">
        <f t="shared" si="8"/>
        <v>1183.8192931040321</v>
      </c>
      <c r="L289" s="10">
        <f t="shared" si="9"/>
        <v>-244.88234419554374</v>
      </c>
    </row>
    <row r="290" spans="1:12" x14ac:dyDescent="0.25">
      <c r="A290" s="2">
        <v>2</v>
      </c>
      <c r="B290" s="4">
        <v>59</v>
      </c>
      <c r="C290" s="4">
        <v>36.799999999999997</v>
      </c>
      <c r="D290" s="4">
        <v>1</v>
      </c>
      <c r="E290" s="4" t="s">
        <v>8</v>
      </c>
      <c r="F290" s="4" t="s">
        <v>9</v>
      </c>
      <c r="G290" s="4" t="s">
        <v>15</v>
      </c>
      <c r="H290" s="4">
        <v>6158.8639826358176</v>
      </c>
      <c r="I290" s="4">
        <v>5865.5847453674469</v>
      </c>
      <c r="J290" s="2">
        <f>VLOOKUP(A290,Planilha1!A:M,13,0)</f>
        <v>3220.2324129890262</v>
      </c>
      <c r="K290" s="10">
        <f t="shared" si="8"/>
        <v>-2938.6315696467914</v>
      </c>
      <c r="L290" s="10">
        <f t="shared" si="9"/>
        <v>-293.27923726837071</v>
      </c>
    </row>
    <row r="291" spans="1:12" x14ac:dyDescent="0.25">
      <c r="A291" s="2">
        <v>3</v>
      </c>
      <c r="B291" s="4">
        <v>52</v>
      </c>
      <c r="C291" s="4">
        <v>26.4</v>
      </c>
      <c r="D291" s="4">
        <v>3</v>
      </c>
      <c r="E291" s="4" t="s">
        <v>11</v>
      </c>
      <c r="F291" s="4" t="s">
        <v>12</v>
      </c>
      <c r="G291" s="4" t="s">
        <v>13</v>
      </c>
      <c r="H291" s="4">
        <v>1450.2762412980765</v>
      </c>
      <c r="I291" s="4">
        <v>1933.7016550641019</v>
      </c>
      <c r="J291" s="2">
        <f>VLOOKUP(A291,Planilha1!A:M,13,0)</f>
        <v>3049.3550806113421</v>
      </c>
      <c r="K291" s="10">
        <f t="shared" si="8"/>
        <v>1599.0788393132657</v>
      </c>
      <c r="L291" s="10">
        <f t="shared" si="9"/>
        <v>483.42541376602549</v>
      </c>
    </row>
    <row r="292" spans="1:12" x14ac:dyDescent="0.25">
      <c r="A292" s="2">
        <v>0</v>
      </c>
      <c r="B292" s="4">
        <v>28</v>
      </c>
      <c r="C292" s="4">
        <v>26</v>
      </c>
      <c r="D292" s="4">
        <v>0</v>
      </c>
      <c r="E292" s="4" t="s">
        <v>8</v>
      </c>
      <c r="F292" s="4" t="s">
        <v>12</v>
      </c>
      <c r="G292" s="4" t="s">
        <v>10</v>
      </c>
      <c r="H292" s="4">
        <v>1753.9269466765281</v>
      </c>
      <c r="I292" s="4">
        <v>2063.443466678269</v>
      </c>
      <c r="J292" s="2">
        <f>VLOOKUP(A292,Planilha1!A:M,13,0)</f>
        <v>2511.8220480829059</v>
      </c>
      <c r="K292" s="10">
        <f t="shared" si="8"/>
        <v>757.89510140637776</v>
      </c>
      <c r="L292" s="10">
        <f t="shared" si="9"/>
        <v>309.5165200017409</v>
      </c>
    </row>
    <row r="293" spans="1:12" x14ac:dyDescent="0.25">
      <c r="A293" s="2">
        <v>0</v>
      </c>
      <c r="B293" s="4">
        <v>29</v>
      </c>
      <c r="C293" s="4">
        <v>20.399999999999999</v>
      </c>
      <c r="D293" s="4">
        <v>1</v>
      </c>
      <c r="E293" s="4" t="s">
        <v>11</v>
      </c>
      <c r="F293" s="4" t="s">
        <v>12</v>
      </c>
      <c r="G293" s="4" t="s">
        <v>15</v>
      </c>
      <c r="H293" s="4">
        <v>1928.9706916389505</v>
      </c>
      <c r="I293" s="4">
        <v>2269.377284281119</v>
      </c>
      <c r="J293" s="2">
        <f>VLOOKUP(A293,Planilha1!A:M,13,0)</f>
        <v>2511.8220480829059</v>
      </c>
      <c r="K293" s="10">
        <f t="shared" si="8"/>
        <v>582.85135644395541</v>
      </c>
      <c r="L293" s="10">
        <f t="shared" si="9"/>
        <v>340.40659264216856</v>
      </c>
    </row>
    <row r="294" spans="1:12" x14ac:dyDescent="0.25">
      <c r="A294" s="2">
        <v>2</v>
      </c>
      <c r="B294" s="4">
        <v>25</v>
      </c>
      <c r="C294" s="4">
        <v>45.5</v>
      </c>
      <c r="D294" s="4">
        <v>2</v>
      </c>
      <c r="E294" s="4" t="s">
        <v>11</v>
      </c>
      <c r="F294" s="4" t="s">
        <v>9</v>
      </c>
      <c r="G294" s="4" t="s">
        <v>13</v>
      </c>
      <c r="H294" s="4">
        <v>1770.7073592617362</v>
      </c>
      <c r="I294" s="4">
        <v>2360.9431456823149</v>
      </c>
      <c r="J294" s="2">
        <f>VLOOKUP(A294,Planilha1!A:M,13,0)</f>
        <v>3220.2324129890262</v>
      </c>
      <c r="K294" s="10">
        <f t="shared" si="8"/>
        <v>1449.52505372729</v>
      </c>
      <c r="L294" s="10">
        <f t="shared" si="9"/>
        <v>590.23578642057873</v>
      </c>
    </row>
    <row r="295" spans="1:12" x14ac:dyDescent="0.25">
      <c r="A295" s="2">
        <v>0</v>
      </c>
      <c r="B295" s="4">
        <v>22</v>
      </c>
      <c r="C295" s="4">
        <v>24.2</v>
      </c>
      <c r="D295" s="4">
        <v>0</v>
      </c>
      <c r="E295" s="4" t="s">
        <v>8</v>
      </c>
      <c r="F295" s="4" t="s">
        <v>12</v>
      </c>
      <c r="G295" s="4" t="s">
        <v>13</v>
      </c>
      <c r="H295" s="4">
        <v>1658.9813515706737</v>
      </c>
      <c r="I295" s="4">
        <v>1951.7427665537346</v>
      </c>
      <c r="J295" s="2">
        <f>VLOOKUP(A295,Planilha1!A:M,13,0)</f>
        <v>2511.8220480829059</v>
      </c>
      <c r="K295" s="10">
        <f t="shared" si="8"/>
        <v>852.84069651223217</v>
      </c>
      <c r="L295" s="10">
        <f t="shared" si="9"/>
        <v>292.76141498306083</v>
      </c>
    </row>
    <row r="296" spans="1:12" x14ac:dyDescent="0.25">
      <c r="A296" s="2">
        <v>3</v>
      </c>
      <c r="B296" s="4">
        <v>25</v>
      </c>
      <c r="C296" s="4">
        <v>26.8</v>
      </c>
      <c r="D296" s="4">
        <v>3</v>
      </c>
      <c r="E296" s="4" t="s">
        <v>11</v>
      </c>
      <c r="F296" s="4" t="s">
        <v>12</v>
      </c>
      <c r="G296" s="4" t="s">
        <v>10</v>
      </c>
      <c r="H296" s="4">
        <v>1744.8087172591167</v>
      </c>
      <c r="I296" s="4">
        <v>2326.4116230121558</v>
      </c>
      <c r="J296" s="2">
        <f>VLOOKUP(A296,Planilha1!A:M,13,0)</f>
        <v>3049.3550806113421</v>
      </c>
      <c r="K296" s="10">
        <f t="shared" si="8"/>
        <v>1304.5463633522254</v>
      </c>
      <c r="L296" s="10">
        <f t="shared" si="9"/>
        <v>581.60290575303907</v>
      </c>
    </row>
    <row r="297" spans="1:12" x14ac:dyDescent="0.25">
      <c r="A297" s="2">
        <v>0</v>
      </c>
      <c r="B297" s="4">
        <v>18</v>
      </c>
      <c r="C297" s="4">
        <v>22</v>
      </c>
      <c r="D297" s="4">
        <v>0</v>
      </c>
      <c r="E297" s="4" t="s">
        <v>11</v>
      </c>
      <c r="F297" s="4" t="s">
        <v>12</v>
      </c>
      <c r="G297" s="4" t="s">
        <v>15</v>
      </c>
      <c r="H297" s="4">
        <v>2305.0483959076892</v>
      </c>
      <c r="I297" s="4">
        <v>2711.8216422443406</v>
      </c>
      <c r="J297" s="2">
        <f>VLOOKUP(A297,Planilha1!A:M,13,0)</f>
        <v>2511.8220480829059</v>
      </c>
      <c r="K297" s="10">
        <f t="shared" si="8"/>
        <v>206.77365217521674</v>
      </c>
      <c r="L297" s="10">
        <f t="shared" si="9"/>
        <v>406.77324633665148</v>
      </c>
    </row>
    <row r="298" spans="1:12" x14ac:dyDescent="0.25">
      <c r="A298" s="2">
        <v>2</v>
      </c>
      <c r="B298" s="4">
        <v>19</v>
      </c>
      <c r="C298" s="4">
        <v>23.9</v>
      </c>
      <c r="D298" s="4">
        <v>0</v>
      </c>
      <c r="E298" s="4" t="s">
        <v>11</v>
      </c>
      <c r="F298" s="4" t="s">
        <v>9</v>
      </c>
      <c r="G298" s="4" t="s">
        <v>10</v>
      </c>
      <c r="H298" s="4">
        <v>1391.4651585861143</v>
      </c>
      <c r="I298" s="4">
        <v>1637.0178336307235</v>
      </c>
      <c r="J298" s="2">
        <f>VLOOKUP(A298,Planilha1!A:M,13,0)</f>
        <v>3220.2324129890262</v>
      </c>
      <c r="K298" s="10">
        <f t="shared" si="8"/>
        <v>1828.7672544029119</v>
      </c>
      <c r="L298" s="10">
        <f t="shared" si="9"/>
        <v>245.55267504460926</v>
      </c>
    </row>
    <row r="299" spans="1:12" x14ac:dyDescent="0.25">
      <c r="A299" s="2">
        <v>2</v>
      </c>
      <c r="B299" s="4">
        <v>47</v>
      </c>
      <c r="C299" s="4">
        <v>25.4</v>
      </c>
      <c r="D299" s="4">
        <v>1</v>
      </c>
      <c r="E299" s="4" t="s">
        <v>11</v>
      </c>
      <c r="F299" s="4" t="s">
        <v>9</v>
      </c>
      <c r="G299" s="4" t="s">
        <v>13</v>
      </c>
      <c r="H299" s="4">
        <v>3832.9713382593973</v>
      </c>
      <c r="I299" s="4">
        <v>3650.4488935803802</v>
      </c>
      <c r="J299" s="2">
        <f>VLOOKUP(A299,Planilha1!A:M,13,0)</f>
        <v>3220.2324129890262</v>
      </c>
      <c r="K299" s="10">
        <f t="shared" si="8"/>
        <v>-612.73892527037106</v>
      </c>
      <c r="L299" s="10">
        <f t="shared" si="9"/>
        <v>-182.5224446790171</v>
      </c>
    </row>
    <row r="300" spans="1:12" x14ac:dyDescent="0.25">
      <c r="A300" s="2">
        <v>2</v>
      </c>
      <c r="B300" s="4">
        <v>31</v>
      </c>
      <c r="C300" s="4">
        <v>34.4</v>
      </c>
      <c r="D300" s="4">
        <v>3</v>
      </c>
      <c r="E300" s="4" t="s">
        <v>11</v>
      </c>
      <c r="F300" s="4" t="s">
        <v>9</v>
      </c>
      <c r="G300" s="4" t="s">
        <v>14</v>
      </c>
      <c r="H300" s="4">
        <v>2569.804759799154</v>
      </c>
      <c r="I300" s="4">
        <v>3426.4063463988718</v>
      </c>
      <c r="J300" s="2">
        <f>VLOOKUP(A300,Planilha1!A:M,13,0)</f>
        <v>3220.2324129890262</v>
      </c>
      <c r="K300" s="10">
        <f t="shared" si="8"/>
        <v>650.42765318987222</v>
      </c>
      <c r="L300" s="10">
        <f t="shared" si="9"/>
        <v>856.60158659971785</v>
      </c>
    </row>
    <row r="301" spans="1:12" x14ac:dyDescent="0.25">
      <c r="A301" s="2">
        <v>1</v>
      </c>
      <c r="B301" s="4">
        <v>48</v>
      </c>
      <c r="C301" s="4">
        <v>28.9</v>
      </c>
      <c r="D301" s="4">
        <v>1</v>
      </c>
      <c r="E301" s="4" t="s">
        <v>8</v>
      </c>
      <c r="F301" s="4" t="s">
        <v>12</v>
      </c>
      <c r="G301" s="4" t="s">
        <v>14</v>
      </c>
      <c r="H301" s="4">
        <v>3983.9121736074467</v>
      </c>
      <c r="I301" s="4">
        <v>3794.2020701023312</v>
      </c>
      <c r="J301" s="2">
        <f>VLOOKUP(A301,Planilha1!A:M,13,0)</f>
        <v>6326.3485212104815</v>
      </c>
      <c r="K301" s="10">
        <f t="shared" si="8"/>
        <v>2342.4363476030348</v>
      </c>
      <c r="L301" s="10">
        <f t="shared" si="9"/>
        <v>-189.71010350511551</v>
      </c>
    </row>
    <row r="302" spans="1:12" x14ac:dyDescent="0.25">
      <c r="A302" s="2">
        <v>3</v>
      </c>
      <c r="B302" s="4">
        <v>36</v>
      </c>
      <c r="C302" s="4">
        <v>27.6</v>
      </c>
      <c r="D302" s="4">
        <v>3</v>
      </c>
      <c r="E302" s="4" t="s">
        <v>11</v>
      </c>
      <c r="F302" s="4" t="s">
        <v>12</v>
      </c>
      <c r="G302" s="4" t="s">
        <v>15</v>
      </c>
      <c r="H302" s="4">
        <v>2654.737831142651</v>
      </c>
      <c r="I302" s="4">
        <v>3539.6504415235345</v>
      </c>
      <c r="J302" s="2">
        <f>VLOOKUP(A302,Planilha1!A:M,13,0)</f>
        <v>3049.3550806113421</v>
      </c>
      <c r="K302" s="10">
        <f t="shared" si="8"/>
        <v>394.61724946869117</v>
      </c>
      <c r="L302" s="10">
        <f t="shared" si="9"/>
        <v>884.91261038088351</v>
      </c>
    </row>
    <row r="303" spans="1:12" x14ac:dyDescent="0.25">
      <c r="A303" s="2">
        <v>2</v>
      </c>
      <c r="B303" s="4">
        <v>53</v>
      </c>
      <c r="C303" s="4">
        <v>22.6</v>
      </c>
      <c r="D303" s="4">
        <v>3</v>
      </c>
      <c r="E303" s="4" t="s">
        <v>8</v>
      </c>
      <c r="F303" s="4" t="s">
        <v>9</v>
      </c>
      <c r="G303" s="4" t="s">
        <v>15</v>
      </c>
      <c r="H303" s="4">
        <v>2078.6864696987104</v>
      </c>
      <c r="I303" s="4">
        <v>2771.5819595982807</v>
      </c>
      <c r="J303" s="2">
        <f>VLOOKUP(A303,Planilha1!A:M,13,0)</f>
        <v>3220.2324129890262</v>
      </c>
      <c r="K303" s="10">
        <f t="shared" si="8"/>
        <v>1141.5459432903158</v>
      </c>
      <c r="L303" s="10">
        <f t="shared" si="9"/>
        <v>692.89548989957029</v>
      </c>
    </row>
    <row r="304" spans="1:12" x14ac:dyDescent="0.25">
      <c r="A304" s="2">
        <v>3</v>
      </c>
      <c r="B304" s="4">
        <v>56</v>
      </c>
      <c r="C304" s="4">
        <v>37.5</v>
      </c>
      <c r="D304" s="4">
        <v>2</v>
      </c>
      <c r="E304" s="4" t="s">
        <v>8</v>
      </c>
      <c r="F304" s="4" t="s">
        <v>12</v>
      </c>
      <c r="G304" s="4" t="s">
        <v>13</v>
      </c>
      <c r="H304" s="4">
        <v>3355.5647434491566</v>
      </c>
      <c r="I304" s="4">
        <v>4474.0863245988758</v>
      </c>
      <c r="J304" s="2">
        <f>VLOOKUP(A304,Planilha1!A:M,13,0)</f>
        <v>3049.3550806113421</v>
      </c>
      <c r="K304" s="10">
        <f t="shared" si="8"/>
        <v>-306.20966283781445</v>
      </c>
      <c r="L304" s="10">
        <f t="shared" si="9"/>
        <v>1118.5215811497192</v>
      </c>
    </row>
    <row r="305" spans="1:12" x14ac:dyDescent="0.25">
      <c r="A305" s="2">
        <v>3</v>
      </c>
      <c r="B305" s="4">
        <v>28</v>
      </c>
      <c r="C305" s="4">
        <v>33</v>
      </c>
      <c r="D305" s="4">
        <v>2</v>
      </c>
      <c r="E305" s="4" t="s">
        <v>8</v>
      </c>
      <c r="F305" s="4" t="s">
        <v>12</v>
      </c>
      <c r="G305" s="4" t="s">
        <v>13</v>
      </c>
      <c r="H305" s="4">
        <v>1506.7993639215247</v>
      </c>
      <c r="I305" s="4">
        <v>2009.0658185620327</v>
      </c>
      <c r="J305" s="2">
        <f>VLOOKUP(A305,Planilha1!A:M,13,0)</f>
        <v>3049.3550806113421</v>
      </c>
      <c r="K305" s="10">
        <f t="shared" si="8"/>
        <v>1542.5557166898175</v>
      </c>
      <c r="L305" s="10">
        <f t="shared" si="9"/>
        <v>502.26645464050807</v>
      </c>
    </row>
    <row r="306" spans="1:12" x14ac:dyDescent="0.25">
      <c r="A306" s="2">
        <v>3</v>
      </c>
      <c r="B306" s="4">
        <v>57</v>
      </c>
      <c r="C306" s="4">
        <v>38</v>
      </c>
      <c r="D306" s="4">
        <v>2</v>
      </c>
      <c r="E306" s="4" t="s">
        <v>8</v>
      </c>
      <c r="F306" s="4" t="s">
        <v>12</v>
      </c>
      <c r="G306" s="4" t="s">
        <v>10</v>
      </c>
      <c r="H306" s="4">
        <v>2100.0131979236976</v>
      </c>
      <c r="I306" s="4">
        <v>2800.0175972315965</v>
      </c>
      <c r="J306" s="2">
        <f>VLOOKUP(A306,Planilha1!A:M,13,0)</f>
        <v>3049.3550806113421</v>
      </c>
      <c r="K306" s="10">
        <f t="shared" si="8"/>
        <v>949.34188268764456</v>
      </c>
      <c r="L306" s="10">
        <f t="shared" si="9"/>
        <v>700.00439930789889</v>
      </c>
    </row>
    <row r="307" spans="1:12" x14ac:dyDescent="0.25">
      <c r="A307" s="2">
        <v>3</v>
      </c>
      <c r="B307" s="4">
        <v>29</v>
      </c>
      <c r="C307" s="4">
        <v>33.299999999999997</v>
      </c>
      <c r="D307" s="4">
        <v>2</v>
      </c>
      <c r="E307" s="4" t="s">
        <v>11</v>
      </c>
      <c r="F307" s="4" t="s">
        <v>12</v>
      </c>
      <c r="G307" s="4" t="s">
        <v>14</v>
      </c>
      <c r="H307" s="4">
        <v>934.89152055677368</v>
      </c>
      <c r="I307" s="4">
        <v>1246.5220274090316</v>
      </c>
      <c r="J307" s="2">
        <f>VLOOKUP(A307,Planilha1!A:M,13,0)</f>
        <v>3049.3550806113421</v>
      </c>
      <c r="K307" s="10">
        <f t="shared" si="8"/>
        <v>2114.4635600545685</v>
      </c>
      <c r="L307" s="10">
        <f t="shared" si="9"/>
        <v>311.63050685225789</v>
      </c>
    </row>
    <row r="308" spans="1:12" x14ac:dyDescent="0.25">
      <c r="A308" s="2">
        <v>3</v>
      </c>
      <c r="B308" s="4">
        <v>28</v>
      </c>
      <c r="C308" s="4">
        <v>27.5</v>
      </c>
      <c r="D308" s="4">
        <v>2</v>
      </c>
      <c r="E308" s="4" t="s">
        <v>8</v>
      </c>
      <c r="F308" s="4" t="s">
        <v>12</v>
      </c>
      <c r="G308" s="4" t="s">
        <v>10</v>
      </c>
      <c r="H308" s="4">
        <v>911.78955195883918</v>
      </c>
      <c r="I308" s="4">
        <v>1215.7194026117857</v>
      </c>
      <c r="J308" s="2">
        <f>VLOOKUP(A308,Planilha1!A:M,13,0)</f>
        <v>3049.3550806113421</v>
      </c>
      <c r="K308" s="10">
        <f t="shared" si="8"/>
        <v>2137.565528652503</v>
      </c>
      <c r="L308" s="10">
        <f t="shared" si="9"/>
        <v>303.92985065294647</v>
      </c>
    </row>
    <row r="309" spans="1:12" x14ac:dyDescent="0.25">
      <c r="A309" s="2">
        <v>0</v>
      </c>
      <c r="B309" s="4">
        <v>30</v>
      </c>
      <c r="C309" s="4">
        <v>23.7</v>
      </c>
      <c r="D309" s="4">
        <v>1</v>
      </c>
      <c r="E309" s="4" t="s">
        <v>8</v>
      </c>
      <c r="F309" s="4" t="s">
        <v>12</v>
      </c>
      <c r="G309" s="4" t="s">
        <v>13</v>
      </c>
      <c r="H309" s="4">
        <v>2233.0640705458291</v>
      </c>
      <c r="I309" s="4">
        <v>2627.1342006421523</v>
      </c>
      <c r="J309" s="2">
        <f>VLOOKUP(A309,Planilha1!A:M,13,0)</f>
        <v>2511.8220480829059</v>
      </c>
      <c r="K309" s="10">
        <f t="shared" si="8"/>
        <v>278.75797753707684</v>
      </c>
      <c r="L309" s="10">
        <f t="shared" si="9"/>
        <v>394.07013009632328</v>
      </c>
    </row>
    <row r="310" spans="1:12" x14ac:dyDescent="0.25">
      <c r="A310" s="2">
        <v>1</v>
      </c>
      <c r="B310" s="4">
        <v>58</v>
      </c>
      <c r="C310" s="4">
        <v>34.9</v>
      </c>
      <c r="D310" s="4">
        <v>0</v>
      </c>
      <c r="E310" s="4" t="s">
        <v>11</v>
      </c>
      <c r="F310" s="4" t="s">
        <v>12</v>
      </c>
      <c r="G310" s="4" t="s">
        <v>15</v>
      </c>
      <c r="H310" s="4">
        <v>5761.1470850051837</v>
      </c>
      <c r="I310" s="4">
        <v>5486.8067476239858</v>
      </c>
      <c r="J310" s="2">
        <f>VLOOKUP(A310,Planilha1!A:M,13,0)</f>
        <v>6326.3485212104815</v>
      </c>
      <c r="K310" s="10">
        <f t="shared" si="8"/>
        <v>565.2014362052978</v>
      </c>
      <c r="L310" s="10">
        <f t="shared" si="9"/>
        <v>-274.34033738119797</v>
      </c>
    </row>
    <row r="311" spans="1:12" x14ac:dyDescent="0.25">
      <c r="A311" s="2">
        <v>3</v>
      </c>
      <c r="B311" s="4">
        <v>41</v>
      </c>
      <c r="C311" s="4">
        <v>33.1</v>
      </c>
      <c r="D311" s="4">
        <v>2</v>
      </c>
      <c r="E311" s="4" t="s">
        <v>8</v>
      </c>
      <c r="F311" s="4" t="s">
        <v>12</v>
      </c>
      <c r="G311" s="4" t="s">
        <v>14</v>
      </c>
      <c r="H311" s="4">
        <v>1063.6324468045807</v>
      </c>
      <c r="I311" s="4">
        <v>1418.1765957394409</v>
      </c>
      <c r="J311" s="2">
        <f>VLOOKUP(A311,Planilha1!A:M,13,0)</f>
        <v>3049.3550806113421</v>
      </c>
      <c r="K311" s="10">
        <f t="shared" si="8"/>
        <v>1985.7226338067615</v>
      </c>
      <c r="L311" s="10">
        <f t="shared" si="9"/>
        <v>354.54414893486023</v>
      </c>
    </row>
    <row r="312" spans="1:12" x14ac:dyDescent="0.25">
      <c r="A312" s="2">
        <v>1</v>
      </c>
      <c r="B312" s="4">
        <v>50</v>
      </c>
      <c r="C312" s="4">
        <v>26.6</v>
      </c>
      <c r="D312" s="4">
        <v>0</v>
      </c>
      <c r="E312" s="4" t="s">
        <v>11</v>
      </c>
      <c r="F312" s="4" t="s">
        <v>12</v>
      </c>
      <c r="G312" s="4" t="s">
        <v>10</v>
      </c>
      <c r="H312" s="4">
        <v>5383.0201763076857</v>
      </c>
      <c r="I312" s="4">
        <v>5126.6858821977976</v>
      </c>
      <c r="J312" s="2">
        <f>VLOOKUP(A312,Planilha1!A:M,13,0)</f>
        <v>6326.3485212104815</v>
      </c>
      <c r="K312" s="10">
        <f t="shared" si="8"/>
        <v>943.32834490279583</v>
      </c>
      <c r="L312" s="10">
        <f t="shared" si="9"/>
        <v>-256.33429410988811</v>
      </c>
    </row>
    <row r="313" spans="1:12" x14ac:dyDescent="0.25">
      <c r="A313" s="2">
        <v>0</v>
      </c>
      <c r="B313" s="4">
        <v>19</v>
      </c>
      <c r="C313" s="4">
        <v>25.8</v>
      </c>
      <c r="D313" s="4">
        <v>0</v>
      </c>
      <c r="E313" s="4" t="s">
        <v>8</v>
      </c>
      <c r="F313" s="4" t="s">
        <v>12</v>
      </c>
      <c r="G313" s="4" t="s">
        <v>10</v>
      </c>
      <c r="H313" s="4">
        <v>1947.0957960640524</v>
      </c>
      <c r="I313" s="4">
        <v>2290.7009365459448</v>
      </c>
      <c r="J313" s="2">
        <f>VLOOKUP(A313,Planilha1!A:M,13,0)</f>
        <v>2511.8220480829059</v>
      </c>
      <c r="K313" s="10">
        <f t="shared" si="8"/>
        <v>564.72625201885353</v>
      </c>
      <c r="L313" s="10">
        <f t="shared" si="9"/>
        <v>343.60514048189248</v>
      </c>
    </row>
    <row r="314" spans="1:12" x14ac:dyDescent="0.25">
      <c r="A314" s="2">
        <v>2</v>
      </c>
      <c r="B314" s="4">
        <v>43</v>
      </c>
      <c r="C314" s="4">
        <v>36</v>
      </c>
      <c r="D314" s="4">
        <v>3</v>
      </c>
      <c r="E314" s="4" t="s">
        <v>11</v>
      </c>
      <c r="F314" s="4" t="s">
        <v>9</v>
      </c>
      <c r="G314" s="4" t="s">
        <v>13</v>
      </c>
      <c r="H314" s="4">
        <v>1864.8981250271115</v>
      </c>
      <c r="I314" s="4">
        <v>2486.530833369482</v>
      </c>
      <c r="J314" s="2">
        <f>VLOOKUP(A314,Planilha1!A:M,13,0)</f>
        <v>3220.2324129890262</v>
      </c>
      <c r="K314" s="10">
        <f t="shared" si="8"/>
        <v>1355.3342879619147</v>
      </c>
      <c r="L314" s="10">
        <f t="shared" si="9"/>
        <v>621.63270834237051</v>
      </c>
    </row>
    <row r="315" spans="1:12" x14ac:dyDescent="0.25">
      <c r="A315" s="2">
        <v>1</v>
      </c>
      <c r="B315" s="4">
        <v>49</v>
      </c>
      <c r="C315" s="4">
        <v>35.9</v>
      </c>
      <c r="D315" s="4">
        <v>0</v>
      </c>
      <c r="E315" s="4" t="s">
        <v>11</v>
      </c>
      <c r="F315" s="4" t="s">
        <v>12</v>
      </c>
      <c r="G315" s="4" t="s">
        <v>13</v>
      </c>
      <c r="H315" s="4">
        <v>4903.9652578153282</v>
      </c>
      <c r="I315" s="4">
        <v>4670.4431026812672</v>
      </c>
      <c r="J315" s="2">
        <f>VLOOKUP(A315,Planilha1!A:M,13,0)</f>
        <v>6326.3485212104815</v>
      </c>
      <c r="K315" s="10">
        <f t="shared" si="8"/>
        <v>1422.3832633951533</v>
      </c>
      <c r="L315" s="10">
        <f t="shared" si="9"/>
        <v>-233.52215513406099</v>
      </c>
    </row>
    <row r="316" spans="1:12" x14ac:dyDescent="0.25">
      <c r="A316" s="2">
        <v>2</v>
      </c>
      <c r="B316" s="4">
        <v>27</v>
      </c>
      <c r="C316" s="4">
        <v>22.6</v>
      </c>
      <c r="D316" s="4">
        <v>0</v>
      </c>
      <c r="E316" s="4" t="s">
        <v>8</v>
      </c>
      <c r="F316" s="4" t="s">
        <v>9</v>
      </c>
      <c r="G316" s="4" t="s">
        <v>10</v>
      </c>
      <c r="H316" s="4">
        <v>1634.8294107119359</v>
      </c>
      <c r="I316" s="4">
        <v>1923.3287184846311</v>
      </c>
      <c r="J316" s="2">
        <f>VLOOKUP(A316,Planilha1!A:M,13,0)</f>
        <v>3220.2324129890262</v>
      </c>
      <c r="K316" s="10">
        <f t="shared" si="8"/>
        <v>1585.4030022770903</v>
      </c>
      <c r="L316" s="10">
        <f t="shared" si="9"/>
        <v>288.49930777269515</v>
      </c>
    </row>
    <row r="317" spans="1:12" x14ac:dyDescent="0.25">
      <c r="A317" s="2">
        <v>1</v>
      </c>
      <c r="B317" s="4">
        <v>52</v>
      </c>
      <c r="C317" s="4">
        <v>33.299999999999997</v>
      </c>
      <c r="D317" s="4">
        <v>0</v>
      </c>
      <c r="E317" s="4" t="s">
        <v>11</v>
      </c>
      <c r="F317" s="4" t="s">
        <v>12</v>
      </c>
      <c r="G317" s="4" t="s">
        <v>15</v>
      </c>
      <c r="H317" s="4">
        <v>4631.7328771214989</v>
      </c>
      <c r="I317" s="4">
        <v>4411.1741686871428</v>
      </c>
      <c r="J317" s="2">
        <f>VLOOKUP(A317,Planilha1!A:M,13,0)</f>
        <v>6326.3485212104815</v>
      </c>
      <c r="K317" s="10">
        <f t="shared" si="8"/>
        <v>1694.6156440889827</v>
      </c>
      <c r="L317" s="10">
        <f t="shared" si="9"/>
        <v>-220.55870843435605</v>
      </c>
    </row>
    <row r="318" spans="1:12" x14ac:dyDescent="0.25">
      <c r="A318" s="2">
        <v>1</v>
      </c>
      <c r="B318" s="4">
        <v>50</v>
      </c>
      <c r="C318" s="4">
        <v>32.200000000000003</v>
      </c>
      <c r="D318" s="4">
        <v>0</v>
      </c>
      <c r="E318" s="4" t="s">
        <v>11</v>
      </c>
      <c r="F318" s="4" t="s">
        <v>12</v>
      </c>
      <c r="G318" s="4" t="s">
        <v>14</v>
      </c>
      <c r="H318" s="4">
        <v>3544.7330235312011</v>
      </c>
      <c r="I318" s="4">
        <v>3375.9362128868597</v>
      </c>
      <c r="J318" s="2">
        <f>VLOOKUP(A318,Planilha1!A:M,13,0)</f>
        <v>6326.3485212104815</v>
      </c>
      <c r="K318" s="10">
        <f t="shared" si="8"/>
        <v>2781.6154976792805</v>
      </c>
      <c r="L318" s="10">
        <f t="shared" si="9"/>
        <v>-168.79681064434135</v>
      </c>
    </row>
    <row r="319" spans="1:12" x14ac:dyDescent="0.25">
      <c r="A319" s="2">
        <v>1</v>
      </c>
      <c r="B319" s="4">
        <v>54</v>
      </c>
      <c r="C319" s="4">
        <v>32.799999999999997</v>
      </c>
      <c r="D319" s="4">
        <v>0</v>
      </c>
      <c r="E319" s="4" t="s">
        <v>11</v>
      </c>
      <c r="F319" s="4" t="s">
        <v>12</v>
      </c>
      <c r="G319" s="4" t="s">
        <v>15</v>
      </c>
      <c r="H319" s="4">
        <v>5239.770542932687</v>
      </c>
      <c r="I319" s="4">
        <v>4990.2576599358936</v>
      </c>
      <c r="J319" s="2">
        <f>VLOOKUP(A319,Planilha1!A:M,13,0)</f>
        <v>6326.3485212104815</v>
      </c>
      <c r="K319" s="10">
        <f t="shared" si="8"/>
        <v>1086.5779782777945</v>
      </c>
      <c r="L319" s="10">
        <f t="shared" si="9"/>
        <v>-249.51288299679345</v>
      </c>
    </row>
    <row r="320" spans="1:12" x14ac:dyDescent="0.25">
      <c r="A320" s="2">
        <v>1</v>
      </c>
      <c r="B320" s="4">
        <v>44</v>
      </c>
      <c r="C320" s="4">
        <v>27.6</v>
      </c>
      <c r="D320" s="4">
        <v>0</v>
      </c>
      <c r="E320" s="4" t="s">
        <v>8</v>
      </c>
      <c r="F320" s="4" t="s">
        <v>12</v>
      </c>
      <c r="G320" s="4" t="s">
        <v>14</v>
      </c>
      <c r="H320" s="4">
        <v>3439.2817373938465</v>
      </c>
      <c r="I320" s="4">
        <v>3275.5064165655695</v>
      </c>
      <c r="J320" s="2">
        <f>VLOOKUP(A320,Planilha1!A:M,13,0)</f>
        <v>6326.3485212104815</v>
      </c>
      <c r="K320" s="10">
        <f t="shared" si="8"/>
        <v>2887.0667838166351</v>
      </c>
      <c r="L320" s="10">
        <f t="shared" si="9"/>
        <v>-163.77532082827702</v>
      </c>
    </row>
    <row r="321" spans="1:12" x14ac:dyDescent="0.25">
      <c r="A321" s="2">
        <v>0</v>
      </c>
      <c r="B321" s="4">
        <v>32</v>
      </c>
      <c r="C321" s="4">
        <v>21.3</v>
      </c>
      <c r="D321" s="4">
        <v>1</v>
      </c>
      <c r="E321" s="4" t="s">
        <v>11</v>
      </c>
      <c r="F321" s="4" t="s">
        <v>12</v>
      </c>
      <c r="G321" s="4" t="s">
        <v>15</v>
      </c>
      <c r="H321" s="4">
        <v>2454.5517886730013</v>
      </c>
      <c r="I321" s="4">
        <v>2887.7079866741201</v>
      </c>
      <c r="J321" s="2">
        <f>VLOOKUP(A321,Planilha1!A:M,13,0)</f>
        <v>2511.8220480829059</v>
      </c>
      <c r="K321" s="10">
        <f t="shared" si="8"/>
        <v>57.270259409904611</v>
      </c>
      <c r="L321" s="10">
        <f t="shared" si="9"/>
        <v>433.15619800111881</v>
      </c>
    </row>
    <row r="322" spans="1:12" x14ac:dyDescent="0.25">
      <c r="A322" s="2">
        <v>0</v>
      </c>
      <c r="B322" s="4">
        <v>34</v>
      </c>
      <c r="C322" s="4">
        <v>24.1</v>
      </c>
      <c r="D322" s="4">
        <v>1</v>
      </c>
      <c r="E322" s="4" t="s">
        <v>11</v>
      </c>
      <c r="F322" s="4" t="s">
        <v>12</v>
      </c>
      <c r="G322" s="4" t="s">
        <v>14</v>
      </c>
      <c r="H322" s="4">
        <v>1806.4084718076938</v>
      </c>
      <c r="I322" s="4">
        <v>2125.1864374208167</v>
      </c>
      <c r="J322" s="2">
        <f>VLOOKUP(A322,Planilha1!A:M,13,0)</f>
        <v>2511.8220480829059</v>
      </c>
      <c r="K322" s="10">
        <f t="shared" si="8"/>
        <v>705.41357627521211</v>
      </c>
      <c r="L322" s="10">
        <f t="shared" si="9"/>
        <v>318.77796561312289</v>
      </c>
    </row>
    <row r="323" spans="1:12" x14ac:dyDescent="0.25">
      <c r="A323" s="2">
        <v>3</v>
      </c>
      <c r="B323" s="4">
        <v>26</v>
      </c>
      <c r="C323" s="4">
        <v>29.6</v>
      </c>
      <c r="D323" s="4">
        <v>4</v>
      </c>
      <c r="E323" s="4" t="s">
        <v>8</v>
      </c>
      <c r="F323" s="4" t="s">
        <v>12</v>
      </c>
      <c r="G323" s="4" t="s">
        <v>15</v>
      </c>
      <c r="H323" s="4">
        <v>2735.1354239078628</v>
      </c>
      <c r="I323" s="4">
        <v>3646.8472318771505</v>
      </c>
      <c r="J323" s="2">
        <f>VLOOKUP(A323,Planilha1!A:M,13,0)</f>
        <v>3049.3550806113421</v>
      </c>
      <c r="K323" s="10">
        <f t="shared" ref="K323:K386" si="10">J323-H323</f>
        <v>314.21965670347936</v>
      </c>
      <c r="L323" s="10">
        <f t="shared" ref="L323:L386" si="11">I323-H323</f>
        <v>911.71180796928775</v>
      </c>
    </row>
    <row r="324" spans="1:12" x14ac:dyDescent="0.25">
      <c r="A324" s="2">
        <v>2</v>
      </c>
      <c r="B324" s="4">
        <v>34</v>
      </c>
      <c r="C324" s="4">
        <v>20.2</v>
      </c>
      <c r="D324" s="4">
        <v>0</v>
      </c>
      <c r="E324" s="4" t="s">
        <v>11</v>
      </c>
      <c r="F324" s="4" t="s">
        <v>9</v>
      </c>
      <c r="G324" s="4" t="s">
        <v>10</v>
      </c>
      <c r="H324" s="4">
        <v>2228.0257955596253</v>
      </c>
      <c r="I324" s="4">
        <v>2621.2068183054421</v>
      </c>
      <c r="J324" s="2">
        <f>VLOOKUP(A324,Planilha1!A:M,13,0)</f>
        <v>3220.2324129890262</v>
      </c>
      <c r="K324" s="10">
        <f t="shared" si="10"/>
        <v>992.20661742940092</v>
      </c>
      <c r="L324" s="10">
        <f t="shared" si="11"/>
        <v>393.18102274581679</v>
      </c>
    </row>
    <row r="325" spans="1:12" x14ac:dyDescent="0.25">
      <c r="A325" s="2">
        <v>1</v>
      </c>
      <c r="B325" s="4">
        <v>57</v>
      </c>
      <c r="C325" s="4">
        <v>40.9</v>
      </c>
      <c r="D325" s="4">
        <v>0</v>
      </c>
      <c r="E325" s="4" t="s">
        <v>11</v>
      </c>
      <c r="F325" s="4" t="s">
        <v>12</v>
      </c>
      <c r="G325" s="4" t="s">
        <v>15</v>
      </c>
      <c r="H325" s="4">
        <v>3969.6168202343874</v>
      </c>
      <c r="I325" s="4">
        <v>3780.5874478422752</v>
      </c>
      <c r="J325" s="2">
        <f>VLOOKUP(A325,Planilha1!A:M,13,0)</f>
        <v>6326.3485212104815</v>
      </c>
      <c r="K325" s="10">
        <f t="shared" si="10"/>
        <v>2356.7317009760941</v>
      </c>
      <c r="L325" s="10">
        <f t="shared" si="11"/>
        <v>-189.02937239211224</v>
      </c>
    </row>
    <row r="326" spans="1:12" x14ac:dyDescent="0.25">
      <c r="A326" s="2">
        <v>0</v>
      </c>
      <c r="B326" s="4">
        <v>29</v>
      </c>
      <c r="C326" s="4">
        <v>20.9</v>
      </c>
      <c r="D326" s="4">
        <v>0</v>
      </c>
      <c r="E326" s="4" t="s">
        <v>11</v>
      </c>
      <c r="F326" s="4" t="s">
        <v>12</v>
      </c>
      <c r="G326" s="4" t="s">
        <v>10</v>
      </c>
      <c r="H326" s="4">
        <v>1702.4106251894023</v>
      </c>
      <c r="I326" s="4">
        <v>2002.8360296345918</v>
      </c>
      <c r="J326" s="2">
        <f>VLOOKUP(A326,Planilha1!A:M,13,0)</f>
        <v>2511.8220480829059</v>
      </c>
      <c r="K326" s="10">
        <f t="shared" si="10"/>
        <v>809.41142289350364</v>
      </c>
      <c r="L326" s="10">
        <f t="shared" si="11"/>
        <v>300.42540444518954</v>
      </c>
    </row>
    <row r="327" spans="1:12" x14ac:dyDescent="0.25">
      <c r="A327" s="2">
        <v>1</v>
      </c>
      <c r="B327" s="4">
        <v>40</v>
      </c>
      <c r="C327" s="4">
        <v>34.1</v>
      </c>
      <c r="D327" s="4">
        <v>1</v>
      </c>
      <c r="E327" s="4" t="s">
        <v>11</v>
      </c>
      <c r="F327" s="4" t="s">
        <v>12</v>
      </c>
      <c r="G327" s="4" t="s">
        <v>15</v>
      </c>
      <c r="H327" s="4">
        <v>6084.2643200382154</v>
      </c>
      <c r="I327" s="4">
        <v>5794.5374476554443</v>
      </c>
      <c r="J327" s="2">
        <f>VLOOKUP(A327,Planilha1!A:M,13,0)</f>
        <v>6326.3485212104815</v>
      </c>
      <c r="K327" s="10">
        <f t="shared" si="10"/>
        <v>242.08420117226615</v>
      </c>
      <c r="L327" s="10">
        <f t="shared" si="11"/>
        <v>-289.72687238277103</v>
      </c>
    </row>
    <row r="328" spans="1:12" x14ac:dyDescent="0.25">
      <c r="A328" s="2">
        <v>0</v>
      </c>
      <c r="B328" s="4">
        <v>27</v>
      </c>
      <c r="C328" s="4">
        <v>24.4</v>
      </c>
      <c r="D328" s="4">
        <v>1</v>
      </c>
      <c r="E328" s="4" t="s">
        <v>8</v>
      </c>
      <c r="F328" s="4" t="s">
        <v>12</v>
      </c>
      <c r="G328" s="4" t="s">
        <v>13</v>
      </c>
      <c r="H328" s="4">
        <v>1582.9760482396059</v>
      </c>
      <c r="I328" s="4">
        <v>1862.3247626348311</v>
      </c>
      <c r="J328" s="2">
        <f>VLOOKUP(A328,Planilha1!A:M,13,0)</f>
        <v>2511.8220480829059</v>
      </c>
      <c r="K328" s="10">
        <f t="shared" si="10"/>
        <v>928.84599984329998</v>
      </c>
      <c r="L328" s="10">
        <f t="shared" si="11"/>
        <v>279.34871439522522</v>
      </c>
    </row>
    <row r="329" spans="1:12" x14ac:dyDescent="0.25">
      <c r="A329" s="2">
        <v>2</v>
      </c>
      <c r="B329" s="4">
        <v>45</v>
      </c>
      <c r="C329" s="4">
        <v>36.5</v>
      </c>
      <c r="D329" s="4">
        <v>2</v>
      </c>
      <c r="E329" s="4" t="s">
        <v>11</v>
      </c>
      <c r="F329" s="4" t="s">
        <v>9</v>
      </c>
      <c r="G329" s="4" t="s">
        <v>14</v>
      </c>
      <c r="H329" s="4">
        <v>1655.1114553608859</v>
      </c>
      <c r="I329" s="4">
        <v>2206.8152738145145</v>
      </c>
      <c r="J329" s="2">
        <f>VLOOKUP(A329,Planilha1!A:M,13,0)</f>
        <v>3220.2324129890262</v>
      </c>
      <c r="K329" s="10">
        <f t="shared" si="10"/>
        <v>1565.1209576281403</v>
      </c>
      <c r="L329" s="10">
        <f t="shared" si="11"/>
        <v>551.70381845362863</v>
      </c>
    </row>
    <row r="330" spans="1:12" x14ac:dyDescent="0.25">
      <c r="A330" s="2">
        <v>2</v>
      </c>
      <c r="B330" s="4">
        <v>64</v>
      </c>
      <c r="C330" s="4">
        <v>33.799999999999997</v>
      </c>
      <c r="D330" s="4">
        <v>1</v>
      </c>
      <c r="E330" s="4" t="s">
        <v>8</v>
      </c>
      <c r="F330" s="4" t="s">
        <v>9</v>
      </c>
      <c r="G330" s="4" t="s">
        <v>10</v>
      </c>
      <c r="H330" s="4">
        <v>4816.6698073842554</v>
      </c>
      <c r="I330" s="4">
        <v>4587.3045784611968</v>
      </c>
      <c r="J330" s="2">
        <f>VLOOKUP(A330,Planilha1!A:M,13,0)</f>
        <v>3220.2324129890262</v>
      </c>
      <c r="K330" s="10">
        <f t="shared" si="10"/>
        <v>-1596.4373943952291</v>
      </c>
      <c r="L330" s="10">
        <f t="shared" si="11"/>
        <v>-229.36522892305857</v>
      </c>
    </row>
    <row r="331" spans="1:12" x14ac:dyDescent="0.25">
      <c r="A331" s="2">
        <v>1</v>
      </c>
      <c r="B331" s="4">
        <v>52</v>
      </c>
      <c r="C331" s="4">
        <v>36.700000000000003</v>
      </c>
      <c r="D331" s="4">
        <v>0</v>
      </c>
      <c r="E331" s="4" t="s">
        <v>11</v>
      </c>
      <c r="F331" s="4" t="s">
        <v>12</v>
      </c>
      <c r="G331" s="4" t="s">
        <v>10</v>
      </c>
      <c r="H331" s="4">
        <v>4557.8104544117596</v>
      </c>
      <c r="I331" s="4">
        <v>4340.771861344534</v>
      </c>
      <c r="J331" s="2">
        <f>VLOOKUP(A331,Planilha1!A:M,13,0)</f>
        <v>6326.3485212104815</v>
      </c>
      <c r="K331" s="10">
        <f t="shared" si="10"/>
        <v>1768.538066798722</v>
      </c>
      <c r="L331" s="10">
        <f t="shared" si="11"/>
        <v>-217.03859306722552</v>
      </c>
    </row>
    <row r="332" spans="1:12" x14ac:dyDescent="0.25">
      <c r="A332" s="2">
        <v>2</v>
      </c>
      <c r="B332" s="4">
        <v>61</v>
      </c>
      <c r="C332" s="4">
        <v>36.4</v>
      </c>
      <c r="D332" s="4">
        <v>1</v>
      </c>
      <c r="E332" s="4" t="s">
        <v>8</v>
      </c>
      <c r="F332" s="4" t="s">
        <v>9</v>
      </c>
      <c r="G332" s="4" t="s">
        <v>15</v>
      </c>
      <c r="H332" s="4">
        <v>6121.4939348674634</v>
      </c>
      <c r="I332" s="4">
        <v>5829.9942236832994</v>
      </c>
      <c r="J332" s="2">
        <f>VLOOKUP(A332,Planilha1!A:M,13,0)</f>
        <v>3220.2324129890262</v>
      </c>
      <c r="K332" s="10">
        <f t="shared" si="10"/>
        <v>-2901.2615218784372</v>
      </c>
      <c r="L332" s="10">
        <f t="shared" si="11"/>
        <v>-291.49971118416397</v>
      </c>
    </row>
    <row r="333" spans="1:12" x14ac:dyDescent="0.25">
      <c r="A333" s="2">
        <v>2</v>
      </c>
      <c r="B333" s="4">
        <v>52</v>
      </c>
      <c r="C333" s="4">
        <v>27.4</v>
      </c>
      <c r="D333" s="4">
        <v>0</v>
      </c>
      <c r="E333" s="4" t="s">
        <v>11</v>
      </c>
      <c r="F333" s="4" t="s">
        <v>9</v>
      </c>
      <c r="G333" s="4" t="s">
        <v>14</v>
      </c>
      <c r="H333" s="4">
        <v>3965.9835139391753</v>
      </c>
      <c r="I333" s="4">
        <v>3777.1271561325498</v>
      </c>
      <c r="J333" s="2">
        <f>VLOOKUP(A333,Planilha1!A:M,13,0)</f>
        <v>3220.2324129890262</v>
      </c>
      <c r="K333" s="10">
        <f t="shared" si="10"/>
        <v>-745.75110095014907</v>
      </c>
      <c r="L333" s="10">
        <f t="shared" si="11"/>
        <v>-188.85635780662551</v>
      </c>
    </row>
    <row r="334" spans="1:12" x14ac:dyDescent="0.25">
      <c r="A334" s="2">
        <v>1</v>
      </c>
      <c r="B334" s="4">
        <v>61</v>
      </c>
      <c r="C334" s="4">
        <v>31.2</v>
      </c>
      <c r="D334" s="4">
        <v>0</v>
      </c>
      <c r="E334" s="4" t="s">
        <v>8</v>
      </c>
      <c r="F334" s="4" t="s">
        <v>12</v>
      </c>
      <c r="G334" s="4" t="s">
        <v>14</v>
      </c>
      <c r="H334" s="4">
        <v>4110.9772906002127</v>
      </c>
      <c r="I334" s="4">
        <v>3915.2164672382996</v>
      </c>
      <c r="J334" s="2">
        <f>VLOOKUP(A334,Planilha1!A:M,13,0)</f>
        <v>6326.3485212104815</v>
      </c>
      <c r="K334" s="10">
        <f t="shared" si="10"/>
        <v>2215.3712306102689</v>
      </c>
      <c r="L334" s="10">
        <f t="shared" si="11"/>
        <v>-195.76082336191303</v>
      </c>
    </row>
    <row r="335" spans="1:12" x14ac:dyDescent="0.25">
      <c r="A335" s="2">
        <v>1</v>
      </c>
      <c r="B335" s="4">
        <v>56</v>
      </c>
      <c r="C335" s="4">
        <v>28.8</v>
      </c>
      <c r="D335" s="4">
        <v>0</v>
      </c>
      <c r="E335" s="4" t="s">
        <v>8</v>
      </c>
      <c r="F335" s="4" t="s">
        <v>12</v>
      </c>
      <c r="G335" s="4" t="s">
        <v>15</v>
      </c>
      <c r="H335" s="4">
        <v>4436.7161335561341</v>
      </c>
      <c r="I335" s="4">
        <v>4225.4439367201294</v>
      </c>
      <c r="J335" s="2">
        <f>VLOOKUP(A335,Planilha1!A:M,13,0)</f>
        <v>6326.3485212104815</v>
      </c>
      <c r="K335" s="10">
        <f t="shared" si="10"/>
        <v>1889.6323876543474</v>
      </c>
      <c r="L335" s="10">
        <f t="shared" si="11"/>
        <v>-211.2721968360047</v>
      </c>
    </row>
    <row r="336" spans="1:12" x14ac:dyDescent="0.25">
      <c r="A336" s="2">
        <v>3</v>
      </c>
      <c r="B336" s="4">
        <v>43</v>
      </c>
      <c r="C336" s="4">
        <v>35.700000000000003</v>
      </c>
      <c r="D336" s="4">
        <v>2</v>
      </c>
      <c r="E336" s="4" t="s">
        <v>8</v>
      </c>
      <c r="F336" s="4" t="s">
        <v>12</v>
      </c>
      <c r="G336" s="4" t="s">
        <v>15</v>
      </c>
      <c r="H336" s="4">
        <v>2421.6065376265033</v>
      </c>
      <c r="I336" s="4">
        <v>3228.8087168353377</v>
      </c>
      <c r="J336" s="2">
        <f>VLOOKUP(A336,Planilha1!A:M,13,0)</f>
        <v>3049.3550806113421</v>
      </c>
      <c r="K336" s="10">
        <f t="shared" si="10"/>
        <v>627.74854298483888</v>
      </c>
      <c r="L336" s="10">
        <f t="shared" si="11"/>
        <v>807.20217920883442</v>
      </c>
    </row>
    <row r="337" spans="1:12" x14ac:dyDescent="0.25">
      <c r="A337" s="2">
        <v>1</v>
      </c>
      <c r="B337" s="4">
        <v>64</v>
      </c>
      <c r="C337" s="4">
        <v>34.5</v>
      </c>
      <c r="D337" s="4">
        <v>0</v>
      </c>
      <c r="E337" s="4" t="s">
        <v>11</v>
      </c>
      <c r="F337" s="4" t="s">
        <v>12</v>
      </c>
      <c r="G337" s="4" t="s">
        <v>10</v>
      </c>
      <c r="H337" s="4">
        <v>4806.7425981395136</v>
      </c>
      <c r="I337" s="4">
        <v>4577.8500934662052</v>
      </c>
      <c r="J337" s="2">
        <f>VLOOKUP(A337,Planilha1!A:M,13,0)</f>
        <v>6326.3485212104815</v>
      </c>
      <c r="K337" s="10">
        <f t="shared" si="10"/>
        <v>1519.6059230709679</v>
      </c>
      <c r="L337" s="10">
        <f t="shared" si="11"/>
        <v>-228.89250467330839</v>
      </c>
    </row>
    <row r="338" spans="1:12" x14ac:dyDescent="0.25">
      <c r="A338" s="2">
        <v>1</v>
      </c>
      <c r="B338" s="4">
        <v>60</v>
      </c>
      <c r="C338" s="4">
        <v>25.7</v>
      </c>
      <c r="D338" s="4">
        <v>0</v>
      </c>
      <c r="E338" s="4" t="s">
        <v>11</v>
      </c>
      <c r="F338" s="4" t="s">
        <v>12</v>
      </c>
      <c r="G338" s="4" t="s">
        <v>13</v>
      </c>
      <c r="H338" s="4">
        <v>4175.0622467921958</v>
      </c>
      <c r="I338" s="4">
        <v>3976.2497588497113</v>
      </c>
      <c r="J338" s="2">
        <f>VLOOKUP(A338,Planilha1!A:M,13,0)</f>
        <v>6326.3485212104815</v>
      </c>
      <c r="K338" s="10">
        <f t="shared" si="10"/>
        <v>2151.2862744182858</v>
      </c>
      <c r="L338" s="10">
        <f t="shared" si="11"/>
        <v>-198.81248794248449</v>
      </c>
    </row>
    <row r="339" spans="1:12" x14ac:dyDescent="0.25">
      <c r="A339" s="2">
        <v>1</v>
      </c>
      <c r="B339" s="4">
        <v>62</v>
      </c>
      <c r="C339" s="4">
        <v>27.6</v>
      </c>
      <c r="D339" s="4">
        <v>1</v>
      </c>
      <c r="E339" s="4" t="s">
        <v>11</v>
      </c>
      <c r="F339" s="4" t="s">
        <v>12</v>
      </c>
      <c r="G339" s="4" t="s">
        <v>14</v>
      </c>
      <c r="H339" s="4">
        <v>5833.5875343574462</v>
      </c>
      <c r="I339" s="4">
        <v>5555.7976517689985</v>
      </c>
      <c r="J339" s="2">
        <f>VLOOKUP(A339,Planilha1!A:M,13,0)</f>
        <v>6326.3485212104815</v>
      </c>
      <c r="K339" s="10">
        <f t="shared" si="10"/>
        <v>492.76098685303532</v>
      </c>
      <c r="L339" s="10">
        <f t="shared" si="11"/>
        <v>-277.78988258844765</v>
      </c>
    </row>
    <row r="340" spans="1:12" x14ac:dyDescent="0.25">
      <c r="A340" s="2">
        <v>2</v>
      </c>
      <c r="B340" s="4">
        <v>50</v>
      </c>
      <c r="C340" s="4">
        <v>32.299999999999997</v>
      </c>
      <c r="D340" s="4">
        <v>1</v>
      </c>
      <c r="E340" s="4" t="s">
        <v>11</v>
      </c>
      <c r="F340" s="4" t="s">
        <v>9</v>
      </c>
      <c r="G340" s="4" t="s">
        <v>15</v>
      </c>
      <c r="H340" s="4">
        <v>5028.4385995386237</v>
      </c>
      <c r="I340" s="4">
        <v>4788.9891424177385</v>
      </c>
      <c r="J340" s="2">
        <f>VLOOKUP(A340,Planilha1!A:M,13,0)</f>
        <v>3220.2324129890262</v>
      </c>
      <c r="K340" s="10">
        <f t="shared" si="10"/>
        <v>-1808.2061865495975</v>
      </c>
      <c r="L340" s="10">
        <f t="shared" si="11"/>
        <v>-239.4494571208852</v>
      </c>
    </row>
    <row r="341" spans="1:12" x14ac:dyDescent="0.25">
      <c r="A341" s="2">
        <v>1</v>
      </c>
      <c r="B341" s="4">
        <v>46</v>
      </c>
      <c r="C341" s="4">
        <v>27.7</v>
      </c>
      <c r="D341" s="4">
        <v>1</v>
      </c>
      <c r="E341" s="4" t="s">
        <v>8</v>
      </c>
      <c r="F341" s="4" t="s">
        <v>12</v>
      </c>
      <c r="G341" s="4" t="s">
        <v>13</v>
      </c>
      <c r="H341" s="4">
        <v>5284.5996895834824</v>
      </c>
      <c r="I341" s="4">
        <v>5032.9520853176036</v>
      </c>
      <c r="J341" s="2">
        <f>VLOOKUP(A341,Planilha1!A:M,13,0)</f>
        <v>6326.3485212104815</v>
      </c>
      <c r="K341" s="10">
        <f t="shared" si="10"/>
        <v>1041.7488316269992</v>
      </c>
      <c r="L341" s="10">
        <f t="shared" si="11"/>
        <v>-251.64760426587873</v>
      </c>
    </row>
    <row r="342" spans="1:12" x14ac:dyDescent="0.25">
      <c r="A342" s="2">
        <v>0</v>
      </c>
      <c r="B342" s="4">
        <v>24</v>
      </c>
      <c r="C342" s="4">
        <v>21.6</v>
      </c>
      <c r="D342" s="4">
        <v>0</v>
      </c>
      <c r="E342" s="4" t="s">
        <v>8</v>
      </c>
      <c r="F342" s="4" t="s">
        <v>12</v>
      </c>
      <c r="G342" s="4" t="s">
        <v>10</v>
      </c>
      <c r="H342" s="4">
        <v>1585.4248330824541</v>
      </c>
      <c r="I342" s="4">
        <v>1865.2056859793583</v>
      </c>
      <c r="J342" s="2">
        <f>VLOOKUP(A342,Planilha1!A:M,13,0)</f>
        <v>2511.8220480829059</v>
      </c>
      <c r="K342" s="10">
        <f t="shared" si="10"/>
        <v>926.39721500045175</v>
      </c>
      <c r="L342" s="10">
        <f t="shared" si="11"/>
        <v>279.78085289690421</v>
      </c>
    </row>
    <row r="343" spans="1:12" x14ac:dyDescent="0.25">
      <c r="A343" s="2">
        <v>1</v>
      </c>
      <c r="B343" s="4">
        <v>62</v>
      </c>
      <c r="C343" s="4">
        <v>30</v>
      </c>
      <c r="D343" s="4">
        <v>0</v>
      </c>
      <c r="E343" s="4" t="s">
        <v>11</v>
      </c>
      <c r="F343" s="4" t="s">
        <v>12</v>
      </c>
      <c r="G343" s="4" t="s">
        <v>14</v>
      </c>
      <c r="H343" s="4">
        <v>4736.708704175021</v>
      </c>
      <c r="I343" s="4">
        <v>4511.1511468333547</v>
      </c>
      <c r="J343" s="2">
        <f>VLOOKUP(A343,Planilha1!A:M,13,0)</f>
        <v>6326.3485212104815</v>
      </c>
      <c r="K343" s="10">
        <f t="shared" si="10"/>
        <v>1589.6398170354605</v>
      </c>
      <c r="L343" s="10">
        <f t="shared" si="11"/>
        <v>-225.55755734166632</v>
      </c>
    </row>
    <row r="344" spans="1:12" x14ac:dyDescent="0.25">
      <c r="A344" s="2">
        <v>1</v>
      </c>
      <c r="B344" s="4">
        <v>60</v>
      </c>
      <c r="C344" s="4">
        <v>27.6</v>
      </c>
      <c r="D344" s="4">
        <v>0</v>
      </c>
      <c r="E344" s="4" t="s">
        <v>8</v>
      </c>
      <c r="F344" s="4" t="s">
        <v>12</v>
      </c>
      <c r="G344" s="4" t="s">
        <v>15</v>
      </c>
      <c r="H344" s="4">
        <v>5374.9263658691343</v>
      </c>
      <c r="I344" s="4">
        <v>5118.9774913039391</v>
      </c>
      <c r="J344" s="2">
        <f>VLOOKUP(A344,Planilha1!A:M,13,0)</f>
        <v>6326.3485212104815</v>
      </c>
      <c r="K344" s="10">
        <f t="shared" si="10"/>
        <v>951.42215534134721</v>
      </c>
      <c r="L344" s="10">
        <f t="shared" si="11"/>
        <v>-255.94887456519518</v>
      </c>
    </row>
    <row r="345" spans="1:12" x14ac:dyDescent="0.25">
      <c r="A345" s="2">
        <v>1</v>
      </c>
      <c r="B345" s="4">
        <v>63</v>
      </c>
      <c r="C345" s="4">
        <v>36.799999999999997</v>
      </c>
      <c r="D345" s="4">
        <v>0</v>
      </c>
      <c r="E345" s="4" t="s">
        <v>11</v>
      </c>
      <c r="F345" s="4" t="s">
        <v>12</v>
      </c>
      <c r="G345" s="4" t="s">
        <v>15</v>
      </c>
      <c r="H345" s="4">
        <v>6069.2398611846338</v>
      </c>
      <c r="I345" s="4">
        <v>5780.2284392234633</v>
      </c>
      <c r="J345" s="2">
        <f>VLOOKUP(A345,Planilha1!A:M,13,0)</f>
        <v>6326.3485212104815</v>
      </c>
      <c r="K345" s="10">
        <f t="shared" si="10"/>
        <v>257.10866002584771</v>
      </c>
      <c r="L345" s="10">
        <f t="shared" si="11"/>
        <v>-289.01142196117053</v>
      </c>
    </row>
    <row r="346" spans="1:12" x14ac:dyDescent="0.25">
      <c r="A346" s="2">
        <v>3</v>
      </c>
      <c r="B346" s="4">
        <v>49</v>
      </c>
      <c r="C346" s="4">
        <v>41.5</v>
      </c>
      <c r="D346" s="4">
        <v>4</v>
      </c>
      <c r="E346" s="4" t="s">
        <v>8</v>
      </c>
      <c r="F346" s="4" t="s">
        <v>12</v>
      </c>
      <c r="G346" s="4" t="s">
        <v>13</v>
      </c>
      <c r="H346" s="4">
        <v>2392.8694742757548</v>
      </c>
      <c r="I346" s="4">
        <v>3190.4926323676732</v>
      </c>
      <c r="J346" s="2">
        <f>VLOOKUP(A346,Planilha1!A:M,13,0)</f>
        <v>3049.3550806113421</v>
      </c>
      <c r="K346" s="10">
        <f t="shared" si="10"/>
        <v>656.48560633558736</v>
      </c>
      <c r="L346" s="10">
        <f t="shared" si="11"/>
        <v>797.62315809191841</v>
      </c>
    </row>
    <row r="347" spans="1:12" x14ac:dyDescent="0.25">
      <c r="A347" s="2">
        <v>3</v>
      </c>
      <c r="B347" s="4">
        <v>34</v>
      </c>
      <c r="C347" s="4">
        <v>29.3</v>
      </c>
      <c r="D347" s="4">
        <v>3</v>
      </c>
      <c r="E347" s="4" t="s">
        <v>8</v>
      </c>
      <c r="F347" s="4" t="s">
        <v>12</v>
      </c>
      <c r="G347" s="4" t="s">
        <v>13</v>
      </c>
      <c r="H347" s="4">
        <v>2685.5649216758088</v>
      </c>
      <c r="I347" s="4">
        <v>3580.7532289010783</v>
      </c>
      <c r="J347" s="2">
        <f>VLOOKUP(A347,Planilha1!A:M,13,0)</f>
        <v>3049.3550806113421</v>
      </c>
      <c r="K347" s="10">
        <f t="shared" si="10"/>
        <v>363.79015893553333</v>
      </c>
      <c r="L347" s="10">
        <f t="shared" si="11"/>
        <v>895.18830722526945</v>
      </c>
    </row>
    <row r="348" spans="1:12" x14ac:dyDescent="0.25">
      <c r="A348" s="2">
        <v>3</v>
      </c>
      <c r="B348" s="4">
        <v>33</v>
      </c>
      <c r="C348" s="4">
        <v>35.799999999999997</v>
      </c>
      <c r="D348" s="4">
        <v>2</v>
      </c>
      <c r="E348" s="4" t="s">
        <v>11</v>
      </c>
      <c r="F348" s="4" t="s">
        <v>12</v>
      </c>
      <c r="G348" s="4" t="s">
        <v>13</v>
      </c>
      <c r="H348" s="4">
        <v>2870.4417360917423</v>
      </c>
      <c r="I348" s="4">
        <v>3827.2556481223228</v>
      </c>
      <c r="J348" s="2">
        <f>VLOOKUP(A348,Planilha1!A:M,13,0)</f>
        <v>3049.3550806113421</v>
      </c>
      <c r="K348" s="10">
        <f t="shared" si="10"/>
        <v>178.91334451959983</v>
      </c>
      <c r="L348" s="10">
        <f t="shared" si="11"/>
        <v>956.81391203058047</v>
      </c>
    </row>
    <row r="349" spans="1:12" x14ac:dyDescent="0.25">
      <c r="A349" s="2">
        <v>1</v>
      </c>
      <c r="B349" s="4">
        <v>46</v>
      </c>
      <c r="C349" s="4">
        <v>33.299999999999997</v>
      </c>
      <c r="D349" s="4">
        <v>1</v>
      </c>
      <c r="E349" s="4" t="s">
        <v>11</v>
      </c>
      <c r="F349" s="4" t="s">
        <v>12</v>
      </c>
      <c r="G349" s="4" t="s">
        <v>15</v>
      </c>
      <c r="H349" s="4">
        <v>4856.628167136224</v>
      </c>
      <c r="I349" s="4">
        <v>4625.3601591773577</v>
      </c>
      <c r="J349" s="2">
        <f>VLOOKUP(A349,Planilha1!A:M,13,0)</f>
        <v>6326.3485212104815</v>
      </c>
      <c r="K349" s="10">
        <f t="shared" si="10"/>
        <v>1469.7203540742576</v>
      </c>
      <c r="L349" s="10">
        <f t="shared" si="11"/>
        <v>-231.26800795886629</v>
      </c>
    </row>
    <row r="350" spans="1:12" x14ac:dyDescent="0.25">
      <c r="A350" s="2">
        <v>0</v>
      </c>
      <c r="B350" s="4">
        <v>36</v>
      </c>
      <c r="C350" s="4">
        <v>25</v>
      </c>
      <c r="D350" s="4">
        <v>1</v>
      </c>
      <c r="E350" s="4" t="s">
        <v>8</v>
      </c>
      <c r="F350" s="4" t="s">
        <v>12</v>
      </c>
      <c r="G350" s="4" t="s">
        <v>13</v>
      </c>
      <c r="H350" s="4">
        <v>1873.9971741884426</v>
      </c>
      <c r="I350" s="4">
        <v>2204.7025578687571</v>
      </c>
      <c r="J350" s="2">
        <f>VLOOKUP(A350,Planilha1!A:M,13,0)</f>
        <v>2511.8220480829059</v>
      </c>
      <c r="K350" s="10">
        <f t="shared" si="10"/>
        <v>637.82487389446328</v>
      </c>
      <c r="L350" s="10">
        <f t="shared" si="11"/>
        <v>330.70538368031453</v>
      </c>
    </row>
    <row r="351" spans="1:12" x14ac:dyDescent="0.25">
      <c r="A351" s="2">
        <v>0</v>
      </c>
      <c r="B351" s="4">
        <v>19</v>
      </c>
      <c r="C351" s="4">
        <v>23.3</v>
      </c>
      <c r="D351" s="4">
        <v>0</v>
      </c>
      <c r="E351" s="4" t="s">
        <v>11</v>
      </c>
      <c r="F351" s="4" t="s">
        <v>12</v>
      </c>
      <c r="G351" s="4" t="s">
        <v>14</v>
      </c>
      <c r="H351" s="4">
        <v>1956.7925862714455</v>
      </c>
      <c r="I351" s="4">
        <v>2302.1089250252307</v>
      </c>
      <c r="J351" s="2">
        <f>VLOOKUP(A351,Planilha1!A:M,13,0)</f>
        <v>2511.8220480829059</v>
      </c>
      <c r="K351" s="10">
        <f t="shared" si="10"/>
        <v>555.02946181146035</v>
      </c>
      <c r="L351" s="10">
        <f t="shared" si="11"/>
        <v>345.3163387537852</v>
      </c>
    </row>
    <row r="352" spans="1:12" x14ac:dyDescent="0.25">
      <c r="A352" s="2">
        <v>1</v>
      </c>
      <c r="B352" s="4">
        <v>57</v>
      </c>
      <c r="C352" s="4">
        <v>23.2</v>
      </c>
      <c r="D352" s="4">
        <v>0</v>
      </c>
      <c r="E352" s="4" t="s">
        <v>8</v>
      </c>
      <c r="F352" s="4" t="s">
        <v>12</v>
      </c>
      <c r="G352" s="4" t="s">
        <v>14</v>
      </c>
      <c r="H352" s="4">
        <v>5303.5992991522189</v>
      </c>
      <c r="I352" s="4">
        <v>5051.046951573544</v>
      </c>
      <c r="J352" s="2">
        <f>VLOOKUP(A352,Planilha1!A:M,13,0)</f>
        <v>6326.3485212104815</v>
      </c>
      <c r="K352" s="10">
        <f t="shared" si="10"/>
        <v>1022.7492220582626</v>
      </c>
      <c r="L352" s="10">
        <f t="shared" si="11"/>
        <v>-252.55234757867493</v>
      </c>
    </row>
    <row r="353" spans="1:12" x14ac:dyDescent="0.25">
      <c r="A353" s="2">
        <v>1</v>
      </c>
      <c r="B353" s="4">
        <v>50</v>
      </c>
      <c r="C353" s="4">
        <v>25.6</v>
      </c>
      <c r="D353" s="4">
        <v>0</v>
      </c>
      <c r="E353" s="4" t="s">
        <v>8</v>
      </c>
      <c r="F353" s="4" t="s">
        <v>12</v>
      </c>
      <c r="G353" s="4" t="s">
        <v>10</v>
      </c>
      <c r="H353" s="4">
        <v>3568.2978087956562</v>
      </c>
      <c r="I353" s="4">
        <v>3398.378865519674</v>
      </c>
      <c r="J353" s="2">
        <f>VLOOKUP(A353,Planilha1!A:M,13,0)</f>
        <v>6326.3485212104815</v>
      </c>
      <c r="K353" s="10">
        <f t="shared" si="10"/>
        <v>2758.0507124148253</v>
      </c>
      <c r="L353" s="10">
        <f t="shared" si="11"/>
        <v>-169.9189432759822</v>
      </c>
    </row>
    <row r="354" spans="1:12" x14ac:dyDescent="0.25">
      <c r="A354" s="2">
        <v>0</v>
      </c>
      <c r="B354" s="4">
        <v>30</v>
      </c>
      <c r="C354" s="4">
        <v>24.1</v>
      </c>
      <c r="D354" s="4">
        <v>0</v>
      </c>
      <c r="E354" s="4" t="s">
        <v>8</v>
      </c>
      <c r="F354" s="4" t="s">
        <v>12</v>
      </c>
      <c r="G354" s="4" t="s">
        <v>10</v>
      </c>
      <c r="H354" s="4">
        <v>2181.9269359587988</v>
      </c>
      <c r="I354" s="4">
        <v>2566.9728658338818</v>
      </c>
      <c r="J354" s="2">
        <f>VLOOKUP(A354,Planilha1!A:M,13,0)</f>
        <v>2511.8220480829059</v>
      </c>
      <c r="K354" s="10">
        <f t="shared" si="10"/>
        <v>329.89511212410707</v>
      </c>
      <c r="L354" s="10">
        <f t="shared" si="11"/>
        <v>385.04592987508295</v>
      </c>
    </row>
    <row r="355" spans="1:12" x14ac:dyDescent="0.25">
      <c r="A355" s="2">
        <v>0</v>
      </c>
      <c r="B355" s="4">
        <v>33</v>
      </c>
      <c r="C355" s="4">
        <v>22.2</v>
      </c>
      <c r="D355" s="4">
        <v>0</v>
      </c>
      <c r="E355" s="4" t="s">
        <v>11</v>
      </c>
      <c r="F355" s="4" t="s">
        <v>12</v>
      </c>
      <c r="G355" s="4" t="s">
        <v>15</v>
      </c>
      <c r="H355" s="4">
        <v>1497.6254945273133</v>
      </c>
      <c r="I355" s="4">
        <v>1761.9123465027224</v>
      </c>
      <c r="J355" s="2">
        <f>VLOOKUP(A355,Planilha1!A:M,13,0)</f>
        <v>2511.8220480829059</v>
      </c>
      <c r="K355" s="10">
        <f t="shared" si="10"/>
        <v>1014.1965535555926</v>
      </c>
      <c r="L355" s="10">
        <f t="shared" si="11"/>
        <v>264.28685197540904</v>
      </c>
    </row>
    <row r="356" spans="1:12" x14ac:dyDescent="0.25">
      <c r="A356" s="2">
        <v>0</v>
      </c>
      <c r="B356" s="4">
        <v>18</v>
      </c>
      <c r="C356" s="4">
        <v>22.1</v>
      </c>
      <c r="D356" s="4">
        <v>0</v>
      </c>
      <c r="E356" s="4" t="s">
        <v>8</v>
      </c>
      <c r="F356" s="4" t="s">
        <v>12</v>
      </c>
      <c r="G356" s="4" t="s">
        <v>13</v>
      </c>
      <c r="H356" s="4">
        <v>1438.8161800771272</v>
      </c>
      <c r="I356" s="4">
        <v>1692.7249177377976</v>
      </c>
      <c r="J356" s="2">
        <f>VLOOKUP(A356,Planilha1!A:M,13,0)</f>
        <v>2511.8220480829059</v>
      </c>
      <c r="K356" s="10">
        <f t="shared" si="10"/>
        <v>1073.0058680057787</v>
      </c>
      <c r="L356" s="10">
        <f t="shared" si="11"/>
        <v>253.90873766067034</v>
      </c>
    </row>
    <row r="357" spans="1:12" x14ac:dyDescent="0.25">
      <c r="A357" s="2">
        <v>1</v>
      </c>
      <c r="B357" s="4">
        <v>46</v>
      </c>
      <c r="C357" s="4">
        <v>27.6</v>
      </c>
      <c r="D357" s="4">
        <v>0</v>
      </c>
      <c r="E357" s="4" t="s">
        <v>11</v>
      </c>
      <c r="F357" s="4" t="s">
        <v>12</v>
      </c>
      <c r="G357" s="4" t="s">
        <v>10</v>
      </c>
      <c r="H357" s="4">
        <v>5344.114373934065</v>
      </c>
      <c r="I357" s="4">
        <v>5089.6327370800627</v>
      </c>
      <c r="J357" s="2">
        <f>VLOOKUP(A357,Planilha1!A:M,13,0)</f>
        <v>6326.3485212104815</v>
      </c>
      <c r="K357" s="10">
        <f t="shared" si="10"/>
        <v>982.23414727641648</v>
      </c>
      <c r="L357" s="10">
        <f t="shared" si="11"/>
        <v>-254.48163685400232</v>
      </c>
    </row>
    <row r="358" spans="1:12" x14ac:dyDescent="0.25">
      <c r="A358" s="2">
        <v>3</v>
      </c>
      <c r="B358" s="4">
        <v>46</v>
      </c>
      <c r="C358" s="4">
        <v>43.9</v>
      </c>
      <c r="D358" s="4">
        <v>3</v>
      </c>
      <c r="E358" s="4" t="s">
        <v>11</v>
      </c>
      <c r="F358" s="4" t="s">
        <v>12</v>
      </c>
      <c r="G358" s="4" t="s">
        <v>13</v>
      </c>
      <c r="H358" s="4">
        <v>3994.1405081246894</v>
      </c>
      <c r="I358" s="4">
        <v>5325.5206774995859</v>
      </c>
      <c r="J358" s="2">
        <f>VLOOKUP(A358,Planilha1!A:M,13,0)</f>
        <v>3049.3550806113421</v>
      </c>
      <c r="K358" s="10">
        <f t="shared" si="10"/>
        <v>-944.78542751334726</v>
      </c>
      <c r="L358" s="10">
        <f t="shared" si="11"/>
        <v>1331.3801693748965</v>
      </c>
    </row>
    <row r="359" spans="1:12" x14ac:dyDescent="0.25">
      <c r="A359" s="2">
        <v>3</v>
      </c>
      <c r="B359" s="4">
        <v>47</v>
      </c>
      <c r="C359" s="4">
        <v>29.8</v>
      </c>
      <c r="D359" s="4">
        <v>3</v>
      </c>
      <c r="E359" s="4" t="s">
        <v>11</v>
      </c>
      <c r="F359" s="4" t="s">
        <v>12</v>
      </c>
      <c r="G359" s="4" t="s">
        <v>14</v>
      </c>
      <c r="H359" s="4">
        <v>1664.0352210982333</v>
      </c>
      <c r="I359" s="4">
        <v>2218.7136281309777</v>
      </c>
      <c r="J359" s="2">
        <f>VLOOKUP(A359,Planilha1!A:M,13,0)</f>
        <v>3049.3550806113421</v>
      </c>
      <c r="K359" s="10">
        <f t="shared" si="10"/>
        <v>1385.3198595131089</v>
      </c>
      <c r="L359" s="10">
        <f t="shared" si="11"/>
        <v>554.67840703274442</v>
      </c>
    </row>
    <row r="360" spans="1:12" x14ac:dyDescent="0.25">
      <c r="A360" s="2">
        <v>0</v>
      </c>
      <c r="B360" s="4">
        <v>23</v>
      </c>
      <c r="C360" s="4">
        <v>20.9</v>
      </c>
      <c r="D360" s="4">
        <v>0</v>
      </c>
      <c r="E360" s="4" t="s">
        <v>11</v>
      </c>
      <c r="F360" s="4" t="s">
        <v>12</v>
      </c>
      <c r="G360" s="4" t="s">
        <v>13</v>
      </c>
      <c r="H360" s="4">
        <v>1602.0850093973506</v>
      </c>
      <c r="I360" s="4">
        <v>1884.8058934086487</v>
      </c>
      <c r="J360" s="2">
        <f>VLOOKUP(A360,Planilha1!A:M,13,0)</f>
        <v>2511.8220480829059</v>
      </c>
      <c r="K360" s="10">
        <f t="shared" si="10"/>
        <v>909.73703868555526</v>
      </c>
      <c r="L360" s="10">
        <f t="shared" si="11"/>
        <v>282.72088401129804</v>
      </c>
    </row>
    <row r="361" spans="1:12" x14ac:dyDescent="0.25">
      <c r="A361" s="2">
        <v>0</v>
      </c>
      <c r="B361" s="4">
        <v>18</v>
      </c>
      <c r="C361" s="4">
        <v>20.7</v>
      </c>
      <c r="D361" s="4">
        <v>0</v>
      </c>
      <c r="E361" s="4" t="s">
        <v>8</v>
      </c>
      <c r="F361" s="4" t="s">
        <v>12</v>
      </c>
      <c r="G361" s="4" t="s">
        <v>13</v>
      </c>
      <c r="H361" s="4">
        <v>2141.3761466341984</v>
      </c>
      <c r="I361" s="4">
        <v>2519.2660548637637</v>
      </c>
      <c r="J361" s="2">
        <f>VLOOKUP(A361,Planilha1!A:M,13,0)</f>
        <v>2511.8220480829059</v>
      </c>
      <c r="K361" s="10">
        <f t="shared" si="10"/>
        <v>370.44590144870745</v>
      </c>
      <c r="L361" s="10">
        <f t="shared" si="11"/>
        <v>377.88990822956521</v>
      </c>
    </row>
    <row r="362" spans="1:12" x14ac:dyDescent="0.25">
      <c r="A362" s="2">
        <v>3</v>
      </c>
      <c r="B362" s="4">
        <v>48</v>
      </c>
      <c r="C362" s="4">
        <v>32.299999999999997</v>
      </c>
      <c r="D362" s="4">
        <v>2</v>
      </c>
      <c r="E362" s="4" t="s">
        <v>8</v>
      </c>
      <c r="F362" s="4" t="s">
        <v>12</v>
      </c>
      <c r="G362" s="4" t="s">
        <v>15</v>
      </c>
      <c r="H362" s="4">
        <v>3479.3754828973197</v>
      </c>
      <c r="I362" s="4">
        <v>4639.1673105297596</v>
      </c>
      <c r="J362" s="2">
        <f>VLOOKUP(A362,Planilha1!A:M,13,0)</f>
        <v>3049.3550806113421</v>
      </c>
      <c r="K362" s="10">
        <f t="shared" si="10"/>
        <v>-430.02040228597753</v>
      </c>
      <c r="L362" s="10">
        <f t="shared" si="11"/>
        <v>1159.7918276324399</v>
      </c>
    </row>
    <row r="363" spans="1:12" x14ac:dyDescent="0.25">
      <c r="A363" s="2">
        <v>0</v>
      </c>
      <c r="B363" s="4">
        <v>35</v>
      </c>
      <c r="C363" s="4">
        <v>24.5</v>
      </c>
      <c r="D363" s="4">
        <v>1</v>
      </c>
      <c r="E363" s="4" t="s">
        <v>11</v>
      </c>
      <c r="F363" s="4" t="s">
        <v>12</v>
      </c>
      <c r="G363" s="4" t="s">
        <v>10</v>
      </c>
      <c r="H363" s="4">
        <v>1459.0170033116638</v>
      </c>
      <c r="I363" s="4">
        <v>1716.4905921313698</v>
      </c>
      <c r="J363" s="2">
        <f>VLOOKUP(A363,Planilha1!A:M,13,0)</f>
        <v>2511.8220480829059</v>
      </c>
      <c r="K363" s="10">
        <f t="shared" si="10"/>
        <v>1052.8050447712421</v>
      </c>
      <c r="L363" s="10">
        <f t="shared" si="11"/>
        <v>257.47358881970604</v>
      </c>
    </row>
    <row r="364" spans="1:12" x14ac:dyDescent="0.25">
      <c r="A364" s="2">
        <v>2</v>
      </c>
      <c r="B364" s="4">
        <v>19</v>
      </c>
      <c r="C364" s="4">
        <v>21.1</v>
      </c>
      <c r="D364" s="4">
        <v>0</v>
      </c>
      <c r="E364" s="4" t="s">
        <v>8</v>
      </c>
      <c r="F364" s="4" t="s">
        <v>9</v>
      </c>
      <c r="G364" s="4" t="s">
        <v>10</v>
      </c>
      <c r="H364" s="4">
        <v>1292.9607998365773</v>
      </c>
      <c r="I364" s="4">
        <v>1521.1303527489154</v>
      </c>
      <c r="J364" s="2">
        <f>VLOOKUP(A364,Planilha1!A:M,13,0)</f>
        <v>3220.2324129890262</v>
      </c>
      <c r="K364" s="10">
        <f t="shared" si="10"/>
        <v>1927.2716131524489</v>
      </c>
      <c r="L364" s="10">
        <f t="shared" si="11"/>
        <v>228.16955291233808</v>
      </c>
    </row>
    <row r="365" spans="1:12" x14ac:dyDescent="0.25">
      <c r="A365" s="2">
        <v>0</v>
      </c>
      <c r="B365" s="4">
        <v>21</v>
      </c>
      <c r="C365" s="4">
        <v>20.6</v>
      </c>
      <c r="D365" s="4">
        <v>1</v>
      </c>
      <c r="E365" s="4" t="s">
        <v>8</v>
      </c>
      <c r="F365" s="4" t="s">
        <v>12</v>
      </c>
      <c r="G365" s="4" t="s">
        <v>10</v>
      </c>
      <c r="H365" s="4">
        <v>1772.0854454876787</v>
      </c>
      <c r="I365" s="4">
        <v>2084.8064064560936</v>
      </c>
      <c r="J365" s="2">
        <f>VLOOKUP(A365,Planilha1!A:M,13,0)</f>
        <v>2511.8220480829059</v>
      </c>
      <c r="K365" s="10">
        <f t="shared" si="10"/>
        <v>739.73660259522717</v>
      </c>
      <c r="L365" s="10">
        <f t="shared" si="11"/>
        <v>312.72096096841483</v>
      </c>
    </row>
    <row r="366" spans="1:12" x14ac:dyDescent="0.25">
      <c r="A366" s="2">
        <v>0</v>
      </c>
      <c r="B366" s="4">
        <v>21</v>
      </c>
      <c r="C366" s="4">
        <v>23.9</v>
      </c>
      <c r="D366" s="4">
        <v>2</v>
      </c>
      <c r="E366" s="4" t="s">
        <v>8</v>
      </c>
      <c r="F366" s="4" t="s">
        <v>12</v>
      </c>
      <c r="G366" s="4" t="s">
        <v>13</v>
      </c>
      <c r="H366" s="4">
        <v>2304.5110551664225</v>
      </c>
      <c r="I366" s="4">
        <v>2711.18947666638</v>
      </c>
      <c r="J366" s="2">
        <f>VLOOKUP(A366,Planilha1!A:M,13,0)</f>
        <v>2511.8220480829059</v>
      </c>
      <c r="K366" s="10">
        <f t="shared" si="10"/>
        <v>207.31099291648343</v>
      </c>
      <c r="L366" s="10">
        <f t="shared" si="11"/>
        <v>406.67842149995749</v>
      </c>
    </row>
    <row r="367" spans="1:12" x14ac:dyDescent="0.25">
      <c r="A367" s="2">
        <v>1</v>
      </c>
      <c r="B367" s="4">
        <v>49</v>
      </c>
      <c r="C367" s="4">
        <v>30.8</v>
      </c>
      <c r="D367" s="4">
        <v>1</v>
      </c>
      <c r="E367" s="4" t="s">
        <v>8</v>
      </c>
      <c r="F367" s="4" t="s">
        <v>12</v>
      </c>
      <c r="G367" s="4" t="s">
        <v>15</v>
      </c>
      <c r="H367" s="4">
        <v>3548.2667147336547</v>
      </c>
      <c r="I367" s="4">
        <v>3379.3016330796727</v>
      </c>
      <c r="J367" s="2">
        <f>VLOOKUP(A367,Planilha1!A:M,13,0)</f>
        <v>6326.3485212104815</v>
      </c>
      <c r="K367" s="10">
        <f t="shared" si="10"/>
        <v>2778.0818064768268</v>
      </c>
      <c r="L367" s="10">
        <f t="shared" si="11"/>
        <v>-168.965081653982</v>
      </c>
    </row>
    <row r="368" spans="1:12" x14ac:dyDescent="0.25">
      <c r="A368" s="2">
        <v>3</v>
      </c>
      <c r="B368" s="4">
        <v>56</v>
      </c>
      <c r="C368" s="4">
        <v>32.299999999999997</v>
      </c>
      <c r="D368" s="4">
        <v>3</v>
      </c>
      <c r="E368" s="4" t="s">
        <v>8</v>
      </c>
      <c r="F368" s="4" t="s">
        <v>12</v>
      </c>
      <c r="G368" s="4" t="s">
        <v>15</v>
      </c>
      <c r="H368" s="4">
        <v>2642.3513869890735</v>
      </c>
      <c r="I368" s="4">
        <v>3523.1351826520981</v>
      </c>
      <c r="J368" s="2">
        <f>VLOOKUP(A368,Planilha1!A:M,13,0)</f>
        <v>3049.3550806113421</v>
      </c>
      <c r="K368" s="10">
        <f t="shared" si="10"/>
        <v>407.00369362226866</v>
      </c>
      <c r="L368" s="10">
        <f t="shared" si="11"/>
        <v>880.78379566302465</v>
      </c>
    </row>
    <row r="369" spans="1:12" x14ac:dyDescent="0.25">
      <c r="A369" s="2">
        <v>3</v>
      </c>
      <c r="B369" s="4">
        <v>42</v>
      </c>
      <c r="C369" s="4">
        <v>25</v>
      </c>
      <c r="D369" s="4">
        <v>2</v>
      </c>
      <c r="E369" s="4" t="s">
        <v>8</v>
      </c>
      <c r="F369" s="4" t="s">
        <v>12</v>
      </c>
      <c r="G369" s="4" t="s">
        <v>14</v>
      </c>
      <c r="H369" s="4">
        <v>1187.2144467011988</v>
      </c>
      <c r="I369" s="4">
        <v>1582.9525956015984</v>
      </c>
      <c r="J369" s="2">
        <f>VLOOKUP(A369,Planilha1!A:M,13,0)</f>
        <v>3049.3550806113421</v>
      </c>
      <c r="K369" s="10">
        <f t="shared" si="10"/>
        <v>1862.1406339101434</v>
      </c>
      <c r="L369" s="10">
        <f t="shared" si="11"/>
        <v>395.73814890039966</v>
      </c>
    </row>
    <row r="370" spans="1:12" x14ac:dyDescent="0.25">
      <c r="A370" s="2">
        <v>3</v>
      </c>
      <c r="B370" s="4">
        <v>44</v>
      </c>
      <c r="C370" s="4">
        <v>32</v>
      </c>
      <c r="D370" s="4">
        <v>2</v>
      </c>
      <c r="E370" s="4" t="s">
        <v>11</v>
      </c>
      <c r="F370" s="4" t="s">
        <v>12</v>
      </c>
      <c r="G370" s="4" t="s">
        <v>14</v>
      </c>
      <c r="H370" s="4">
        <v>3094.187043623534</v>
      </c>
      <c r="I370" s="4">
        <v>4125.582724831379</v>
      </c>
      <c r="J370" s="2">
        <f>VLOOKUP(A370,Planilha1!A:M,13,0)</f>
        <v>3049.3550806113421</v>
      </c>
      <c r="K370" s="10">
        <f t="shared" si="10"/>
        <v>-44.831963012191864</v>
      </c>
      <c r="L370" s="10">
        <f t="shared" si="11"/>
        <v>1031.395681207845</v>
      </c>
    </row>
    <row r="371" spans="1:12" x14ac:dyDescent="0.25">
      <c r="A371" s="2">
        <v>3</v>
      </c>
      <c r="B371" s="4">
        <v>18</v>
      </c>
      <c r="C371" s="4">
        <v>30.4</v>
      </c>
      <c r="D371" s="4">
        <v>3</v>
      </c>
      <c r="E371" s="4" t="s">
        <v>11</v>
      </c>
      <c r="F371" s="4" t="s">
        <v>12</v>
      </c>
      <c r="G371" s="4" t="s">
        <v>15</v>
      </c>
      <c r="H371" s="4">
        <v>1120.7376663650534</v>
      </c>
      <c r="I371" s="4">
        <v>1494.316888486738</v>
      </c>
      <c r="J371" s="2">
        <f>VLOOKUP(A371,Planilha1!A:M,13,0)</f>
        <v>3049.3550806113421</v>
      </c>
      <c r="K371" s="10">
        <f t="shared" si="10"/>
        <v>1928.6174142462887</v>
      </c>
      <c r="L371" s="10">
        <f t="shared" si="11"/>
        <v>373.57922212168455</v>
      </c>
    </row>
    <row r="372" spans="1:12" x14ac:dyDescent="0.25">
      <c r="A372" s="2">
        <v>1</v>
      </c>
      <c r="B372" s="4">
        <v>61</v>
      </c>
      <c r="C372" s="4">
        <v>21.1</v>
      </c>
      <c r="D372" s="4">
        <v>0</v>
      </c>
      <c r="E372" s="4" t="s">
        <v>8</v>
      </c>
      <c r="F372" s="4" t="s">
        <v>12</v>
      </c>
      <c r="G372" s="4" t="s">
        <v>14</v>
      </c>
      <c r="H372" s="4">
        <v>5410.4153544019309</v>
      </c>
      <c r="I372" s="4">
        <v>5152.7765280018402</v>
      </c>
      <c r="J372" s="2">
        <f>VLOOKUP(A372,Planilha1!A:M,13,0)</f>
        <v>6326.3485212104815</v>
      </c>
      <c r="K372" s="10">
        <f t="shared" si="10"/>
        <v>915.9331668085506</v>
      </c>
      <c r="L372" s="10">
        <f t="shared" si="11"/>
        <v>-257.63882640009069</v>
      </c>
    </row>
    <row r="373" spans="1:12" x14ac:dyDescent="0.25">
      <c r="A373" s="2">
        <v>1</v>
      </c>
      <c r="B373" s="4">
        <v>57</v>
      </c>
      <c r="C373" s="4">
        <v>22.2</v>
      </c>
      <c r="D373" s="4">
        <v>0</v>
      </c>
      <c r="E373" s="4" t="s">
        <v>8</v>
      </c>
      <c r="F373" s="4" t="s">
        <v>12</v>
      </c>
      <c r="G373" s="4" t="s">
        <v>15</v>
      </c>
      <c r="H373" s="4">
        <v>4157.6577753663278</v>
      </c>
      <c r="I373" s="4">
        <v>3959.674071777456</v>
      </c>
      <c r="J373" s="2">
        <f>VLOOKUP(A373,Planilha1!A:M,13,0)</f>
        <v>6326.3485212104815</v>
      </c>
      <c r="K373" s="10">
        <f t="shared" si="10"/>
        <v>2168.6907458441538</v>
      </c>
      <c r="L373" s="10">
        <f t="shared" si="11"/>
        <v>-197.98370358887178</v>
      </c>
    </row>
    <row r="374" spans="1:12" x14ac:dyDescent="0.25">
      <c r="A374" s="2">
        <v>1</v>
      </c>
      <c r="B374" s="4">
        <v>42</v>
      </c>
      <c r="C374" s="4">
        <v>33.200000000000003</v>
      </c>
      <c r="D374" s="4">
        <v>1</v>
      </c>
      <c r="E374" s="4" t="s">
        <v>8</v>
      </c>
      <c r="F374" s="4" t="s">
        <v>12</v>
      </c>
      <c r="G374" s="4" t="s">
        <v>15</v>
      </c>
      <c r="H374" s="4">
        <v>4434.1386308980072</v>
      </c>
      <c r="I374" s="4">
        <v>4222.9891722838183</v>
      </c>
      <c r="J374" s="2">
        <f>VLOOKUP(A374,Planilha1!A:M,13,0)</f>
        <v>6326.3485212104815</v>
      </c>
      <c r="K374" s="10">
        <f t="shared" si="10"/>
        <v>1892.2098903124743</v>
      </c>
      <c r="L374" s="10">
        <f t="shared" si="11"/>
        <v>-211.14945861418892</v>
      </c>
    </row>
    <row r="375" spans="1:12" x14ac:dyDescent="0.25">
      <c r="A375" s="2">
        <v>2</v>
      </c>
      <c r="B375" s="4">
        <v>26</v>
      </c>
      <c r="C375" s="4">
        <v>32.9</v>
      </c>
      <c r="D375" s="4">
        <v>2</v>
      </c>
      <c r="E375" s="4" t="s">
        <v>11</v>
      </c>
      <c r="F375" s="4" t="s">
        <v>9</v>
      </c>
      <c r="G375" s="4" t="s">
        <v>10</v>
      </c>
      <c r="H375" s="4">
        <v>1125.9341894561933</v>
      </c>
      <c r="I375" s="4">
        <v>1501.2455859415911</v>
      </c>
      <c r="J375" s="2">
        <f>VLOOKUP(A375,Planilha1!A:M,13,0)</f>
        <v>3220.2324129890262</v>
      </c>
      <c r="K375" s="10">
        <f t="shared" si="10"/>
        <v>2094.2982235328327</v>
      </c>
      <c r="L375" s="10">
        <f t="shared" si="11"/>
        <v>375.31139648539784</v>
      </c>
    </row>
    <row r="376" spans="1:12" x14ac:dyDescent="0.25">
      <c r="A376" s="2">
        <v>0</v>
      </c>
      <c r="B376" s="4">
        <v>20</v>
      </c>
      <c r="C376" s="4">
        <v>20</v>
      </c>
      <c r="D376" s="4">
        <v>0</v>
      </c>
      <c r="E376" s="4" t="s">
        <v>11</v>
      </c>
      <c r="F376" s="4" t="s">
        <v>12</v>
      </c>
      <c r="G376" s="4" t="s">
        <v>13</v>
      </c>
      <c r="H376" s="4">
        <v>2514.3527065377975</v>
      </c>
      <c r="I376" s="4">
        <v>2958.062007691527</v>
      </c>
      <c r="J376" s="2">
        <f>VLOOKUP(A376,Planilha1!A:M,13,0)</f>
        <v>2511.8220480829059</v>
      </c>
      <c r="K376" s="10">
        <f t="shared" si="10"/>
        <v>-2.5306584548916362</v>
      </c>
      <c r="L376" s="10">
        <f t="shared" si="11"/>
        <v>443.70930115372948</v>
      </c>
    </row>
    <row r="377" spans="1:12" x14ac:dyDescent="0.25">
      <c r="A377" s="2">
        <v>2</v>
      </c>
      <c r="B377" s="4">
        <v>23</v>
      </c>
      <c r="C377" s="4">
        <v>20</v>
      </c>
      <c r="D377" s="4">
        <v>0</v>
      </c>
      <c r="E377" s="4" t="s">
        <v>8</v>
      </c>
      <c r="F377" s="4" t="s">
        <v>9</v>
      </c>
      <c r="G377" s="4" t="s">
        <v>14</v>
      </c>
      <c r="H377" s="4">
        <v>1224.2951220548905</v>
      </c>
      <c r="I377" s="4">
        <v>1440.3472024175189</v>
      </c>
      <c r="J377" s="2">
        <f>VLOOKUP(A377,Planilha1!A:M,13,0)</f>
        <v>3220.2324129890262</v>
      </c>
      <c r="K377" s="10">
        <f t="shared" si="10"/>
        <v>1995.9372909341357</v>
      </c>
      <c r="L377" s="10">
        <f t="shared" si="11"/>
        <v>216.05208036262843</v>
      </c>
    </row>
    <row r="378" spans="1:12" x14ac:dyDescent="0.25">
      <c r="A378" s="2">
        <v>2</v>
      </c>
      <c r="B378" s="4">
        <v>39</v>
      </c>
      <c r="C378" s="4">
        <v>24.9</v>
      </c>
      <c r="D378" s="4">
        <v>3</v>
      </c>
      <c r="E378" s="4" t="s">
        <v>8</v>
      </c>
      <c r="F378" s="4" t="s">
        <v>9</v>
      </c>
      <c r="G378" s="4" t="s">
        <v>15</v>
      </c>
      <c r="H378" s="4">
        <v>2375.0891803396353</v>
      </c>
      <c r="I378" s="4">
        <v>3166.7855737861801</v>
      </c>
      <c r="J378" s="2">
        <f>VLOOKUP(A378,Planilha1!A:M,13,0)</f>
        <v>3220.2324129890262</v>
      </c>
      <c r="K378" s="10">
        <f t="shared" si="10"/>
        <v>845.14323264939094</v>
      </c>
      <c r="L378" s="10">
        <f t="shared" si="11"/>
        <v>791.69639344654479</v>
      </c>
    </row>
    <row r="379" spans="1:12" x14ac:dyDescent="0.25">
      <c r="A379" s="2">
        <v>2</v>
      </c>
      <c r="B379" s="4">
        <v>24</v>
      </c>
      <c r="C379" s="4">
        <v>24.9</v>
      </c>
      <c r="D379" s="4">
        <v>0</v>
      </c>
      <c r="E379" s="4" t="s">
        <v>11</v>
      </c>
      <c r="F379" s="4" t="s">
        <v>9</v>
      </c>
      <c r="G379" s="4" t="s">
        <v>13</v>
      </c>
      <c r="H379" s="4">
        <v>1435.108708851662</v>
      </c>
      <c r="I379" s="4">
        <v>1688.363186884309</v>
      </c>
      <c r="J379" s="2">
        <f>VLOOKUP(A379,Planilha1!A:M,13,0)</f>
        <v>3220.2324129890262</v>
      </c>
      <c r="K379" s="10">
        <f t="shared" si="10"/>
        <v>1785.1237041373643</v>
      </c>
      <c r="L379" s="10">
        <f t="shared" si="11"/>
        <v>253.25447803264706</v>
      </c>
    </row>
    <row r="380" spans="1:12" x14ac:dyDescent="0.25">
      <c r="A380" s="2">
        <v>3</v>
      </c>
      <c r="B380" s="4">
        <v>64</v>
      </c>
      <c r="C380" s="4">
        <v>30.1</v>
      </c>
      <c r="D380" s="4">
        <v>3</v>
      </c>
      <c r="E380" s="4" t="s">
        <v>8</v>
      </c>
      <c r="F380" s="4" t="s">
        <v>12</v>
      </c>
      <c r="G380" s="4" t="s">
        <v>14</v>
      </c>
      <c r="H380" s="4">
        <v>1750.3879791439488</v>
      </c>
      <c r="I380" s="4">
        <v>2333.8506388585984</v>
      </c>
      <c r="J380" s="2">
        <f>VLOOKUP(A380,Planilha1!A:M,13,0)</f>
        <v>3049.3550806113421</v>
      </c>
      <c r="K380" s="10">
        <f t="shared" si="10"/>
        <v>1298.9671014673934</v>
      </c>
      <c r="L380" s="10">
        <f t="shared" si="11"/>
        <v>583.46265971464959</v>
      </c>
    </row>
    <row r="381" spans="1:12" x14ac:dyDescent="0.25">
      <c r="A381" s="2">
        <v>1</v>
      </c>
      <c r="B381" s="4">
        <v>62</v>
      </c>
      <c r="C381" s="4">
        <v>31.5</v>
      </c>
      <c r="D381" s="4">
        <v>1</v>
      </c>
      <c r="E381" s="4" t="s">
        <v>11</v>
      </c>
      <c r="F381" s="4" t="s">
        <v>12</v>
      </c>
      <c r="G381" s="4" t="s">
        <v>13</v>
      </c>
      <c r="H381" s="4">
        <v>5387.8157765957394</v>
      </c>
      <c r="I381" s="4">
        <v>5131.2531205673722</v>
      </c>
      <c r="J381" s="2">
        <f>VLOOKUP(A381,Planilha1!A:M,13,0)</f>
        <v>6326.3485212104815</v>
      </c>
      <c r="K381" s="10">
        <f t="shared" si="10"/>
        <v>938.53274461474211</v>
      </c>
      <c r="L381" s="10">
        <f t="shared" si="11"/>
        <v>-256.5626560283672</v>
      </c>
    </row>
    <row r="382" spans="1:12" x14ac:dyDescent="0.25">
      <c r="A382" s="2">
        <v>2</v>
      </c>
      <c r="B382" s="4">
        <v>27</v>
      </c>
      <c r="C382" s="4">
        <v>20.8</v>
      </c>
      <c r="D382" s="4">
        <v>2</v>
      </c>
      <c r="E382" s="4" t="s">
        <v>8</v>
      </c>
      <c r="F382" s="4" t="s">
        <v>9</v>
      </c>
      <c r="G382" s="4" t="s">
        <v>15</v>
      </c>
      <c r="H382" s="4">
        <v>1659.7445133759807</v>
      </c>
      <c r="I382" s="4">
        <v>1952.6406039717428</v>
      </c>
      <c r="J382" s="2">
        <f>VLOOKUP(A382,Planilha1!A:M,13,0)</f>
        <v>3220.2324129890262</v>
      </c>
      <c r="K382" s="10">
        <f t="shared" si="10"/>
        <v>1560.4878996130456</v>
      </c>
      <c r="L382" s="10">
        <f t="shared" si="11"/>
        <v>292.89609059576219</v>
      </c>
    </row>
    <row r="383" spans="1:12" x14ac:dyDescent="0.25">
      <c r="A383" s="2">
        <v>2</v>
      </c>
      <c r="B383" s="4">
        <v>55</v>
      </c>
      <c r="C383" s="4">
        <v>30.7</v>
      </c>
      <c r="D383" s="4">
        <v>0</v>
      </c>
      <c r="E383" s="4" t="s">
        <v>11</v>
      </c>
      <c r="F383" s="4" t="s">
        <v>9</v>
      </c>
      <c r="G383" s="4" t="s">
        <v>15</v>
      </c>
      <c r="H383" s="4">
        <v>5214.2195787716737</v>
      </c>
      <c r="I383" s="4">
        <v>4965.9234083539759</v>
      </c>
      <c r="J383" s="2">
        <f>VLOOKUP(A383,Planilha1!A:M,13,0)</f>
        <v>3220.2324129890262</v>
      </c>
      <c r="K383" s="10">
        <f t="shared" si="10"/>
        <v>-1993.9871657826475</v>
      </c>
      <c r="L383" s="10">
        <f t="shared" si="11"/>
        <v>-248.29617041769779</v>
      </c>
    </row>
    <row r="384" spans="1:12" x14ac:dyDescent="0.25">
      <c r="A384" s="2">
        <v>1</v>
      </c>
      <c r="B384" s="4">
        <v>55</v>
      </c>
      <c r="C384" s="4">
        <v>33</v>
      </c>
      <c r="D384" s="4">
        <v>0</v>
      </c>
      <c r="E384" s="4" t="s">
        <v>11</v>
      </c>
      <c r="F384" s="4" t="s">
        <v>12</v>
      </c>
      <c r="G384" s="4" t="s">
        <v>13</v>
      </c>
      <c r="H384" s="4">
        <v>4647.0573060409106</v>
      </c>
      <c r="I384" s="4">
        <v>4425.7688628961059</v>
      </c>
      <c r="J384" s="2">
        <f>VLOOKUP(A384,Planilha1!A:M,13,0)</f>
        <v>6326.3485212104815</v>
      </c>
      <c r="K384" s="10">
        <f t="shared" si="10"/>
        <v>1679.2912151695709</v>
      </c>
      <c r="L384" s="10">
        <f t="shared" si="11"/>
        <v>-221.28844314480466</v>
      </c>
    </row>
    <row r="385" spans="1:12" x14ac:dyDescent="0.25">
      <c r="A385" s="2">
        <v>3</v>
      </c>
      <c r="B385" s="4">
        <v>35</v>
      </c>
      <c r="C385" s="4">
        <v>43.3</v>
      </c>
      <c r="D385" s="4">
        <v>2</v>
      </c>
      <c r="E385" s="4" t="s">
        <v>8</v>
      </c>
      <c r="F385" s="4" t="s">
        <v>12</v>
      </c>
      <c r="G385" s="4" t="s">
        <v>13</v>
      </c>
      <c r="H385" s="4">
        <v>2092.0394610359599</v>
      </c>
      <c r="I385" s="4">
        <v>2789.3859480479468</v>
      </c>
      <c r="J385" s="2">
        <f>VLOOKUP(A385,Planilha1!A:M,13,0)</f>
        <v>3049.3550806113421</v>
      </c>
      <c r="K385" s="10">
        <f t="shared" si="10"/>
        <v>957.31561957538224</v>
      </c>
      <c r="L385" s="10">
        <f t="shared" si="11"/>
        <v>697.34648701198694</v>
      </c>
    </row>
    <row r="386" spans="1:12" x14ac:dyDescent="0.25">
      <c r="A386" s="2">
        <v>3</v>
      </c>
      <c r="B386" s="4">
        <v>44</v>
      </c>
      <c r="C386" s="4">
        <v>22.1</v>
      </c>
      <c r="D386" s="4">
        <v>2</v>
      </c>
      <c r="E386" s="4" t="s">
        <v>11</v>
      </c>
      <c r="F386" s="4" t="s">
        <v>12</v>
      </c>
      <c r="G386" s="4" t="s">
        <v>15</v>
      </c>
      <c r="H386" s="4">
        <v>1271.3794457243998</v>
      </c>
      <c r="I386" s="4">
        <v>1695.1725942991998</v>
      </c>
      <c r="J386" s="2">
        <f>VLOOKUP(A386,Planilha1!A:M,13,0)</f>
        <v>3049.3550806113421</v>
      </c>
      <c r="K386" s="10">
        <f t="shared" si="10"/>
        <v>1777.9756348869423</v>
      </c>
      <c r="L386" s="10">
        <f t="shared" si="11"/>
        <v>423.79314857479994</v>
      </c>
    </row>
    <row r="387" spans="1:12" x14ac:dyDescent="0.25">
      <c r="A387" s="2">
        <v>0</v>
      </c>
      <c r="B387" s="4">
        <v>19</v>
      </c>
      <c r="C387" s="4">
        <v>25.2</v>
      </c>
      <c r="D387" s="4">
        <v>0</v>
      </c>
      <c r="E387" s="4" t="s">
        <v>11</v>
      </c>
      <c r="F387" s="4" t="s">
        <v>12</v>
      </c>
      <c r="G387" s="4" t="s">
        <v>10</v>
      </c>
      <c r="H387" s="4">
        <v>2064.4062268171765</v>
      </c>
      <c r="I387" s="4">
        <v>2428.7132080202086</v>
      </c>
      <c r="J387" s="2">
        <f>VLOOKUP(A387,Planilha1!A:M,13,0)</f>
        <v>2511.8220480829059</v>
      </c>
      <c r="K387" s="10">
        <f t="shared" ref="K387:K450" si="12">J387-H387</f>
        <v>447.41582126572939</v>
      </c>
      <c r="L387" s="10">
        <f t="shared" ref="L387:L450" si="13">I387-H387</f>
        <v>364.30698120303214</v>
      </c>
    </row>
    <row r="388" spans="1:12" x14ac:dyDescent="0.25">
      <c r="A388" s="2">
        <v>1</v>
      </c>
      <c r="B388" s="4">
        <v>58</v>
      </c>
      <c r="C388" s="4">
        <v>39.1</v>
      </c>
      <c r="D388" s="4">
        <v>0</v>
      </c>
      <c r="E388" s="4" t="s">
        <v>8</v>
      </c>
      <c r="F388" s="4" t="s">
        <v>12</v>
      </c>
      <c r="G388" s="4" t="s">
        <v>13</v>
      </c>
      <c r="H388" s="4">
        <v>4106.0185466226712</v>
      </c>
      <c r="I388" s="4">
        <v>3910.4938539263553</v>
      </c>
      <c r="J388" s="2">
        <f>VLOOKUP(A388,Planilha1!A:M,13,0)</f>
        <v>6326.3485212104815</v>
      </c>
      <c r="K388" s="10">
        <f t="shared" si="12"/>
        <v>2220.3299745878103</v>
      </c>
      <c r="L388" s="10">
        <f t="shared" si="13"/>
        <v>-195.52469269631592</v>
      </c>
    </row>
    <row r="389" spans="1:12" x14ac:dyDescent="0.25">
      <c r="A389" s="2">
        <v>3</v>
      </c>
      <c r="B389" s="4">
        <v>50</v>
      </c>
      <c r="C389" s="4">
        <v>25.4</v>
      </c>
      <c r="D389" s="4">
        <v>2</v>
      </c>
      <c r="E389" s="4" t="s">
        <v>11</v>
      </c>
      <c r="F389" s="4" t="s">
        <v>12</v>
      </c>
      <c r="G389" s="4" t="s">
        <v>14</v>
      </c>
      <c r="H389" s="4">
        <v>1225.245790182086</v>
      </c>
      <c r="I389" s="4">
        <v>1633.6610535761147</v>
      </c>
      <c r="J389" s="2">
        <f>VLOOKUP(A389,Planilha1!A:M,13,0)</f>
        <v>3049.3550806113421</v>
      </c>
      <c r="K389" s="10">
        <f t="shared" si="12"/>
        <v>1824.1092904292561</v>
      </c>
      <c r="L389" s="10">
        <f t="shared" si="13"/>
        <v>408.41526339402867</v>
      </c>
    </row>
    <row r="390" spans="1:12" x14ac:dyDescent="0.25">
      <c r="A390" s="2">
        <v>0</v>
      </c>
      <c r="B390" s="4">
        <v>26</v>
      </c>
      <c r="C390" s="4">
        <v>24.9</v>
      </c>
      <c r="D390" s="4">
        <v>0</v>
      </c>
      <c r="E390" s="4" t="s">
        <v>8</v>
      </c>
      <c r="F390" s="4" t="s">
        <v>12</v>
      </c>
      <c r="G390" s="4" t="s">
        <v>14</v>
      </c>
      <c r="H390" s="4">
        <v>2173.5468168405287</v>
      </c>
      <c r="I390" s="4">
        <v>2557.1139021653285</v>
      </c>
      <c r="J390" s="2">
        <f>VLOOKUP(A390,Planilha1!A:M,13,0)</f>
        <v>2511.8220480829059</v>
      </c>
      <c r="K390" s="10">
        <f t="shared" si="12"/>
        <v>338.27523124237723</v>
      </c>
      <c r="L390" s="10">
        <f t="shared" si="13"/>
        <v>383.56708532479979</v>
      </c>
    </row>
    <row r="391" spans="1:12" x14ac:dyDescent="0.25">
      <c r="A391" s="2">
        <v>3</v>
      </c>
      <c r="B391" s="4">
        <v>24</v>
      </c>
      <c r="C391" s="4">
        <v>30.2</v>
      </c>
      <c r="D391" s="4">
        <v>3</v>
      </c>
      <c r="E391" s="4" t="s">
        <v>8</v>
      </c>
      <c r="F391" s="4" t="s">
        <v>12</v>
      </c>
      <c r="G391" s="4" t="s">
        <v>14</v>
      </c>
      <c r="H391" s="4">
        <v>1632.0257973790153</v>
      </c>
      <c r="I391" s="4">
        <v>2176.0343965053539</v>
      </c>
      <c r="J391" s="2">
        <f>VLOOKUP(A391,Planilha1!A:M,13,0)</f>
        <v>3049.3550806113421</v>
      </c>
      <c r="K391" s="10">
        <f t="shared" si="12"/>
        <v>1417.3292832323268</v>
      </c>
      <c r="L391" s="10">
        <f t="shared" si="13"/>
        <v>544.00859912633859</v>
      </c>
    </row>
    <row r="392" spans="1:12" x14ac:dyDescent="0.25">
      <c r="A392" s="2">
        <v>3</v>
      </c>
      <c r="B392" s="4">
        <v>48</v>
      </c>
      <c r="C392" s="4">
        <v>35.6</v>
      </c>
      <c r="D392" s="4">
        <v>4</v>
      </c>
      <c r="E392" s="4" t="s">
        <v>11</v>
      </c>
      <c r="F392" s="4" t="s">
        <v>12</v>
      </c>
      <c r="G392" s="4" t="s">
        <v>15</v>
      </c>
      <c r="H392" s="4">
        <v>2923.1321389800532</v>
      </c>
      <c r="I392" s="4">
        <v>3897.5095186400713</v>
      </c>
      <c r="J392" s="2">
        <f>VLOOKUP(A392,Planilha1!A:M,13,0)</f>
        <v>3049.3550806113421</v>
      </c>
      <c r="K392" s="10">
        <f t="shared" si="12"/>
        <v>126.2229416312889</v>
      </c>
      <c r="L392" s="10">
        <f t="shared" si="13"/>
        <v>974.37737966001805</v>
      </c>
    </row>
    <row r="393" spans="1:12" x14ac:dyDescent="0.25">
      <c r="A393" s="2">
        <v>0</v>
      </c>
      <c r="B393" s="4">
        <v>19</v>
      </c>
      <c r="C393" s="4">
        <v>22.9</v>
      </c>
      <c r="D393" s="4">
        <v>0</v>
      </c>
      <c r="E393" s="4" t="s">
        <v>8</v>
      </c>
      <c r="F393" s="4" t="s">
        <v>12</v>
      </c>
      <c r="G393" s="4" t="s">
        <v>14</v>
      </c>
      <c r="H393" s="4">
        <v>1931.4318082335519</v>
      </c>
      <c r="I393" s="4">
        <v>2272.2727155688854</v>
      </c>
      <c r="J393" s="2">
        <f>VLOOKUP(A393,Planilha1!A:M,13,0)</f>
        <v>2511.8220480829059</v>
      </c>
      <c r="K393" s="10">
        <f t="shared" si="12"/>
        <v>580.39023984935397</v>
      </c>
      <c r="L393" s="10">
        <f t="shared" si="13"/>
        <v>340.84090733533344</v>
      </c>
    </row>
    <row r="394" spans="1:12" x14ac:dyDescent="0.25">
      <c r="A394" s="2">
        <v>1</v>
      </c>
      <c r="B394" s="4">
        <v>48</v>
      </c>
      <c r="C394" s="4">
        <v>31.4</v>
      </c>
      <c r="D394" s="4">
        <v>1</v>
      </c>
      <c r="E394" s="4" t="s">
        <v>11</v>
      </c>
      <c r="F394" s="4" t="s">
        <v>12</v>
      </c>
      <c r="G394" s="4" t="s">
        <v>15</v>
      </c>
      <c r="H394" s="4">
        <v>4165.1193324079286</v>
      </c>
      <c r="I394" s="4">
        <v>3966.7803165789805</v>
      </c>
      <c r="J394" s="2">
        <f>VLOOKUP(A394,Planilha1!A:M,13,0)</f>
        <v>6326.3485212104815</v>
      </c>
      <c r="K394" s="10">
        <f t="shared" si="12"/>
        <v>2161.2291888025529</v>
      </c>
      <c r="L394" s="10">
        <f t="shared" si="13"/>
        <v>-198.33901582894805</v>
      </c>
    </row>
    <row r="395" spans="1:12" x14ac:dyDescent="0.25">
      <c r="A395" s="2">
        <v>1</v>
      </c>
      <c r="B395" s="4">
        <v>49</v>
      </c>
      <c r="C395" s="4">
        <v>31.4</v>
      </c>
      <c r="D395" s="4">
        <v>1</v>
      </c>
      <c r="E395" s="4" t="s">
        <v>11</v>
      </c>
      <c r="F395" s="4" t="s">
        <v>12</v>
      </c>
      <c r="G395" s="4" t="s">
        <v>15</v>
      </c>
      <c r="H395" s="4">
        <v>5433.4241024062194</v>
      </c>
      <c r="I395" s="4">
        <v>5174.6896213392574</v>
      </c>
      <c r="J395" s="2">
        <f>VLOOKUP(A395,Planilha1!A:M,13,0)</f>
        <v>6326.3485212104815</v>
      </c>
      <c r="K395" s="10">
        <f t="shared" si="12"/>
        <v>892.92441880426213</v>
      </c>
      <c r="L395" s="10">
        <f t="shared" si="13"/>
        <v>-258.73448106696196</v>
      </c>
    </row>
    <row r="396" spans="1:12" x14ac:dyDescent="0.25">
      <c r="A396" s="2">
        <v>3</v>
      </c>
      <c r="B396" s="4">
        <v>46</v>
      </c>
      <c r="C396" s="4">
        <v>32.299999999999997</v>
      </c>
      <c r="D396" s="4">
        <v>2</v>
      </c>
      <c r="E396" s="4" t="s">
        <v>8</v>
      </c>
      <c r="F396" s="4" t="s">
        <v>12</v>
      </c>
      <c r="G396" s="4" t="s">
        <v>15</v>
      </c>
      <c r="H396" s="4">
        <v>2732.8305926311391</v>
      </c>
      <c r="I396" s="4">
        <v>3643.7741235081853</v>
      </c>
      <c r="J396" s="2">
        <f>VLOOKUP(A396,Planilha1!A:M,13,0)</f>
        <v>3049.3550806113421</v>
      </c>
      <c r="K396" s="10">
        <f t="shared" si="12"/>
        <v>316.52448798020305</v>
      </c>
      <c r="L396" s="10">
        <f t="shared" si="13"/>
        <v>910.94353087704621</v>
      </c>
    </row>
    <row r="397" spans="1:12" x14ac:dyDescent="0.25">
      <c r="A397" s="2">
        <v>0</v>
      </c>
      <c r="B397" s="4">
        <v>46</v>
      </c>
      <c r="C397" s="4">
        <v>19.899999999999999</v>
      </c>
      <c r="D397" s="4">
        <v>0</v>
      </c>
      <c r="E397" s="4" t="s">
        <v>11</v>
      </c>
      <c r="F397" s="4" t="s">
        <v>12</v>
      </c>
      <c r="G397" s="4" t="s">
        <v>14</v>
      </c>
      <c r="H397" s="4">
        <v>1688.0599667761039</v>
      </c>
      <c r="I397" s="4">
        <v>1985.9529020895347</v>
      </c>
      <c r="J397" s="2">
        <f>VLOOKUP(A397,Planilha1!A:M,13,0)</f>
        <v>2511.8220480829059</v>
      </c>
      <c r="K397" s="10">
        <f t="shared" si="12"/>
        <v>823.76208130680197</v>
      </c>
      <c r="L397" s="10">
        <f t="shared" si="13"/>
        <v>297.89293531343083</v>
      </c>
    </row>
    <row r="398" spans="1:12" x14ac:dyDescent="0.25">
      <c r="A398" s="2">
        <v>3</v>
      </c>
      <c r="B398" s="4">
        <v>43</v>
      </c>
      <c r="C398" s="4">
        <v>34.4</v>
      </c>
      <c r="D398" s="4">
        <v>3</v>
      </c>
      <c r="E398" s="4" t="s">
        <v>8</v>
      </c>
      <c r="F398" s="4" t="s">
        <v>12</v>
      </c>
      <c r="G398" s="4" t="s">
        <v>10</v>
      </c>
      <c r="H398" s="4">
        <v>2190.8594670230036</v>
      </c>
      <c r="I398" s="4">
        <v>2921.1459560306716</v>
      </c>
      <c r="J398" s="2">
        <f>VLOOKUP(A398,Planilha1!A:M,13,0)</f>
        <v>3049.3550806113421</v>
      </c>
      <c r="K398" s="10">
        <f t="shared" si="12"/>
        <v>858.49561358833853</v>
      </c>
      <c r="L398" s="10">
        <f t="shared" si="13"/>
        <v>730.28648900766802</v>
      </c>
    </row>
    <row r="399" spans="1:12" x14ac:dyDescent="0.25">
      <c r="A399" s="2">
        <v>0</v>
      </c>
      <c r="B399" s="4">
        <v>21</v>
      </c>
      <c r="C399" s="4">
        <v>24.6</v>
      </c>
      <c r="D399" s="4">
        <v>0</v>
      </c>
      <c r="E399" s="4" t="s">
        <v>11</v>
      </c>
      <c r="F399" s="4" t="s">
        <v>12</v>
      </c>
      <c r="G399" s="4" t="s">
        <v>13</v>
      </c>
      <c r="H399" s="4">
        <v>1756.0311731030729</v>
      </c>
      <c r="I399" s="4">
        <v>2065.9190271800867</v>
      </c>
      <c r="J399" s="2">
        <f>VLOOKUP(A399,Planilha1!A:M,13,0)</f>
        <v>2511.8220480829059</v>
      </c>
      <c r="K399" s="10">
        <f t="shared" si="12"/>
        <v>755.79087497983301</v>
      </c>
      <c r="L399" s="10">
        <f t="shared" si="13"/>
        <v>309.8878540770138</v>
      </c>
    </row>
    <row r="400" spans="1:12" x14ac:dyDescent="0.25">
      <c r="A400" s="2">
        <v>1</v>
      </c>
      <c r="B400" s="4">
        <v>64</v>
      </c>
      <c r="C400" s="4">
        <v>25.6</v>
      </c>
      <c r="D400" s="4">
        <v>2</v>
      </c>
      <c r="E400" s="4" t="s">
        <v>11</v>
      </c>
      <c r="F400" s="4" t="s">
        <v>12</v>
      </c>
      <c r="G400" s="4" t="s">
        <v>10</v>
      </c>
      <c r="H400" s="4">
        <v>4563.3946450304938</v>
      </c>
      <c r="I400" s="4">
        <v>4346.0901381242811</v>
      </c>
      <c r="J400" s="2">
        <f>VLOOKUP(A400,Planilha1!A:M,13,0)</f>
        <v>6326.3485212104815</v>
      </c>
      <c r="K400" s="10">
        <f t="shared" si="12"/>
        <v>1762.9538761799877</v>
      </c>
      <c r="L400" s="10">
        <f t="shared" si="13"/>
        <v>-217.30450690621274</v>
      </c>
    </row>
    <row r="401" spans="1:12" x14ac:dyDescent="0.25">
      <c r="A401" s="2">
        <v>0</v>
      </c>
      <c r="B401" s="4">
        <v>18</v>
      </c>
      <c r="C401" s="4">
        <v>22.6</v>
      </c>
      <c r="D401" s="4">
        <v>0</v>
      </c>
      <c r="E401" s="4" t="s">
        <v>8</v>
      </c>
      <c r="F401" s="4" t="s">
        <v>12</v>
      </c>
      <c r="G401" s="4" t="s">
        <v>13</v>
      </c>
      <c r="H401" s="4">
        <v>2124.8522396331309</v>
      </c>
      <c r="I401" s="4">
        <v>2499.8261642742727</v>
      </c>
      <c r="J401" s="2">
        <f>VLOOKUP(A401,Planilha1!A:M,13,0)</f>
        <v>2511.8220480829059</v>
      </c>
      <c r="K401" s="10">
        <f t="shared" si="12"/>
        <v>386.96980844977497</v>
      </c>
      <c r="L401" s="10">
        <f t="shared" si="13"/>
        <v>374.97392464114182</v>
      </c>
    </row>
    <row r="402" spans="1:12" x14ac:dyDescent="0.25">
      <c r="A402" s="2">
        <v>1</v>
      </c>
      <c r="B402" s="4">
        <v>51</v>
      </c>
      <c r="C402" s="4">
        <v>20.6</v>
      </c>
      <c r="D402" s="4">
        <v>0</v>
      </c>
      <c r="E402" s="4" t="s">
        <v>8</v>
      </c>
      <c r="F402" s="4" t="s">
        <v>12</v>
      </c>
      <c r="G402" s="4" t="s">
        <v>10</v>
      </c>
      <c r="H402" s="4">
        <v>4024.127429429604</v>
      </c>
      <c r="I402" s="4">
        <v>3832.5023137424814</v>
      </c>
      <c r="J402" s="2">
        <f>VLOOKUP(A402,Planilha1!A:M,13,0)</f>
        <v>6326.3485212104815</v>
      </c>
      <c r="K402" s="10">
        <f t="shared" si="12"/>
        <v>2302.2210917808775</v>
      </c>
      <c r="L402" s="10">
        <f t="shared" si="13"/>
        <v>-191.62511568712262</v>
      </c>
    </row>
    <row r="403" spans="1:12" x14ac:dyDescent="0.25">
      <c r="A403" s="2">
        <v>1</v>
      </c>
      <c r="B403" s="4">
        <v>47</v>
      </c>
      <c r="C403" s="4">
        <v>47.5</v>
      </c>
      <c r="D403" s="4">
        <v>1</v>
      </c>
      <c r="E403" s="4" t="s">
        <v>11</v>
      </c>
      <c r="F403" s="4" t="s">
        <v>12</v>
      </c>
      <c r="G403" s="4" t="s">
        <v>13</v>
      </c>
      <c r="H403" s="4">
        <v>5385.2477345832658</v>
      </c>
      <c r="I403" s="4">
        <v>5128.8073662697789</v>
      </c>
      <c r="J403" s="2">
        <f>VLOOKUP(A403,Planilha1!A:M,13,0)</f>
        <v>6326.3485212104815</v>
      </c>
      <c r="K403" s="10">
        <f t="shared" si="12"/>
        <v>941.10078662721571</v>
      </c>
      <c r="L403" s="10">
        <f t="shared" si="13"/>
        <v>-256.44036831348694</v>
      </c>
    </row>
    <row r="404" spans="1:12" x14ac:dyDescent="0.25">
      <c r="A404" s="2">
        <v>1</v>
      </c>
      <c r="B404" s="4">
        <v>64</v>
      </c>
      <c r="C404" s="4">
        <v>33</v>
      </c>
      <c r="D404" s="4">
        <v>0</v>
      </c>
      <c r="E404" s="4" t="s">
        <v>8</v>
      </c>
      <c r="F404" s="4" t="s">
        <v>12</v>
      </c>
      <c r="G404" s="4" t="s">
        <v>14</v>
      </c>
      <c r="H404" s="4">
        <v>3954.2862550721566</v>
      </c>
      <c r="I404" s="4">
        <v>3765.9869095925314</v>
      </c>
      <c r="J404" s="2">
        <f>VLOOKUP(A404,Planilha1!A:M,13,0)</f>
        <v>6326.3485212104815</v>
      </c>
      <c r="K404" s="10">
        <f t="shared" si="12"/>
        <v>2372.062266138325</v>
      </c>
      <c r="L404" s="10">
        <f t="shared" si="13"/>
        <v>-188.29934547962512</v>
      </c>
    </row>
    <row r="405" spans="1:12" x14ac:dyDescent="0.25">
      <c r="A405" s="2">
        <v>3</v>
      </c>
      <c r="B405" s="4">
        <v>49</v>
      </c>
      <c r="C405" s="4">
        <v>32.299999999999997</v>
      </c>
      <c r="D405" s="4">
        <v>3</v>
      </c>
      <c r="E405" s="4" t="s">
        <v>11</v>
      </c>
      <c r="F405" s="4" t="s">
        <v>12</v>
      </c>
      <c r="G405" s="4" t="s">
        <v>14</v>
      </c>
      <c r="H405" s="4">
        <v>2670.576624968312</v>
      </c>
      <c r="I405" s="4">
        <v>3560.768833291083</v>
      </c>
      <c r="J405" s="2">
        <f>VLOOKUP(A405,Planilha1!A:M,13,0)</f>
        <v>3049.3550806113421</v>
      </c>
      <c r="K405" s="10">
        <f t="shared" si="12"/>
        <v>378.77845564303016</v>
      </c>
      <c r="L405" s="10">
        <f t="shared" si="13"/>
        <v>890.19220832277097</v>
      </c>
    </row>
    <row r="406" spans="1:12" x14ac:dyDescent="0.25">
      <c r="A406" s="2">
        <v>0</v>
      </c>
      <c r="B406" s="4">
        <v>31</v>
      </c>
      <c r="C406" s="4">
        <v>23.2</v>
      </c>
      <c r="D406" s="4">
        <v>0</v>
      </c>
      <c r="E406" s="4" t="s">
        <v>11</v>
      </c>
      <c r="F406" s="4" t="s">
        <v>12</v>
      </c>
      <c r="G406" s="4" t="s">
        <v>10</v>
      </c>
      <c r="H406" s="4">
        <v>2186.7645183868972</v>
      </c>
      <c r="I406" s="4">
        <v>2572.6641392787033</v>
      </c>
      <c r="J406" s="2">
        <f>VLOOKUP(A406,Planilha1!A:M,13,0)</f>
        <v>2511.8220480829059</v>
      </c>
      <c r="K406" s="10">
        <f t="shared" si="12"/>
        <v>325.05752969600871</v>
      </c>
      <c r="L406" s="10">
        <f t="shared" si="13"/>
        <v>385.89962089180608</v>
      </c>
    </row>
    <row r="407" spans="1:12" x14ac:dyDescent="0.25">
      <c r="A407" s="2">
        <v>3</v>
      </c>
      <c r="B407" s="4">
        <v>52</v>
      </c>
      <c r="C407" s="4">
        <v>38.4</v>
      </c>
      <c r="D407" s="4">
        <v>2</v>
      </c>
      <c r="E407" s="4" t="s">
        <v>8</v>
      </c>
      <c r="F407" s="4" t="s">
        <v>12</v>
      </c>
      <c r="G407" s="4" t="s">
        <v>15</v>
      </c>
      <c r="H407" s="4">
        <v>3223.6932258618758</v>
      </c>
      <c r="I407" s="4">
        <v>4298.2576344825011</v>
      </c>
      <c r="J407" s="2">
        <f>VLOOKUP(A407,Planilha1!A:M,13,0)</f>
        <v>3049.3550806113421</v>
      </c>
      <c r="K407" s="10">
        <f t="shared" si="12"/>
        <v>-174.33814525053367</v>
      </c>
      <c r="L407" s="10">
        <f t="shared" si="13"/>
        <v>1074.5644086206253</v>
      </c>
    </row>
    <row r="408" spans="1:12" x14ac:dyDescent="0.25">
      <c r="A408" s="2">
        <v>0</v>
      </c>
      <c r="B408" s="4">
        <v>33</v>
      </c>
      <c r="C408" s="4">
        <v>20.100000000000001</v>
      </c>
      <c r="D408" s="4">
        <v>0</v>
      </c>
      <c r="E408" s="4" t="s">
        <v>8</v>
      </c>
      <c r="F408" s="4" t="s">
        <v>12</v>
      </c>
      <c r="G408" s="4" t="s">
        <v>13</v>
      </c>
      <c r="H408" s="4">
        <v>2102.3471501684903</v>
      </c>
      <c r="I408" s="4">
        <v>2473.3495884335189</v>
      </c>
      <c r="J408" s="2">
        <f>VLOOKUP(A408,Planilha1!A:M,13,0)</f>
        <v>2511.8220480829059</v>
      </c>
      <c r="K408" s="10">
        <f t="shared" si="12"/>
        <v>409.47489791441558</v>
      </c>
      <c r="L408" s="10">
        <f t="shared" si="13"/>
        <v>371.00243826502856</v>
      </c>
    </row>
    <row r="409" spans="1:12" x14ac:dyDescent="0.25">
      <c r="A409" s="2">
        <v>1</v>
      </c>
      <c r="B409" s="4">
        <v>47</v>
      </c>
      <c r="C409" s="4">
        <v>23.6</v>
      </c>
      <c r="D409" s="4">
        <v>1</v>
      </c>
      <c r="E409" s="4" t="s">
        <v>8</v>
      </c>
      <c r="F409" s="4" t="s">
        <v>12</v>
      </c>
      <c r="G409" s="4" t="s">
        <v>10</v>
      </c>
      <c r="H409" s="4">
        <v>3592.8872993691275</v>
      </c>
      <c r="I409" s="4">
        <v>3421.7974279705991</v>
      </c>
      <c r="J409" s="2">
        <f>VLOOKUP(A409,Planilha1!A:M,13,0)</f>
        <v>6326.3485212104815</v>
      </c>
      <c r="K409" s="10">
        <f t="shared" si="12"/>
        <v>2733.461221841354</v>
      </c>
      <c r="L409" s="10">
        <f t="shared" si="13"/>
        <v>-171.08987139852843</v>
      </c>
    </row>
    <row r="410" spans="1:12" x14ac:dyDescent="0.25">
      <c r="A410" s="2">
        <v>3</v>
      </c>
      <c r="B410" s="4">
        <v>38</v>
      </c>
      <c r="C410" s="4">
        <v>21.1</v>
      </c>
      <c r="D410" s="4">
        <v>3</v>
      </c>
      <c r="E410" s="4" t="s">
        <v>11</v>
      </c>
      <c r="F410" s="4" t="s">
        <v>12</v>
      </c>
      <c r="G410" s="4" t="s">
        <v>13</v>
      </c>
      <c r="H410" s="4">
        <v>1370.8843400107753</v>
      </c>
      <c r="I410" s="4">
        <v>1827.8457866810338</v>
      </c>
      <c r="J410" s="2">
        <f>VLOOKUP(A410,Planilha1!A:M,13,0)</f>
        <v>3049.3550806113421</v>
      </c>
      <c r="K410" s="10">
        <f t="shared" si="12"/>
        <v>1678.4707406005668</v>
      </c>
      <c r="L410" s="10">
        <f t="shared" si="13"/>
        <v>456.96144667025851</v>
      </c>
    </row>
    <row r="411" spans="1:12" x14ac:dyDescent="0.25">
      <c r="A411" s="2">
        <v>0</v>
      </c>
      <c r="B411" s="4">
        <v>32</v>
      </c>
      <c r="C411" s="4">
        <v>22.8</v>
      </c>
      <c r="D411" s="4">
        <v>1</v>
      </c>
      <c r="E411" s="4" t="s">
        <v>11</v>
      </c>
      <c r="F411" s="4" t="s">
        <v>12</v>
      </c>
      <c r="G411" s="4" t="s">
        <v>13</v>
      </c>
      <c r="H411" s="4">
        <v>2269.9185338380189</v>
      </c>
      <c r="I411" s="4">
        <v>2670.4923927506111</v>
      </c>
      <c r="J411" s="2">
        <f>VLOOKUP(A411,Planilha1!A:M,13,0)</f>
        <v>2511.8220480829059</v>
      </c>
      <c r="K411" s="10">
        <f t="shared" si="12"/>
        <v>241.90351424488699</v>
      </c>
      <c r="L411" s="10">
        <f t="shared" si="13"/>
        <v>400.57385891259219</v>
      </c>
    </row>
    <row r="412" spans="1:12" x14ac:dyDescent="0.25">
      <c r="A412" s="2">
        <v>0</v>
      </c>
      <c r="B412" s="4">
        <v>19</v>
      </c>
      <c r="C412" s="4">
        <v>26</v>
      </c>
      <c r="D412" s="4">
        <v>0</v>
      </c>
      <c r="E412" s="4" t="s">
        <v>11</v>
      </c>
      <c r="F412" s="4" t="s">
        <v>12</v>
      </c>
      <c r="G412" s="4" t="s">
        <v>14</v>
      </c>
      <c r="H412" s="4">
        <v>1982.573999919143</v>
      </c>
      <c r="I412" s="4">
        <v>2332.4399999048751</v>
      </c>
      <c r="J412" s="2">
        <f>VLOOKUP(A412,Planilha1!A:M,13,0)</f>
        <v>2511.8220480829059</v>
      </c>
      <c r="K412" s="10">
        <f t="shared" si="12"/>
        <v>529.24804816376286</v>
      </c>
      <c r="L412" s="10">
        <f t="shared" si="13"/>
        <v>349.86599998573206</v>
      </c>
    </row>
    <row r="413" spans="1:12" x14ac:dyDescent="0.25">
      <c r="A413" s="2">
        <v>2</v>
      </c>
      <c r="B413" s="4">
        <v>44</v>
      </c>
      <c r="C413" s="4">
        <v>20.2</v>
      </c>
      <c r="D413" s="4">
        <v>1</v>
      </c>
      <c r="E413" s="4" t="s">
        <v>8</v>
      </c>
      <c r="F413" s="4" t="s">
        <v>9</v>
      </c>
      <c r="G413" s="4" t="s">
        <v>15</v>
      </c>
      <c r="H413" s="4">
        <v>1817.5181249071952</v>
      </c>
      <c r="I413" s="4">
        <v>2138.2566175378774</v>
      </c>
      <c r="J413" s="2">
        <f>VLOOKUP(A413,Planilha1!A:M,13,0)</f>
        <v>3220.2324129890262</v>
      </c>
      <c r="K413" s="10">
        <f t="shared" si="12"/>
        <v>1402.714288081831</v>
      </c>
      <c r="L413" s="10">
        <f t="shared" si="13"/>
        <v>320.73849263068223</v>
      </c>
    </row>
    <row r="414" spans="1:12" x14ac:dyDescent="0.25">
      <c r="A414" s="2">
        <v>2</v>
      </c>
      <c r="B414" s="4">
        <v>26</v>
      </c>
      <c r="C414" s="4">
        <v>24.1</v>
      </c>
      <c r="D414" s="4">
        <v>2</v>
      </c>
      <c r="E414" s="4" t="s">
        <v>8</v>
      </c>
      <c r="F414" s="4" t="s">
        <v>9</v>
      </c>
      <c r="G414" s="4" t="s">
        <v>15</v>
      </c>
      <c r="H414" s="4">
        <v>1730.2239555657902</v>
      </c>
      <c r="I414" s="4">
        <v>2035.5575947832833</v>
      </c>
      <c r="J414" s="2">
        <f>VLOOKUP(A414,Planilha1!A:M,13,0)</f>
        <v>3220.2324129890262</v>
      </c>
      <c r="K414" s="10">
        <f t="shared" si="12"/>
        <v>1490.008457423236</v>
      </c>
      <c r="L414" s="10">
        <f t="shared" si="13"/>
        <v>305.3336392174931</v>
      </c>
    </row>
    <row r="415" spans="1:12" x14ac:dyDescent="0.25">
      <c r="A415" s="2">
        <v>3</v>
      </c>
      <c r="B415" s="4">
        <v>25</v>
      </c>
      <c r="C415" s="4">
        <v>23.9</v>
      </c>
      <c r="D415" s="4">
        <v>5</v>
      </c>
      <c r="E415" s="4" t="s">
        <v>11</v>
      </c>
      <c r="F415" s="4" t="s">
        <v>12</v>
      </c>
      <c r="G415" s="4" t="s">
        <v>10</v>
      </c>
      <c r="H415" s="4">
        <v>1218.548187127536</v>
      </c>
      <c r="I415" s="4">
        <v>1624.7309161700482</v>
      </c>
      <c r="J415" s="2">
        <f>VLOOKUP(A415,Planilha1!A:M,13,0)</f>
        <v>3049.3550806113421</v>
      </c>
      <c r="K415" s="10">
        <f t="shared" si="12"/>
        <v>1830.8068934838061</v>
      </c>
      <c r="L415" s="10">
        <f t="shared" si="13"/>
        <v>406.18272904251216</v>
      </c>
    </row>
    <row r="416" spans="1:12" x14ac:dyDescent="0.25">
      <c r="A416" s="2">
        <v>0</v>
      </c>
      <c r="B416" s="4">
        <v>19</v>
      </c>
      <c r="C416" s="4">
        <v>25.8</v>
      </c>
      <c r="D416" s="4">
        <v>0</v>
      </c>
      <c r="E416" s="4" t="s">
        <v>8</v>
      </c>
      <c r="F416" s="4" t="s">
        <v>12</v>
      </c>
      <c r="G416" s="4" t="s">
        <v>14</v>
      </c>
      <c r="H416" s="4">
        <v>1673.4401464700777</v>
      </c>
      <c r="I416" s="4">
        <v>1968.7531134942101</v>
      </c>
      <c r="J416" s="2">
        <f>VLOOKUP(A416,Planilha1!A:M,13,0)</f>
        <v>2511.8220480829059</v>
      </c>
      <c r="K416" s="10">
        <f t="shared" si="12"/>
        <v>838.38190161282819</v>
      </c>
      <c r="L416" s="10">
        <f t="shared" si="13"/>
        <v>295.31296702413238</v>
      </c>
    </row>
    <row r="417" spans="1:12" x14ac:dyDescent="0.25">
      <c r="A417" s="2">
        <v>1</v>
      </c>
      <c r="B417" s="4">
        <v>43</v>
      </c>
      <c r="C417" s="4">
        <v>35.6</v>
      </c>
      <c r="D417" s="4">
        <v>1</v>
      </c>
      <c r="E417" s="4" t="s">
        <v>8</v>
      </c>
      <c r="F417" s="4" t="s">
        <v>12</v>
      </c>
      <c r="G417" s="4" t="s">
        <v>13</v>
      </c>
      <c r="H417" s="4">
        <v>5542.7739958919901</v>
      </c>
      <c r="I417" s="4">
        <v>5278.8323770399911</v>
      </c>
      <c r="J417" s="2">
        <f>VLOOKUP(A417,Planilha1!A:M,13,0)</f>
        <v>6326.3485212104815</v>
      </c>
      <c r="K417" s="10">
        <f t="shared" si="12"/>
        <v>783.5745253184914</v>
      </c>
      <c r="L417" s="10">
        <f t="shared" si="13"/>
        <v>-263.94161885199901</v>
      </c>
    </row>
    <row r="418" spans="1:12" x14ac:dyDescent="0.25">
      <c r="A418" s="2">
        <v>1</v>
      </c>
      <c r="B418" s="4">
        <v>52</v>
      </c>
      <c r="C418" s="4">
        <v>34.1</v>
      </c>
      <c r="D418" s="4">
        <v>0</v>
      </c>
      <c r="E418" s="4" t="s">
        <v>11</v>
      </c>
      <c r="F418" s="4" t="s">
        <v>12</v>
      </c>
      <c r="G418" s="4" t="s">
        <v>13</v>
      </c>
      <c r="H418" s="4">
        <v>3593.1300248331404</v>
      </c>
      <c r="I418" s="4">
        <v>3422.0285950791831</v>
      </c>
      <c r="J418" s="2">
        <f>VLOOKUP(A418,Planilha1!A:M,13,0)</f>
        <v>6326.3485212104815</v>
      </c>
      <c r="K418" s="10">
        <f t="shared" si="12"/>
        <v>2733.2184963773411</v>
      </c>
      <c r="L418" s="10">
        <f t="shared" si="13"/>
        <v>-171.10142975395729</v>
      </c>
    </row>
    <row r="419" spans="1:12" x14ac:dyDescent="0.25">
      <c r="A419" s="2">
        <v>2</v>
      </c>
      <c r="B419" s="4">
        <v>36</v>
      </c>
      <c r="C419" s="4">
        <v>22.6</v>
      </c>
      <c r="D419" s="4">
        <v>2</v>
      </c>
      <c r="E419" s="4" t="s">
        <v>8</v>
      </c>
      <c r="F419" s="4" t="s">
        <v>9</v>
      </c>
      <c r="G419" s="4" t="s">
        <v>10</v>
      </c>
      <c r="H419" s="4">
        <v>1842.4317951974253</v>
      </c>
      <c r="I419" s="4">
        <v>2167.5668178793244</v>
      </c>
      <c r="J419" s="2">
        <f>VLOOKUP(A419,Planilha1!A:M,13,0)</f>
        <v>3220.2324129890262</v>
      </c>
      <c r="K419" s="10">
        <f t="shared" si="12"/>
        <v>1377.8006177916009</v>
      </c>
      <c r="L419" s="10">
        <f t="shared" si="13"/>
        <v>325.13502268189904</v>
      </c>
    </row>
    <row r="420" spans="1:12" x14ac:dyDescent="0.25">
      <c r="A420" s="2">
        <v>1</v>
      </c>
      <c r="B420" s="4">
        <v>64</v>
      </c>
      <c r="C420" s="4">
        <v>39.200000000000003</v>
      </c>
      <c r="D420" s="4">
        <v>1</v>
      </c>
      <c r="E420" s="4" t="s">
        <v>11</v>
      </c>
      <c r="F420" s="4" t="s">
        <v>12</v>
      </c>
      <c r="G420" s="4" t="s">
        <v>13</v>
      </c>
      <c r="H420" s="4">
        <v>4417.3122575003372</v>
      </c>
      <c r="I420" s="4">
        <v>4206.9640547622275</v>
      </c>
      <c r="J420" s="2">
        <f>VLOOKUP(A420,Planilha1!A:M,13,0)</f>
        <v>6326.3485212104815</v>
      </c>
      <c r="K420" s="10">
        <f t="shared" si="12"/>
        <v>1909.0362637101443</v>
      </c>
      <c r="L420" s="10">
        <f t="shared" si="13"/>
        <v>-210.34820273810965</v>
      </c>
    </row>
    <row r="421" spans="1:12" x14ac:dyDescent="0.25">
      <c r="A421" s="2">
        <v>2</v>
      </c>
      <c r="B421" s="4">
        <v>63</v>
      </c>
      <c r="C421" s="4">
        <v>27</v>
      </c>
      <c r="D421" s="4">
        <v>0</v>
      </c>
      <c r="E421" s="4" t="s">
        <v>8</v>
      </c>
      <c r="F421" s="4" t="s">
        <v>9</v>
      </c>
      <c r="G421" s="4" t="s">
        <v>14</v>
      </c>
      <c r="H421" s="4">
        <v>5921.0960464030668</v>
      </c>
      <c r="I421" s="4">
        <v>5639.1390918124453</v>
      </c>
      <c r="J421" s="2">
        <f>VLOOKUP(A421,Planilha1!A:M,13,0)</f>
        <v>3220.2324129890262</v>
      </c>
      <c r="K421" s="10">
        <f t="shared" si="12"/>
        <v>-2700.8636334140406</v>
      </c>
      <c r="L421" s="10">
        <f t="shared" si="13"/>
        <v>-281.95695459062154</v>
      </c>
    </row>
    <row r="422" spans="1:12" x14ac:dyDescent="0.25">
      <c r="A422" s="2">
        <v>2</v>
      </c>
      <c r="B422" s="4">
        <v>64</v>
      </c>
      <c r="C422" s="4">
        <v>33.9</v>
      </c>
      <c r="D422" s="4">
        <v>0</v>
      </c>
      <c r="E422" s="4" t="s">
        <v>11</v>
      </c>
      <c r="F422" s="4" t="s">
        <v>9</v>
      </c>
      <c r="G422" s="4" t="s">
        <v>13</v>
      </c>
      <c r="H422" s="4">
        <v>5062.1557469302816</v>
      </c>
      <c r="I422" s="4">
        <v>4821.1007113621745</v>
      </c>
      <c r="J422" s="2">
        <f>VLOOKUP(A422,Planilha1!A:M,13,0)</f>
        <v>3220.2324129890262</v>
      </c>
      <c r="K422" s="10">
        <f t="shared" si="12"/>
        <v>-1841.9233339412554</v>
      </c>
      <c r="L422" s="10">
        <f t="shared" si="13"/>
        <v>-241.05503556810709</v>
      </c>
    </row>
    <row r="423" spans="1:12" x14ac:dyDescent="0.25">
      <c r="A423" s="2">
        <v>2</v>
      </c>
      <c r="B423" s="4">
        <v>61</v>
      </c>
      <c r="C423" s="4">
        <v>35.9</v>
      </c>
      <c r="D423" s="4">
        <v>0</v>
      </c>
      <c r="E423" s="4" t="s">
        <v>11</v>
      </c>
      <c r="F423" s="4" t="s">
        <v>9</v>
      </c>
      <c r="G423" s="4" t="s">
        <v>13</v>
      </c>
      <c r="H423" s="4">
        <v>4075.9971371384036</v>
      </c>
      <c r="I423" s="4">
        <v>3881.9020353699093</v>
      </c>
      <c r="J423" s="2">
        <f>VLOOKUP(A423,Planilha1!A:M,13,0)</f>
        <v>3220.2324129890262</v>
      </c>
      <c r="K423" s="10">
        <f t="shared" si="12"/>
        <v>-855.76472414937734</v>
      </c>
      <c r="L423" s="10">
        <f t="shared" si="13"/>
        <v>-194.09510176849426</v>
      </c>
    </row>
    <row r="424" spans="1:12" x14ac:dyDescent="0.25">
      <c r="A424" s="2">
        <v>2</v>
      </c>
      <c r="B424" s="4">
        <v>40</v>
      </c>
      <c r="C424" s="4">
        <v>32.799999999999997</v>
      </c>
      <c r="D424" s="4">
        <v>1</v>
      </c>
      <c r="E424" s="4" t="s">
        <v>11</v>
      </c>
      <c r="F424" s="4" t="s">
        <v>9</v>
      </c>
      <c r="G424" s="4" t="s">
        <v>15</v>
      </c>
      <c r="H424" s="4">
        <v>4568.0662557963678</v>
      </c>
      <c r="I424" s="4">
        <v>4350.5392912346369</v>
      </c>
      <c r="J424" s="2">
        <f>VLOOKUP(A424,Planilha1!A:M,13,0)</f>
        <v>3220.2324129890262</v>
      </c>
      <c r="K424" s="10">
        <f t="shared" si="12"/>
        <v>-1347.8338428073416</v>
      </c>
      <c r="L424" s="10">
        <f t="shared" si="13"/>
        <v>-217.52696456173089</v>
      </c>
    </row>
    <row r="425" spans="1:12" x14ac:dyDescent="0.25">
      <c r="A425" s="2">
        <v>0</v>
      </c>
      <c r="B425" s="4">
        <v>25</v>
      </c>
      <c r="C425" s="4">
        <v>20.9</v>
      </c>
      <c r="D425" s="4">
        <v>0</v>
      </c>
      <c r="E425" s="4" t="s">
        <v>11</v>
      </c>
      <c r="F425" s="4" t="s">
        <v>12</v>
      </c>
      <c r="G425" s="4" t="s">
        <v>15</v>
      </c>
      <c r="H425" s="4">
        <v>1587.6954382059353</v>
      </c>
      <c r="I425" s="4">
        <v>1867.8769861246303</v>
      </c>
      <c r="J425" s="2">
        <f>VLOOKUP(A425,Planilha1!A:M,13,0)</f>
        <v>2511.8220480829059</v>
      </c>
      <c r="K425" s="10">
        <f t="shared" si="12"/>
        <v>924.12660987697063</v>
      </c>
      <c r="L425" s="10">
        <f t="shared" si="13"/>
        <v>280.18154791869506</v>
      </c>
    </row>
    <row r="426" spans="1:12" x14ac:dyDescent="0.25">
      <c r="A426" s="2">
        <v>3</v>
      </c>
      <c r="B426" s="4">
        <v>48</v>
      </c>
      <c r="C426" s="4">
        <v>30.2</v>
      </c>
      <c r="D426" s="4">
        <v>2</v>
      </c>
      <c r="E426" s="4" t="s">
        <v>11</v>
      </c>
      <c r="F426" s="4" t="s">
        <v>12</v>
      </c>
      <c r="G426" s="4" t="s">
        <v>10</v>
      </c>
      <c r="H426" s="4">
        <v>2217.9052540174548</v>
      </c>
      <c r="I426" s="4">
        <v>2957.2070053566063</v>
      </c>
      <c r="J426" s="2">
        <f>VLOOKUP(A426,Planilha1!A:M,13,0)</f>
        <v>3049.3550806113421</v>
      </c>
      <c r="K426" s="10">
        <f t="shared" si="12"/>
        <v>831.44982659388734</v>
      </c>
      <c r="L426" s="10">
        <f t="shared" si="13"/>
        <v>739.30175133915145</v>
      </c>
    </row>
    <row r="427" spans="1:12" x14ac:dyDescent="0.25">
      <c r="A427" s="2">
        <v>3</v>
      </c>
      <c r="B427" s="4">
        <v>45</v>
      </c>
      <c r="C427" s="4">
        <v>24.3</v>
      </c>
      <c r="D427" s="4">
        <v>5</v>
      </c>
      <c r="E427" s="4" t="s">
        <v>11</v>
      </c>
      <c r="F427" s="4" t="s">
        <v>12</v>
      </c>
      <c r="G427" s="4" t="s">
        <v>13</v>
      </c>
      <c r="H427" s="4">
        <v>2160.1698908473381</v>
      </c>
      <c r="I427" s="4">
        <v>2880.2265211297845</v>
      </c>
      <c r="J427" s="2">
        <f>VLOOKUP(A427,Planilha1!A:M,13,0)</f>
        <v>3049.3550806113421</v>
      </c>
      <c r="K427" s="10">
        <f t="shared" si="12"/>
        <v>889.18518976400401</v>
      </c>
      <c r="L427" s="10">
        <f t="shared" si="13"/>
        <v>720.05663028244635</v>
      </c>
    </row>
    <row r="428" spans="1:12" x14ac:dyDescent="0.25">
      <c r="A428" s="2">
        <v>0</v>
      </c>
      <c r="B428" s="4">
        <v>38</v>
      </c>
      <c r="C428" s="4">
        <v>20.100000000000001</v>
      </c>
      <c r="D428" s="4">
        <v>1</v>
      </c>
      <c r="E428" s="4" t="s">
        <v>8</v>
      </c>
      <c r="F428" s="4" t="s">
        <v>12</v>
      </c>
      <c r="G428" s="4" t="s">
        <v>15</v>
      </c>
      <c r="H428" s="4">
        <v>1668.436406111452</v>
      </c>
      <c r="I428" s="4">
        <v>1962.8663601311209</v>
      </c>
      <c r="J428" s="2">
        <f>VLOOKUP(A428,Planilha1!A:M,13,0)</f>
        <v>2511.8220480829059</v>
      </c>
      <c r="K428" s="10">
        <f t="shared" si="12"/>
        <v>843.38564197145388</v>
      </c>
      <c r="L428" s="10">
        <f t="shared" si="13"/>
        <v>294.42995401966891</v>
      </c>
    </row>
    <row r="429" spans="1:12" x14ac:dyDescent="0.25">
      <c r="A429" s="2">
        <v>0</v>
      </c>
      <c r="B429" s="4">
        <v>18</v>
      </c>
      <c r="C429" s="4">
        <v>24.1</v>
      </c>
      <c r="D429" s="4">
        <v>0</v>
      </c>
      <c r="E429" s="4" t="s">
        <v>8</v>
      </c>
      <c r="F429" s="4" t="s">
        <v>12</v>
      </c>
      <c r="G429" s="4" t="s">
        <v>15</v>
      </c>
      <c r="H429" s="4">
        <v>1465.3085881766431</v>
      </c>
      <c r="I429" s="4">
        <v>1723.8924566784044</v>
      </c>
      <c r="J429" s="2">
        <f>VLOOKUP(A429,Planilha1!A:M,13,0)</f>
        <v>2511.8220480829059</v>
      </c>
      <c r="K429" s="10">
        <f t="shared" si="12"/>
        <v>1046.5134599062628</v>
      </c>
      <c r="L429" s="10">
        <f t="shared" si="13"/>
        <v>258.58386850176134</v>
      </c>
    </row>
    <row r="430" spans="1:12" x14ac:dyDescent="0.25">
      <c r="A430" s="2">
        <v>0</v>
      </c>
      <c r="B430" s="4">
        <v>21</v>
      </c>
      <c r="C430" s="4">
        <v>25.4</v>
      </c>
      <c r="D430" s="4">
        <v>1</v>
      </c>
      <c r="E430" s="4" t="s">
        <v>8</v>
      </c>
      <c r="F430" s="4" t="s">
        <v>12</v>
      </c>
      <c r="G430" s="4" t="s">
        <v>15</v>
      </c>
      <c r="H430" s="4">
        <v>1860.5366024384562</v>
      </c>
      <c r="I430" s="4">
        <v>2188.8665911040671</v>
      </c>
      <c r="J430" s="2">
        <f>VLOOKUP(A430,Planilha1!A:M,13,0)</f>
        <v>2511.8220480829059</v>
      </c>
      <c r="K430" s="10">
        <f t="shared" si="12"/>
        <v>651.28544564444974</v>
      </c>
      <c r="L430" s="10">
        <f t="shared" si="13"/>
        <v>328.32998866561093</v>
      </c>
    </row>
    <row r="431" spans="1:12" x14ac:dyDescent="0.25">
      <c r="A431" s="2">
        <v>3</v>
      </c>
      <c r="B431" s="4">
        <v>27</v>
      </c>
      <c r="C431" s="4">
        <v>30.4</v>
      </c>
      <c r="D431" s="4">
        <v>3</v>
      </c>
      <c r="E431" s="4" t="s">
        <v>8</v>
      </c>
      <c r="F431" s="4" t="s">
        <v>12</v>
      </c>
      <c r="G431" s="4" t="s">
        <v>14</v>
      </c>
      <c r="H431" s="4">
        <v>1009.1604027598606</v>
      </c>
      <c r="I431" s="4">
        <v>1345.5472036798142</v>
      </c>
      <c r="J431" s="2">
        <f>VLOOKUP(A431,Planilha1!A:M,13,0)</f>
        <v>3049.3550806113421</v>
      </c>
      <c r="K431" s="10">
        <f t="shared" si="12"/>
        <v>2040.1946778514816</v>
      </c>
      <c r="L431" s="10">
        <f t="shared" si="13"/>
        <v>336.38680091995354</v>
      </c>
    </row>
    <row r="432" spans="1:12" x14ac:dyDescent="0.25">
      <c r="A432" s="2">
        <v>0</v>
      </c>
      <c r="B432" s="4">
        <v>19</v>
      </c>
      <c r="C432" s="4">
        <v>21.7</v>
      </c>
      <c r="D432" s="4">
        <v>0</v>
      </c>
      <c r="E432" s="4" t="s">
        <v>11</v>
      </c>
      <c r="F432" s="4" t="s">
        <v>12</v>
      </c>
      <c r="G432" s="4" t="s">
        <v>10</v>
      </c>
      <c r="H432" s="4">
        <v>1795.431477213828</v>
      </c>
      <c r="I432" s="4">
        <v>2112.2723261339156</v>
      </c>
      <c r="J432" s="2">
        <f>VLOOKUP(A432,Planilha1!A:M,13,0)</f>
        <v>2511.8220480829059</v>
      </c>
      <c r="K432" s="10">
        <f t="shared" si="12"/>
        <v>716.39057086907792</v>
      </c>
      <c r="L432" s="10">
        <f t="shared" si="13"/>
        <v>316.84084892008764</v>
      </c>
    </row>
    <row r="433" spans="1:12" x14ac:dyDescent="0.25">
      <c r="A433" s="2">
        <v>0</v>
      </c>
      <c r="B433" s="4">
        <v>29</v>
      </c>
      <c r="C433" s="4">
        <v>20.3</v>
      </c>
      <c r="D433" s="4">
        <v>2</v>
      </c>
      <c r="E433" s="4" t="s">
        <v>8</v>
      </c>
      <c r="F433" s="4" t="s">
        <v>12</v>
      </c>
      <c r="G433" s="4" t="s">
        <v>14</v>
      </c>
      <c r="H433" s="4">
        <v>2269.1830525735381</v>
      </c>
      <c r="I433" s="4">
        <v>2669.6271206747515</v>
      </c>
      <c r="J433" s="2">
        <f>VLOOKUP(A433,Planilha1!A:M,13,0)</f>
        <v>2511.8220480829059</v>
      </c>
      <c r="K433" s="10">
        <f t="shared" si="12"/>
        <v>242.63899550936776</v>
      </c>
      <c r="L433" s="10">
        <f t="shared" si="13"/>
        <v>400.44406810121336</v>
      </c>
    </row>
    <row r="434" spans="1:12" x14ac:dyDescent="0.25">
      <c r="A434" s="2">
        <v>1</v>
      </c>
      <c r="B434" s="4">
        <v>42</v>
      </c>
      <c r="C434" s="4">
        <v>26.9</v>
      </c>
      <c r="D434" s="4">
        <v>0</v>
      </c>
      <c r="E434" s="4" t="s">
        <v>11</v>
      </c>
      <c r="F434" s="4" t="s">
        <v>12</v>
      </c>
      <c r="G434" s="4" t="s">
        <v>10</v>
      </c>
      <c r="H434" s="4">
        <v>4852.0825171156803</v>
      </c>
      <c r="I434" s="4">
        <v>4621.0309686816008</v>
      </c>
      <c r="J434" s="2">
        <f>VLOOKUP(A434,Planilha1!A:M,13,0)</f>
        <v>6326.3485212104815</v>
      </c>
      <c r="K434" s="10">
        <f t="shared" si="12"/>
        <v>1474.2660040948012</v>
      </c>
      <c r="L434" s="10">
        <f t="shared" si="13"/>
        <v>-231.05154843407945</v>
      </c>
    </row>
    <row r="435" spans="1:12" x14ac:dyDescent="0.25">
      <c r="A435" s="2">
        <v>1</v>
      </c>
      <c r="B435" s="4">
        <v>60</v>
      </c>
      <c r="C435" s="4">
        <v>30.5</v>
      </c>
      <c r="D435" s="4">
        <v>0</v>
      </c>
      <c r="E435" s="4" t="s">
        <v>8</v>
      </c>
      <c r="F435" s="4" t="s">
        <v>12</v>
      </c>
      <c r="G435" s="4" t="s">
        <v>10</v>
      </c>
      <c r="H435" s="4">
        <v>3941.7512124976938</v>
      </c>
      <c r="I435" s="4">
        <v>3754.0487738073293</v>
      </c>
      <c r="J435" s="2">
        <f>VLOOKUP(A435,Planilha1!A:M,13,0)</f>
        <v>6326.3485212104815</v>
      </c>
      <c r="K435" s="10">
        <f t="shared" si="12"/>
        <v>2384.5973087127877</v>
      </c>
      <c r="L435" s="10">
        <f t="shared" si="13"/>
        <v>-187.70243869036449</v>
      </c>
    </row>
    <row r="436" spans="1:12" x14ac:dyDescent="0.25">
      <c r="A436" s="2">
        <v>0</v>
      </c>
      <c r="B436" s="4">
        <v>31</v>
      </c>
      <c r="C436" s="4">
        <v>22.9</v>
      </c>
      <c r="D436" s="4">
        <v>1</v>
      </c>
      <c r="E436" s="4" t="s">
        <v>11</v>
      </c>
      <c r="F436" s="4" t="s">
        <v>12</v>
      </c>
      <c r="G436" s="4" t="s">
        <v>14</v>
      </c>
      <c r="H436" s="4">
        <v>2441.7780987484298</v>
      </c>
      <c r="I436" s="4">
        <v>2872.6801161746239</v>
      </c>
      <c r="J436" s="2">
        <f>VLOOKUP(A436,Planilha1!A:M,13,0)</f>
        <v>2511.8220480829059</v>
      </c>
      <c r="K436" s="10">
        <f t="shared" si="12"/>
        <v>70.04394933447611</v>
      </c>
      <c r="L436" s="10">
        <f t="shared" si="13"/>
        <v>430.90201742619411</v>
      </c>
    </row>
    <row r="437" spans="1:12" x14ac:dyDescent="0.25">
      <c r="A437" s="2">
        <v>3</v>
      </c>
      <c r="B437" s="4">
        <v>60</v>
      </c>
      <c r="C437" s="4">
        <v>33.1</v>
      </c>
      <c r="D437" s="4">
        <v>3</v>
      </c>
      <c r="E437" s="4" t="s">
        <v>11</v>
      </c>
      <c r="F437" s="4" t="s">
        <v>12</v>
      </c>
      <c r="G437" s="4" t="s">
        <v>13</v>
      </c>
      <c r="H437" s="4">
        <v>3398.4514985235146</v>
      </c>
      <c r="I437" s="4">
        <v>4531.2686646980192</v>
      </c>
      <c r="J437" s="2">
        <f>VLOOKUP(A437,Planilha1!A:M,13,0)</f>
        <v>3049.3550806113421</v>
      </c>
      <c r="K437" s="10">
        <f t="shared" si="12"/>
        <v>-349.09641791217246</v>
      </c>
      <c r="L437" s="10">
        <f t="shared" si="13"/>
        <v>1132.8171661745046</v>
      </c>
    </row>
    <row r="438" spans="1:12" x14ac:dyDescent="0.25">
      <c r="A438" s="2">
        <v>0</v>
      </c>
      <c r="B438" s="4">
        <v>22</v>
      </c>
      <c r="C438" s="4">
        <v>26</v>
      </c>
      <c r="D438" s="4">
        <v>0</v>
      </c>
      <c r="E438" s="4" t="s">
        <v>11</v>
      </c>
      <c r="F438" s="4" t="s">
        <v>12</v>
      </c>
      <c r="G438" s="4" t="s">
        <v>15</v>
      </c>
      <c r="H438" s="4">
        <v>1789.958040589129</v>
      </c>
      <c r="I438" s="4">
        <v>2105.8329889283877</v>
      </c>
      <c r="J438" s="2">
        <f>VLOOKUP(A438,Planilha1!A:M,13,0)</f>
        <v>2511.8220480829059</v>
      </c>
      <c r="K438" s="10">
        <f t="shared" si="12"/>
        <v>721.86400749377685</v>
      </c>
      <c r="L438" s="10">
        <f t="shared" si="13"/>
        <v>315.87494833925871</v>
      </c>
    </row>
    <row r="439" spans="1:12" x14ac:dyDescent="0.25">
      <c r="A439" s="2">
        <v>3</v>
      </c>
      <c r="B439" s="4">
        <v>35</v>
      </c>
      <c r="C439" s="4">
        <v>28.9</v>
      </c>
      <c r="D439" s="4">
        <v>3</v>
      </c>
      <c r="E439" s="4" t="s">
        <v>11</v>
      </c>
      <c r="F439" s="4" t="s">
        <v>12</v>
      </c>
      <c r="G439" s="4" t="s">
        <v>10</v>
      </c>
      <c r="H439" s="4">
        <v>1523.8448843125593</v>
      </c>
      <c r="I439" s="4">
        <v>2031.7931790834123</v>
      </c>
      <c r="J439" s="2">
        <f>VLOOKUP(A439,Planilha1!A:M,13,0)</f>
        <v>3049.3550806113421</v>
      </c>
      <c r="K439" s="10">
        <f t="shared" si="12"/>
        <v>1525.5101962987828</v>
      </c>
      <c r="L439" s="10">
        <f t="shared" si="13"/>
        <v>507.94829477085295</v>
      </c>
    </row>
    <row r="440" spans="1:12" x14ac:dyDescent="0.25">
      <c r="A440" s="2">
        <v>3</v>
      </c>
      <c r="B440" s="4">
        <v>52</v>
      </c>
      <c r="C440" s="4">
        <v>46.8</v>
      </c>
      <c r="D440" s="4">
        <v>5</v>
      </c>
      <c r="E440" s="4" t="s">
        <v>8</v>
      </c>
      <c r="F440" s="4" t="s">
        <v>12</v>
      </c>
      <c r="G440" s="4" t="s">
        <v>13</v>
      </c>
      <c r="H440" s="4">
        <v>2886.8253349137613</v>
      </c>
      <c r="I440" s="4">
        <v>3849.1004465516817</v>
      </c>
      <c r="J440" s="2">
        <f>VLOOKUP(A440,Planilha1!A:M,13,0)</f>
        <v>3049.3550806113421</v>
      </c>
      <c r="K440" s="10">
        <f t="shared" si="12"/>
        <v>162.52974569758089</v>
      </c>
      <c r="L440" s="10">
        <f t="shared" si="13"/>
        <v>962.27511163792042</v>
      </c>
    </row>
    <row r="441" spans="1:12" x14ac:dyDescent="0.25">
      <c r="A441" s="2">
        <v>0</v>
      </c>
      <c r="B441" s="4">
        <v>26</v>
      </c>
      <c r="C441" s="4">
        <v>21.1</v>
      </c>
      <c r="D441" s="4">
        <v>0</v>
      </c>
      <c r="E441" s="4" t="s">
        <v>11</v>
      </c>
      <c r="F441" s="4" t="s">
        <v>12</v>
      </c>
      <c r="G441" s="4" t="s">
        <v>15</v>
      </c>
      <c r="H441" s="4">
        <v>1754.9122021748183</v>
      </c>
      <c r="I441" s="4">
        <v>2064.6025907939047</v>
      </c>
      <c r="J441" s="2">
        <f>VLOOKUP(A441,Planilha1!A:M,13,0)</f>
        <v>2511.8220480829059</v>
      </c>
      <c r="K441" s="10">
        <f t="shared" si="12"/>
        <v>756.90984590808762</v>
      </c>
      <c r="L441" s="10">
        <f t="shared" si="13"/>
        <v>309.69038861908643</v>
      </c>
    </row>
    <row r="442" spans="1:12" x14ac:dyDescent="0.25">
      <c r="A442" s="2">
        <v>0</v>
      </c>
      <c r="B442" s="4">
        <v>31</v>
      </c>
      <c r="C442" s="4">
        <v>20.399999999999999</v>
      </c>
      <c r="D442" s="4">
        <v>1</v>
      </c>
      <c r="E442" s="4" t="s">
        <v>8</v>
      </c>
      <c r="F442" s="4" t="s">
        <v>12</v>
      </c>
      <c r="G442" s="4" t="s">
        <v>14</v>
      </c>
      <c r="H442" s="4">
        <v>1535.6342572623234</v>
      </c>
      <c r="I442" s="4">
        <v>1806.6285379556753</v>
      </c>
      <c r="J442" s="2">
        <f>VLOOKUP(A442,Planilha1!A:M,13,0)</f>
        <v>2511.8220480829059</v>
      </c>
      <c r="K442" s="10">
        <f t="shared" si="12"/>
        <v>976.18779082058245</v>
      </c>
      <c r="L442" s="10">
        <f t="shared" si="13"/>
        <v>270.99428069335181</v>
      </c>
    </row>
    <row r="443" spans="1:12" x14ac:dyDescent="0.25">
      <c r="A443" s="2">
        <v>2</v>
      </c>
      <c r="B443" s="4">
        <v>33</v>
      </c>
      <c r="C443" s="4">
        <v>24.7</v>
      </c>
      <c r="D443" s="4">
        <v>0</v>
      </c>
      <c r="E443" s="4" t="s">
        <v>8</v>
      </c>
      <c r="F443" s="4" t="s">
        <v>9</v>
      </c>
      <c r="G443" s="4" t="s">
        <v>10</v>
      </c>
      <c r="H443" s="4">
        <v>1690.4231032516018</v>
      </c>
      <c r="I443" s="4">
        <v>1988.7330626489443</v>
      </c>
      <c r="J443" s="2">
        <f>VLOOKUP(A443,Planilha1!A:M,13,0)</f>
        <v>3220.2324129890262</v>
      </c>
      <c r="K443" s="10">
        <f t="shared" si="12"/>
        <v>1529.8093097374244</v>
      </c>
      <c r="L443" s="10">
        <f t="shared" si="13"/>
        <v>298.30995939734248</v>
      </c>
    </row>
    <row r="444" spans="1:12" x14ac:dyDescent="0.25">
      <c r="A444" s="2">
        <v>0</v>
      </c>
      <c r="B444" s="4">
        <v>18</v>
      </c>
      <c r="C444" s="4">
        <v>22.4</v>
      </c>
      <c r="D444" s="4">
        <v>0</v>
      </c>
      <c r="E444" s="4" t="s">
        <v>11</v>
      </c>
      <c r="F444" s="4" t="s">
        <v>12</v>
      </c>
      <c r="G444" s="4" t="s">
        <v>13</v>
      </c>
      <c r="H444" s="4">
        <v>1442.7156450682696</v>
      </c>
      <c r="I444" s="4">
        <v>1697.3125236097299</v>
      </c>
      <c r="J444" s="2">
        <f>VLOOKUP(A444,Planilha1!A:M,13,0)</f>
        <v>2511.8220480829059</v>
      </c>
      <c r="K444" s="10">
        <f t="shared" si="12"/>
        <v>1069.1064030146363</v>
      </c>
      <c r="L444" s="10">
        <f t="shared" si="13"/>
        <v>254.59687854146023</v>
      </c>
    </row>
    <row r="445" spans="1:12" x14ac:dyDescent="0.25">
      <c r="A445" s="2">
        <v>1</v>
      </c>
      <c r="B445" s="4">
        <v>59</v>
      </c>
      <c r="C445" s="4">
        <v>36.5</v>
      </c>
      <c r="D445" s="4">
        <v>1</v>
      </c>
      <c r="E445" s="4" t="s">
        <v>8</v>
      </c>
      <c r="F445" s="4" t="s">
        <v>12</v>
      </c>
      <c r="G445" s="4" t="s">
        <v>13</v>
      </c>
      <c r="H445" s="4">
        <v>3877.3950155041944</v>
      </c>
      <c r="I445" s="4">
        <v>3692.7571576230434</v>
      </c>
      <c r="J445" s="2">
        <f>VLOOKUP(A445,Planilha1!A:M,13,0)</f>
        <v>6326.3485212104815</v>
      </c>
      <c r="K445" s="10">
        <f t="shared" si="12"/>
        <v>2448.9535057062872</v>
      </c>
      <c r="L445" s="10">
        <f t="shared" si="13"/>
        <v>-184.63785788115092</v>
      </c>
    </row>
    <row r="446" spans="1:12" x14ac:dyDescent="0.25">
      <c r="A446" s="2">
        <v>2</v>
      </c>
      <c r="B446" s="4">
        <v>56</v>
      </c>
      <c r="C446" s="4">
        <v>26.7</v>
      </c>
      <c r="D446" s="4">
        <v>1</v>
      </c>
      <c r="E446" s="4" t="s">
        <v>11</v>
      </c>
      <c r="F446" s="4" t="s">
        <v>9</v>
      </c>
      <c r="G446" s="4" t="s">
        <v>14</v>
      </c>
      <c r="H446" s="4">
        <v>3963.8005874790551</v>
      </c>
      <c r="I446" s="4">
        <v>3775.0481785514821</v>
      </c>
      <c r="J446" s="2">
        <f>VLOOKUP(A446,Planilha1!A:M,13,0)</f>
        <v>3220.2324129890262</v>
      </c>
      <c r="K446" s="10">
        <f t="shared" si="12"/>
        <v>-743.56817449002892</v>
      </c>
      <c r="L446" s="10">
        <f t="shared" si="13"/>
        <v>-188.75240892757301</v>
      </c>
    </row>
    <row r="447" spans="1:12" x14ac:dyDescent="0.25">
      <c r="A447" s="2">
        <v>1</v>
      </c>
      <c r="B447" s="4">
        <v>45</v>
      </c>
      <c r="C447" s="4">
        <v>33.1</v>
      </c>
      <c r="D447" s="4">
        <v>0</v>
      </c>
      <c r="E447" s="4" t="s">
        <v>8</v>
      </c>
      <c r="F447" s="4" t="s">
        <v>12</v>
      </c>
      <c r="G447" s="4" t="s">
        <v>10</v>
      </c>
      <c r="H447" s="4">
        <v>4574.0344474822377</v>
      </c>
      <c r="I447" s="4">
        <v>4356.223283316418</v>
      </c>
      <c r="J447" s="2">
        <f>VLOOKUP(A447,Planilha1!A:M,13,0)</f>
        <v>6326.3485212104815</v>
      </c>
      <c r="K447" s="10">
        <f t="shared" si="12"/>
        <v>1752.3140737282438</v>
      </c>
      <c r="L447" s="10">
        <f t="shared" si="13"/>
        <v>-217.81116416581972</v>
      </c>
    </row>
    <row r="448" spans="1:12" x14ac:dyDescent="0.25">
      <c r="A448" s="2">
        <v>1</v>
      </c>
      <c r="B448" s="4">
        <v>60</v>
      </c>
      <c r="C448" s="4">
        <v>29.6</v>
      </c>
      <c r="D448" s="4">
        <v>0</v>
      </c>
      <c r="E448" s="4" t="s">
        <v>11</v>
      </c>
      <c r="F448" s="4" t="s">
        <v>12</v>
      </c>
      <c r="G448" s="4" t="s">
        <v>15</v>
      </c>
      <c r="H448" s="4">
        <v>4255.9479364159997</v>
      </c>
      <c r="I448" s="4">
        <v>4053.2837489676203</v>
      </c>
      <c r="J448" s="2">
        <f>VLOOKUP(A448,Planilha1!A:M,13,0)</f>
        <v>6326.3485212104815</v>
      </c>
      <c r="K448" s="10">
        <f t="shared" si="12"/>
        <v>2070.4005847944818</v>
      </c>
      <c r="L448" s="10">
        <f t="shared" si="13"/>
        <v>-202.66418744837938</v>
      </c>
    </row>
    <row r="449" spans="1:12" x14ac:dyDescent="0.25">
      <c r="A449" s="2">
        <v>1</v>
      </c>
      <c r="B449" s="4">
        <v>56</v>
      </c>
      <c r="C449" s="4">
        <v>25.7</v>
      </c>
      <c r="D449" s="4">
        <v>0</v>
      </c>
      <c r="E449" s="4" t="s">
        <v>8</v>
      </c>
      <c r="F449" s="4" t="s">
        <v>12</v>
      </c>
      <c r="G449" s="4" t="s">
        <v>14</v>
      </c>
      <c r="H449" s="4">
        <v>5298.5224086816197</v>
      </c>
      <c r="I449" s="4">
        <v>5046.2118177920202</v>
      </c>
      <c r="J449" s="2">
        <f>VLOOKUP(A449,Planilha1!A:M,13,0)</f>
        <v>6326.3485212104815</v>
      </c>
      <c r="K449" s="10">
        <f t="shared" si="12"/>
        <v>1027.8261125288618</v>
      </c>
      <c r="L449" s="10">
        <f t="shared" si="13"/>
        <v>-252.31059088959955</v>
      </c>
    </row>
    <row r="450" spans="1:12" x14ac:dyDescent="0.25">
      <c r="A450" s="2">
        <v>1</v>
      </c>
      <c r="B450" s="4">
        <v>40</v>
      </c>
      <c r="C450" s="4">
        <v>29.6</v>
      </c>
      <c r="D450" s="4">
        <v>0</v>
      </c>
      <c r="E450" s="4" t="s">
        <v>8</v>
      </c>
      <c r="F450" s="4" t="s">
        <v>12</v>
      </c>
      <c r="G450" s="4" t="s">
        <v>10</v>
      </c>
      <c r="H450" s="4">
        <v>5402.7852101054577</v>
      </c>
      <c r="I450" s="4">
        <v>5145.5097239099614</v>
      </c>
      <c r="J450" s="2">
        <f>VLOOKUP(A450,Planilha1!A:M,13,0)</f>
        <v>6326.3485212104815</v>
      </c>
      <c r="K450" s="10">
        <f t="shared" si="12"/>
        <v>923.56331110502379</v>
      </c>
      <c r="L450" s="10">
        <f t="shared" si="13"/>
        <v>-257.27548619549634</v>
      </c>
    </row>
    <row r="451" spans="1:12" x14ac:dyDescent="0.25">
      <c r="A451" s="2">
        <v>0</v>
      </c>
      <c r="B451" s="4">
        <v>35</v>
      </c>
      <c r="C451" s="4">
        <v>25</v>
      </c>
      <c r="D451" s="4">
        <v>1</v>
      </c>
      <c r="E451" s="4" t="s">
        <v>11</v>
      </c>
      <c r="F451" s="4" t="s">
        <v>12</v>
      </c>
      <c r="G451" s="4" t="s">
        <v>10</v>
      </c>
      <c r="H451" s="4">
        <v>2186.9046033858317</v>
      </c>
      <c r="I451" s="4">
        <v>2572.828945159803</v>
      </c>
      <c r="J451" s="2">
        <f>VLOOKUP(A451,Planilha1!A:M,13,0)</f>
        <v>2511.8220480829059</v>
      </c>
      <c r="K451" s="10">
        <f t="shared" ref="K451:K514" si="14">J451-H451</f>
        <v>324.91744469707419</v>
      </c>
      <c r="L451" s="10">
        <f t="shared" ref="L451:L514" si="15">I451-H451</f>
        <v>385.92434177397126</v>
      </c>
    </row>
    <row r="452" spans="1:12" x14ac:dyDescent="0.25">
      <c r="A452" s="2">
        <v>3</v>
      </c>
      <c r="B452" s="4">
        <v>39</v>
      </c>
      <c r="C452" s="4">
        <v>29.6</v>
      </c>
      <c r="D452" s="4">
        <v>4</v>
      </c>
      <c r="E452" s="4" t="s">
        <v>11</v>
      </c>
      <c r="F452" s="4" t="s">
        <v>12</v>
      </c>
      <c r="G452" s="4" t="s">
        <v>10</v>
      </c>
      <c r="H452" s="4">
        <v>1926.6083899615169</v>
      </c>
      <c r="I452" s="4">
        <v>2568.8111866153558</v>
      </c>
      <c r="J452" s="2">
        <f>VLOOKUP(A452,Planilha1!A:M,13,0)</f>
        <v>3049.3550806113421</v>
      </c>
      <c r="K452" s="10">
        <f t="shared" si="14"/>
        <v>1122.7466906498253</v>
      </c>
      <c r="L452" s="10">
        <f t="shared" si="15"/>
        <v>642.20279665383896</v>
      </c>
    </row>
    <row r="453" spans="1:12" x14ac:dyDescent="0.25">
      <c r="A453" s="2">
        <v>0</v>
      </c>
      <c r="B453" s="4">
        <v>30</v>
      </c>
      <c r="C453" s="4">
        <v>23</v>
      </c>
      <c r="D453" s="4">
        <v>1</v>
      </c>
      <c r="E453" s="4" t="s">
        <v>11</v>
      </c>
      <c r="F453" s="4" t="s">
        <v>12</v>
      </c>
      <c r="G453" s="4" t="s">
        <v>14</v>
      </c>
      <c r="H453" s="4">
        <v>1524.0178995639365</v>
      </c>
      <c r="I453" s="4">
        <v>1792.9622347811023</v>
      </c>
      <c r="J453" s="2">
        <f>VLOOKUP(A453,Planilha1!A:M,13,0)</f>
        <v>2511.8220480829059</v>
      </c>
      <c r="K453" s="10">
        <f t="shared" si="14"/>
        <v>987.80414851896944</v>
      </c>
      <c r="L453" s="10">
        <f t="shared" si="15"/>
        <v>268.94433521716587</v>
      </c>
    </row>
    <row r="454" spans="1:12" x14ac:dyDescent="0.25">
      <c r="A454" s="2">
        <v>0</v>
      </c>
      <c r="B454" s="4">
        <v>24</v>
      </c>
      <c r="C454" s="4">
        <v>23.5</v>
      </c>
      <c r="D454" s="4">
        <v>0</v>
      </c>
      <c r="E454" s="4" t="s">
        <v>11</v>
      </c>
      <c r="F454" s="4" t="s">
        <v>12</v>
      </c>
      <c r="G454" s="4" t="s">
        <v>10</v>
      </c>
      <c r="H454" s="4">
        <v>1889.8109819986585</v>
      </c>
      <c r="I454" s="4">
        <v>2223.3070376454812</v>
      </c>
      <c r="J454" s="2">
        <f>VLOOKUP(A454,Planilha1!A:M,13,0)</f>
        <v>2511.8220480829059</v>
      </c>
      <c r="K454" s="10">
        <f t="shared" si="14"/>
        <v>622.01106608424743</v>
      </c>
      <c r="L454" s="10">
        <f t="shared" si="15"/>
        <v>333.4960556468227</v>
      </c>
    </row>
    <row r="455" spans="1:12" x14ac:dyDescent="0.25">
      <c r="A455" s="2">
        <v>0</v>
      </c>
      <c r="B455" s="4">
        <v>20</v>
      </c>
      <c r="C455" s="4">
        <v>22.6</v>
      </c>
      <c r="D455" s="4">
        <v>0</v>
      </c>
      <c r="E455" s="4" t="s">
        <v>11</v>
      </c>
      <c r="F455" s="4" t="s">
        <v>12</v>
      </c>
      <c r="G455" s="4" t="s">
        <v>14</v>
      </c>
      <c r="H455" s="4">
        <v>1765.5794603832287</v>
      </c>
      <c r="I455" s="4">
        <v>2077.1523063332111</v>
      </c>
      <c r="J455" s="2">
        <f>VLOOKUP(A455,Planilha1!A:M,13,0)</f>
        <v>2511.8220480829059</v>
      </c>
      <c r="K455" s="10">
        <f t="shared" si="14"/>
        <v>746.24258769967719</v>
      </c>
      <c r="L455" s="10">
        <f t="shared" si="15"/>
        <v>311.57284594998237</v>
      </c>
    </row>
    <row r="456" spans="1:12" x14ac:dyDescent="0.25">
      <c r="A456" s="2">
        <v>3</v>
      </c>
      <c r="B456" s="4">
        <v>32</v>
      </c>
      <c r="C456" s="4">
        <v>46.5</v>
      </c>
      <c r="D456" s="4">
        <v>2</v>
      </c>
      <c r="E456" s="4" t="s">
        <v>11</v>
      </c>
      <c r="F456" s="4" t="s">
        <v>12</v>
      </c>
      <c r="G456" s="4" t="s">
        <v>13</v>
      </c>
      <c r="H456" s="4">
        <v>1752.4352396811139</v>
      </c>
      <c r="I456" s="4">
        <v>2336.5803195748185</v>
      </c>
      <c r="J456" s="2">
        <f>VLOOKUP(A456,Planilha1!A:M,13,0)</f>
        <v>3049.3550806113421</v>
      </c>
      <c r="K456" s="10">
        <f t="shared" si="14"/>
        <v>1296.9198409302282</v>
      </c>
      <c r="L456" s="10">
        <f t="shared" si="15"/>
        <v>584.14507989370463</v>
      </c>
    </row>
    <row r="457" spans="1:12" x14ac:dyDescent="0.25">
      <c r="A457" s="2">
        <v>1</v>
      </c>
      <c r="B457" s="4">
        <v>59</v>
      </c>
      <c r="C457" s="4">
        <v>37.4</v>
      </c>
      <c r="D457" s="4">
        <v>0</v>
      </c>
      <c r="E457" s="4" t="s">
        <v>11</v>
      </c>
      <c r="F457" s="4" t="s">
        <v>12</v>
      </c>
      <c r="G457" s="4" t="s">
        <v>10</v>
      </c>
      <c r="H457" s="4">
        <v>4018.5920807458524</v>
      </c>
      <c r="I457" s="4">
        <v>3827.2305530912895</v>
      </c>
      <c r="J457" s="2">
        <f>VLOOKUP(A457,Planilha1!A:M,13,0)</f>
        <v>6326.3485212104815</v>
      </c>
      <c r="K457" s="10">
        <f t="shared" si="14"/>
        <v>2307.7564404646291</v>
      </c>
      <c r="L457" s="10">
        <f t="shared" si="15"/>
        <v>-191.36152765456291</v>
      </c>
    </row>
    <row r="458" spans="1:12" x14ac:dyDescent="0.25">
      <c r="A458" s="2">
        <v>3</v>
      </c>
      <c r="B458" s="4">
        <v>55</v>
      </c>
      <c r="C458" s="4">
        <v>30.1</v>
      </c>
      <c r="D458" s="4">
        <v>2</v>
      </c>
      <c r="E458" s="4" t="s">
        <v>8</v>
      </c>
      <c r="F458" s="4" t="s">
        <v>12</v>
      </c>
      <c r="G458" s="4" t="s">
        <v>13</v>
      </c>
      <c r="H458" s="4">
        <v>2871.2824623332185</v>
      </c>
      <c r="I458" s="4">
        <v>3828.3766164442914</v>
      </c>
      <c r="J458" s="2">
        <f>VLOOKUP(A458,Planilha1!A:M,13,0)</f>
        <v>3049.3550806113421</v>
      </c>
      <c r="K458" s="10">
        <f t="shared" si="14"/>
        <v>178.07261827812363</v>
      </c>
      <c r="L458" s="10">
        <f t="shared" si="15"/>
        <v>957.09415411107284</v>
      </c>
    </row>
    <row r="459" spans="1:12" x14ac:dyDescent="0.25">
      <c r="A459" s="2">
        <v>1</v>
      </c>
      <c r="B459" s="4">
        <v>57</v>
      </c>
      <c r="C459" s="4">
        <v>30.5</v>
      </c>
      <c r="D459" s="4">
        <v>0</v>
      </c>
      <c r="E459" s="4" t="s">
        <v>8</v>
      </c>
      <c r="F459" s="4" t="s">
        <v>12</v>
      </c>
      <c r="G459" s="4" t="s">
        <v>14</v>
      </c>
      <c r="H459" s="4">
        <v>4357.9627592084234</v>
      </c>
      <c r="I459" s="4">
        <v>4150.4407230556426</v>
      </c>
      <c r="J459" s="2">
        <f>VLOOKUP(A459,Planilha1!A:M,13,0)</f>
        <v>6326.3485212104815</v>
      </c>
      <c r="K459" s="10">
        <f t="shared" si="14"/>
        <v>1968.3857620020581</v>
      </c>
      <c r="L459" s="10">
        <f t="shared" si="15"/>
        <v>-207.52203615278086</v>
      </c>
    </row>
    <row r="460" spans="1:12" x14ac:dyDescent="0.25">
      <c r="A460" s="2">
        <v>1</v>
      </c>
      <c r="B460" s="4">
        <v>56</v>
      </c>
      <c r="C460" s="4">
        <v>39.6</v>
      </c>
      <c r="D460" s="4">
        <v>0</v>
      </c>
      <c r="E460" s="4" t="s">
        <v>11</v>
      </c>
      <c r="F460" s="4" t="s">
        <v>12</v>
      </c>
      <c r="G460" s="4" t="s">
        <v>10</v>
      </c>
      <c r="H460" s="4">
        <v>5068.6496103435265</v>
      </c>
      <c r="I460" s="4">
        <v>4827.2853431843123</v>
      </c>
      <c r="J460" s="2">
        <f>VLOOKUP(A460,Planilha1!A:M,13,0)</f>
        <v>6326.3485212104815</v>
      </c>
      <c r="K460" s="10">
        <f t="shared" si="14"/>
        <v>1257.698910866955</v>
      </c>
      <c r="L460" s="10">
        <f t="shared" si="15"/>
        <v>-241.36426715921425</v>
      </c>
    </row>
    <row r="461" spans="1:12" x14ac:dyDescent="0.25">
      <c r="A461" s="2">
        <v>3</v>
      </c>
      <c r="B461" s="4">
        <v>40</v>
      </c>
      <c r="C461" s="4">
        <v>33</v>
      </c>
      <c r="D461" s="4">
        <v>3</v>
      </c>
      <c r="E461" s="4" t="s">
        <v>8</v>
      </c>
      <c r="F461" s="4" t="s">
        <v>12</v>
      </c>
      <c r="G461" s="4" t="s">
        <v>13</v>
      </c>
      <c r="H461" s="4">
        <v>1768.4929635925453</v>
      </c>
      <c r="I461" s="4">
        <v>2357.9906181233937</v>
      </c>
      <c r="J461" s="2">
        <f>VLOOKUP(A461,Planilha1!A:M,13,0)</f>
        <v>3049.3550806113421</v>
      </c>
      <c r="K461" s="10">
        <f t="shared" si="14"/>
        <v>1280.8621170187969</v>
      </c>
      <c r="L461" s="10">
        <f t="shared" si="15"/>
        <v>589.49765453084842</v>
      </c>
    </row>
    <row r="462" spans="1:12" x14ac:dyDescent="0.25">
      <c r="A462" s="2">
        <v>3</v>
      </c>
      <c r="B462" s="4">
        <v>49</v>
      </c>
      <c r="C462" s="4">
        <v>36.6</v>
      </c>
      <c r="D462" s="4">
        <v>3</v>
      </c>
      <c r="E462" s="4" t="s">
        <v>8</v>
      </c>
      <c r="F462" s="4" t="s">
        <v>12</v>
      </c>
      <c r="G462" s="4" t="s">
        <v>13</v>
      </c>
      <c r="H462" s="4">
        <v>3315.3466718309451</v>
      </c>
      <c r="I462" s="4">
        <v>4420.4622291079268</v>
      </c>
      <c r="J462" s="2">
        <f>VLOOKUP(A462,Planilha1!A:M,13,0)</f>
        <v>3049.3550806113421</v>
      </c>
      <c r="K462" s="10">
        <f t="shared" si="14"/>
        <v>-265.99159121960292</v>
      </c>
      <c r="L462" s="10">
        <f t="shared" si="15"/>
        <v>1105.1155572769817</v>
      </c>
    </row>
    <row r="463" spans="1:12" x14ac:dyDescent="0.25">
      <c r="A463" s="2">
        <v>2</v>
      </c>
      <c r="B463" s="4">
        <v>42</v>
      </c>
      <c r="C463" s="4">
        <v>30</v>
      </c>
      <c r="D463" s="4">
        <v>0</v>
      </c>
      <c r="E463" s="4" t="s">
        <v>11</v>
      </c>
      <c r="F463" s="4" t="s">
        <v>9</v>
      </c>
      <c r="G463" s="4" t="s">
        <v>10</v>
      </c>
      <c r="H463" s="4">
        <v>4509.9314926939433</v>
      </c>
      <c r="I463" s="4">
        <v>4295.1728501847092</v>
      </c>
      <c r="J463" s="2">
        <f>VLOOKUP(A463,Planilha1!A:M,13,0)</f>
        <v>3220.2324129890262</v>
      </c>
      <c r="K463" s="10">
        <f t="shared" si="14"/>
        <v>-1289.699079704917</v>
      </c>
      <c r="L463" s="10">
        <f t="shared" si="15"/>
        <v>-214.75864250923405</v>
      </c>
    </row>
    <row r="464" spans="1:12" x14ac:dyDescent="0.25">
      <c r="A464" s="2">
        <v>1</v>
      </c>
      <c r="B464" s="4">
        <v>62</v>
      </c>
      <c r="C464" s="4">
        <v>38.1</v>
      </c>
      <c r="D464" s="4">
        <v>2</v>
      </c>
      <c r="E464" s="4" t="s">
        <v>8</v>
      </c>
      <c r="F464" s="4" t="s">
        <v>12</v>
      </c>
      <c r="G464" s="4" t="s">
        <v>15</v>
      </c>
      <c r="H464" s="4">
        <v>4722.4738184481021</v>
      </c>
      <c r="I464" s="4">
        <v>4497.5941128077184</v>
      </c>
      <c r="J464" s="2">
        <f>VLOOKUP(A464,Planilha1!A:M,13,0)</f>
        <v>6326.3485212104815</v>
      </c>
      <c r="K464" s="10">
        <f t="shared" si="14"/>
        <v>1603.8747027623795</v>
      </c>
      <c r="L464" s="10">
        <f t="shared" si="15"/>
        <v>-224.87970564038369</v>
      </c>
    </row>
    <row r="465" spans="1:12" x14ac:dyDescent="0.25">
      <c r="A465" s="2">
        <v>1</v>
      </c>
      <c r="B465" s="4">
        <v>56</v>
      </c>
      <c r="C465" s="4">
        <v>25.9</v>
      </c>
      <c r="D465" s="4">
        <v>0</v>
      </c>
      <c r="E465" s="4" t="s">
        <v>11</v>
      </c>
      <c r="F465" s="4" t="s">
        <v>12</v>
      </c>
      <c r="G465" s="4" t="s">
        <v>15</v>
      </c>
      <c r="H465" s="4">
        <v>5229.0241817561209</v>
      </c>
      <c r="I465" s="4">
        <v>4980.0230302439259</v>
      </c>
      <c r="J465" s="2">
        <f>VLOOKUP(A465,Planilha1!A:M,13,0)</f>
        <v>6326.3485212104815</v>
      </c>
      <c r="K465" s="10">
        <f t="shared" si="14"/>
        <v>1097.3243394543606</v>
      </c>
      <c r="L465" s="10">
        <f t="shared" si="15"/>
        <v>-249.00115151219507</v>
      </c>
    </row>
    <row r="466" spans="1:12" x14ac:dyDescent="0.25">
      <c r="A466" s="2">
        <v>0</v>
      </c>
      <c r="B466" s="4">
        <v>19</v>
      </c>
      <c r="C466" s="4">
        <v>22.7</v>
      </c>
      <c r="D466" s="4">
        <v>0</v>
      </c>
      <c r="E466" s="4" t="s">
        <v>11</v>
      </c>
      <c r="F466" s="4" t="s">
        <v>12</v>
      </c>
      <c r="G466" s="4" t="s">
        <v>14</v>
      </c>
      <c r="H466" s="4">
        <v>1317.6976404067618</v>
      </c>
      <c r="I466" s="4">
        <v>1550.2325181256031</v>
      </c>
      <c r="J466" s="2">
        <f>VLOOKUP(A466,Planilha1!A:M,13,0)</f>
        <v>2511.8220480829059</v>
      </c>
      <c r="K466" s="10">
        <f t="shared" si="14"/>
        <v>1194.1244076761441</v>
      </c>
      <c r="L466" s="10">
        <f t="shared" si="15"/>
        <v>232.53487771884124</v>
      </c>
    </row>
    <row r="467" spans="1:12" x14ac:dyDescent="0.25">
      <c r="A467" s="2">
        <v>2</v>
      </c>
      <c r="B467" s="4">
        <v>30</v>
      </c>
      <c r="C467" s="4">
        <v>20.5</v>
      </c>
      <c r="D467" s="4">
        <v>1</v>
      </c>
      <c r="E467" s="4" t="s">
        <v>8</v>
      </c>
      <c r="F467" s="4" t="s">
        <v>9</v>
      </c>
      <c r="G467" s="4" t="s">
        <v>13</v>
      </c>
      <c r="H467" s="4">
        <v>1888.7688909101921</v>
      </c>
      <c r="I467" s="4">
        <v>2222.0810481296385</v>
      </c>
      <c r="J467" s="2">
        <f>VLOOKUP(A467,Planilha1!A:M,13,0)</f>
        <v>3220.2324129890262</v>
      </c>
      <c r="K467" s="10">
        <f t="shared" si="14"/>
        <v>1331.4635220788341</v>
      </c>
      <c r="L467" s="10">
        <f t="shared" si="15"/>
        <v>333.31215721944636</v>
      </c>
    </row>
    <row r="468" spans="1:12" x14ac:dyDescent="0.25">
      <c r="A468" s="2">
        <v>1</v>
      </c>
      <c r="B468" s="4">
        <v>60</v>
      </c>
      <c r="C468" s="4">
        <v>28.7</v>
      </c>
      <c r="D468" s="4">
        <v>1</v>
      </c>
      <c r="E468" s="4" t="s">
        <v>8</v>
      </c>
      <c r="F468" s="4" t="s">
        <v>12</v>
      </c>
      <c r="G468" s="4" t="s">
        <v>10</v>
      </c>
      <c r="H468" s="4">
        <v>4330.5001969029327</v>
      </c>
      <c r="I468" s="4">
        <v>4124.285901812319</v>
      </c>
      <c r="J468" s="2">
        <f>VLOOKUP(A468,Planilha1!A:M,13,0)</f>
        <v>6326.3485212104815</v>
      </c>
      <c r="K468" s="10">
        <f t="shared" si="14"/>
        <v>1995.8483243075489</v>
      </c>
      <c r="L468" s="10">
        <f t="shared" si="15"/>
        <v>-206.21429509061363</v>
      </c>
    </row>
    <row r="469" spans="1:12" x14ac:dyDescent="0.25">
      <c r="A469" s="2">
        <v>3</v>
      </c>
      <c r="B469" s="4">
        <v>56</v>
      </c>
      <c r="C469" s="4">
        <v>33.799999999999997</v>
      </c>
      <c r="D469" s="4">
        <v>2</v>
      </c>
      <c r="E469" s="4" t="s">
        <v>8</v>
      </c>
      <c r="F469" s="4" t="s">
        <v>12</v>
      </c>
      <c r="G469" s="4" t="s">
        <v>14</v>
      </c>
      <c r="H469" s="4">
        <v>2730.5749782803341</v>
      </c>
      <c r="I469" s="4">
        <v>3640.7666377071123</v>
      </c>
      <c r="J469" s="2">
        <f>VLOOKUP(A469,Planilha1!A:M,13,0)</f>
        <v>3049.3550806113421</v>
      </c>
      <c r="K469" s="10">
        <f t="shared" si="14"/>
        <v>318.78010233100804</v>
      </c>
      <c r="L469" s="10">
        <f t="shared" si="15"/>
        <v>910.19165942677819</v>
      </c>
    </row>
    <row r="470" spans="1:12" x14ac:dyDescent="0.25">
      <c r="A470" s="2">
        <v>0</v>
      </c>
      <c r="B470" s="4">
        <v>28</v>
      </c>
      <c r="C470" s="4">
        <v>22.6</v>
      </c>
      <c r="D470" s="4">
        <v>1</v>
      </c>
      <c r="E470" s="4" t="s">
        <v>8</v>
      </c>
      <c r="F470" s="4" t="s">
        <v>12</v>
      </c>
      <c r="G470" s="4" t="s">
        <v>15</v>
      </c>
      <c r="H470" s="4">
        <v>2046.3675055586077</v>
      </c>
      <c r="I470" s="4">
        <v>2407.4911830101278</v>
      </c>
      <c r="J470" s="2">
        <f>VLOOKUP(A470,Planilha1!A:M,13,0)</f>
        <v>2511.8220480829059</v>
      </c>
      <c r="K470" s="10">
        <f t="shared" si="14"/>
        <v>465.45454252429818</v>
      </c>
      <c r="L470" s="10">
        <f t="shared" si="15"/>
        <v>361.12367745152005</v>
      </c>
    </row>
    <row r="471" spans="1:12" x14ac:dyDescent="0.25">
      <c r="A471" s="2">
        <v>0</v>
      </c>
      <c r="B471" s="4">
        <v>18</v>
      </c>
      <c r="C471" s="4">
        <v>22.7</v>
      </c>
      <c r="D471" s="4">
        <v>1</v>
      </c>
      <c r="E471" s="4" t="s">
        <v>8</v>
      </c>
      <c r="F471" s="4" t="s">
        <v>12</v>
      </c>
      <c r="G471" s="4" t="s">
        <v>13</v>
      </c>
      <c r="H471" s="4">
        <v>1620.0607057762252</v>
      </c>
      <c r="I471" s="4">
        <v>1905.9537715014424</v>
      </c>
      <c r="J471" s="2">
        <f>VLOOKUP(A471,Planilha1!A:M,13,0)</f>
        <v>2511.8220480829059</v>
      </c>
      <c r="K471" s="10">
        <f t="shared" si="14"/>
        <v>891.76134230668072</v>
      </c>
      <c r="L471" s="10">
        <f t="shared" si="15"/>
        <v>285.89306572521718</v>
      </c>
    </row>
    <row r="472" spans="1:12" x14ac:dyDescent="0.25">
      <c r="A472" s="2">
        <v>0</v>
      </c>
      <c r="B472" s="4">
        <v>27</v>
      </c>
      <c r="C472" s="4">
        <v>23</v>
      </c>
      <c r="D472" s="4">
        <v>0</v>
      </c>
      <c r="E472" s="4" t="s">
        <v>11</v>
      </c>
      <c r="F472" s="4" t="s">
        <v>12</v>
      </c>
      <c r="G472" s="4" t="s">
        <v>13</v>
      </c>
      <c r="H472" s="4">
        <v>1995.5831081196404</v>
      </c>
      <c r="I472" s="4">
        <v>2347.7448330819307</v>
      </c>
      <c r="J472" s="2">
        <f>VLOOKUP(A472,Planilha1!A:M,13,0)</f>
        <v>2511.8220480829059</v>
      </c>
      <c r="K472" s="10">
        <f t="shared" si="14"/>
        <v>516.23893996326547</v>
      </c>
      <c r="L472" s="10">
        <f t="shared" si="15"/>
        <v>352.16172496229024</v>
      </c>
    </row>
    <row r="473" spans="1:12" x14ac:dyDescent="0.25">
      <c r="A473" s="2">
        <v>0</v>
      </c>
      <c r="B473" s="4">
        <v>18</v>
      </c>
      <c r="C473" s="4">
        <v>21.6</v>
      </c>
      <c r="D473" s="4">
        <v>0</v>
      </c>
      <c r="E473" s="4" t="s">
        <v>8</v>
      </c>
      <c r="F473" s="4" t="s">
        <v>12</v>
      </c>
      <c r="G473" s="4" t="s">
        <v>15</v>
      </c>
      <c r="H473" s="4">
        <v>1677.0949862319594</v>
      </c>
      <c r="I473" s="4">
        <v>1973.0529249787764</v>
      </c>
      <c r="J473" s="2">
        <f>VLOOKUP(A473,Planilha1!A:M,13,0)</f>
        <v>2511.8220480829059</v>
      </c>
      <c r="K473" s="10">
        <f t="shared" si="14"/>
        <v>834.72706185094648</v>
      </c>
      <c r="L473" s="10">
        <f t="shared" si="15"/>
        <v>295.95793874681704</v>
      </c>
    </row>
    <row r="474" spans="1:12" x14ac:dyDescent="0.25">
      <c r="A474" s="2">
        <v>0</v>
      </c>
      <c r="B474" s="4">
        <v>19</v>
      </c>
      <c r="C474" s="4">
        <v>21.8</v>
      </c>
      <c r="D474" s="4">
        <v>0</v>
      </c>
      <c r="E474" s="4" t="s">
        <v>8</v>
      </c>
      <c r="F474" s="4" t="s">
        <v>12</v>
      </c>
      <c r="G474" s="4" t="s">
        <v>10</v>
      </c>
      <c r="H474" s="4">
        <v>1723.7044105316518</v>
      </c>
      <c r="I474" s="4">
        <v>2027.8875418019441</v>
      </c>
      <c r="J474" s="2">
        <f>VLOOKUP(A474,Planilha1!A:M,13,0)</f>
        <v>2511.8220480829059</v>
      </c>
      <c r="K474" s="10">
        <f t="shared" si="14"/>
        <v>788.11763755125412</v>
      </c>
      <c r="L474" s="10">
        <f t="shared" si="15"/>
        <v>304.18313127029228</v>
      </c>
    </row>
    <row r="475" spans="1:12" x14ac:dyDescent="0.25">
      <c r="A475" s="2">
        <v>1</v>
      </c>
      <c r="B475" s="4">
        <v>47</v>
      </c>
      <c r="C475" s="4">
        <v>33.299999999999997</v>
      </c>
      <c r="D475" s="4">
        <v>0</v>
      </c>
      <c r="E475" s="4" t="s">
        <v>8</v>
      </c>
      <c r="F475" s="4" t="s">
        <v>12</v>
      </c>
      <c r="G475" s="4" t="s">
        <v>15</v>
      </c>
      <c r="H475" s="4">
        <v>5747.7600741677916</v>
      </c>
      <c r="I475" s="4">
        <v>5474.0572134931363</v>
      </c>
      <c r="J475" s="2">
        <f>VLOOKUP(A475,Planilha1!A:M,13,0)</f>
        <v>6326.3485212104815</v>
      </c>
      <c r="K475" s="10">
        <f t="shared" si="14"/>
        <v>578.58844704268995</v>
      </c>
      <c r="L475" s="10">
        <f t="shared" si="15"/>
        <v>-273.70286067465531</v>
      </c>
    </row>
    <row r="476" spans="1:12" x14ac:dyDescent="0.25">
      <c r="A476" s="2">
        <v>2</v>
      </c>
      <c r="B476" s="4">
        <v>54</v>
      </c>
      <c r="C476" s="4">
        <v>25.1</v>
      </c>
      <c r="D476" s="4">
        <v>3</v>
      </c>
      <c r="E476" s="4" t="s">
        <v>11</v>
      </c>
      <c r="F476" s="4" t="s">
        <v>9</v>
      </c>
      <c r="G476" s="4" t="s">
        <v>10</v>
      </c>
      <c r="H476" s="4">
        <v>2640.8233842609052</v>
      </c>
      <c r="I476" s="4">
        <v>3521.0978456812068</v>
      </c>
      <c r="J476" s="2">
        <f>VLOOKUP(A476,Planilha1!A:M,13,0)</f>
        <v>3220.2324129890262</v>
      </c>
      <c r="K476" s="10">
        <f t="shared" si="14"/>
        <v>579.40902872812103</v>
      </c>
      <c r="L476" s="10">
        <f t="shared" si="15"/>
        <v>880.27446142030158</v>
      </c>
    </row>
    <row r="477" spans="1:12" x14ac:dyDescent="0.25">
      <c r="A477" s="2">
        <v>2</v>
      </c>
      <c r="B477" s="4">
        <v>61</v>
      </c>
      <c r="C477" s="4">
        <v>28.3</v>
      </c>
      <c r="D477" s="4">
        <v>1</v>
      </c>
      <c r="E477" s="4" t="s">
        <v>11</v>
      </c>
      <c r="F477" s="4" t="s">
        <v>9</v>
      </c>
      <c r="G477" s="4" t="s">
        <v>14</v>
      </c>
      <c r="H477" s="4">
        <v>4342.002675708467</v>
      </c>
      <c r="I477" s="4">
        <v>4135.2406435318744</v>
      </c>
      <c r="J477" s="2">
        <f>VLOOKUP(A477,Planilha1!A:M,13,0)</f>
        <v>3220.2324129890262</v>
      </c>
      <c r="K477" s="10">
        <f t="shared" si="14"/>
        <v>-1121.7702627194408</v>
      </c>
      <c r="L477" s="10">
        <f t="shared" si="15"/>
        <v>-206.76203217659258</v>
      </c>
    </row>
    <row r="478" spans="1:12" x14ac:dyDescent="0.25">
      <c r="A478" s="2">
        <v>2</v>
      </c>
      <c r="B478" s="4">
        <v>24</v>
      </c>
      <c r="C478" s="4">
        <v>20.9</v>
      </c>
      <c r="D478" s="4">
        <v>0</v>
      </c>
      <c r="E478" s="4" t="s">
        <v>11</v>
      </c>
      <c r="F478" s="4" t="s">
        <v>9</v>
      </c>
      <c r="G478" s="4" t="s">
        <v>15</v>
      </c>
      <c r="H478" s="4">
        <v>1343.2221568282862</v>
      </c>
      <c r="I478" s="4">
        <v>1580.2613609744549</v>
      </c>
      <c r="J478" s="2">
        <f>VLOOKUP(A478,Planilha1!A:M,13,0)</f>
        <v>3220.2324129890262</v>
      </c>
      <c r="K478" s="10">
        <f t="shared" si="14"/>
        <v>1877.01025616074</v>
      </c>
      <c r="L478" s="10">
        <f t="shared" si="15"/>
        <v>237.03920414616869</v>
      </c>
    </row>
    <row r="479" spans="1:12" x14ac:dyDescent="0.25">
      <c r="A479" s="2">
        <v>0</v>
      </c>
      <c r="B479" s="4">
        <v>25</v>
      </c>
      <c r="C479" s="4">
        <v>22.7</v>
      </c>
      <c r="D479" s="4">
        <v>0</v>
      </c>
      <c r="E479" s="4" t="s">
        <v>11</v>
      </c>
      <c r="F479" s="4" t="s">
        <v>12</v>
      </c>
      <c r="G479" s="4" t="s">
        <v>14</v>
      </c>
      <c r="H479" s="4">
        <v>2634.8842118422685</v>
      </c>
      <c r="I479" s="4">
        <v>3099.8637786379636</v>
      </c>
      <c r="J479" s="2">
        <f>VLOOKUP(A479,Planilha1!A:M,13,0)</f>
        <v>2511.8220480829059</v>
      </c>
      <c r="K479" s="10">
        <f t="shared" si="14"/>
        <v>-123.06216375936265</v>
      </c>
      <c r="L479" s="10">
        <f t="shared" si="15"/>
        <v>464.97956679569506</v>
      </c>
    </row>
    <row r="480" spans="1:12" x14ac:dyDescent="0.25">
      <c r="A480" s="2">
        <v>0</v>
      </c>
      <c r="B480" s="4">
        <v>21</v>
      </c>
      <c r="C480" s="4">
        <v>22.4</v>
      </c>
      <c r="D480" s="4">
        <v>0</v>
      </c>
      <c r="E480" s="4" t="s">
        <v>11</v>
      </c>
      <c r="F480" s="4" t="s">
        <v>12</v>
      </c>
      <c r="G480" s="4" t="s">
        <v>13</v>
      </c>
      <c r="H480" s="4">
        <v>1442.3069651788564</v>
      </c>
      <c r="I480" s="4">
        <v>1696.8317237398321</v>
      </c>
      <c r="J480" s="2">
        <f>VLOOKUP(A480,Planilha1!A:M,13,0)</f>
        <v>2511.8220480829059</v>
      </c>
      <c r="K480" s="10">
        <f t="shared" si="14"/>
        <v>1069.5150829040495</v>
      </c>
      <c r="L480" s="10">
        <f t="shared" si="15"/>
        <v>254.52475856097567</v>
      </c>
    </row>
    <row r="481" spans="1:12" x14ac:dyDescent="0.25">
      <c r="A481" s="2">
        <v>0</v>
      </c>
      <c r="B481" s="4">
        <v>23</v>
      </c>
      <c r="C481" s="4">
        <v>23.9</v>
      </c>
      <c r="D481" s="4">
        <v>0</v>
      </c>
      <c r="E481" s="4" t="s">
        <v>11</v>
      </c>
      <c r="F481" s="4" t="s">
        <v>12</v>
      </c>
      <c r="G481" s="4" t="s">
        <v>13</v>
      </c>
      <c r="H481" s="4">
        <v>1886.1531950425892</v>
      </c>
      <c r="I481" s="4">
        <v>2219.003758873635</v>
      </c>
      <c r="J481" s="2">
        <f>VLOOKUP(A481,Planilha1!A:M,13,0)</f>
        <v>2511.8220480829059</v>
      </c>
      <c r="K481" s="10">
        <f t="shared" si="14"/>
        <v>625.66885304031666</v>
      </c>
      <c r="L481" s="10">
        <f t="shared" si="15"/>
        <v>332.85056383104575</v>
      </c>
    </row>
    <row r="482" spans="1:12" x14ac:dyDescent="0.25">
      <c r="A482" s="2">
        <v>3</v>
      </c>
      <c r="B482" s="4">
        <v>63</v>
      </c>
      <c r="C482" s="4">
        <v>41.3</v>
      </c>
      <c r="D482" s="4">
        <v>3</v>
      </c>
      <c r="E482" s="4" t="s">
        <v>11</v>
      </c>
      <c r="F482" s="4" t="s">
        <v>12</v>
      </c>
      <c r="G482" s="4" t="s">
        <v>14</v>
      </c>
      <c r="H482" s="4">
        <v>2932.1508109545084</v>
      </c>
      <c r="I482" s="4">
        <v>3909.5344146060111</v>
      </c>
      <c r="J482" s="2">
        <f>VLOOKUP(A482,Planilha1!A:M,13,0)</f>
        <v>3049.3550806113421</v>
      </c>
      <c r="K482" s="10">
        <f t="shared" si="14"/>
        <v>117.20426965683373</v>
      </c>
      <c r="L482" s="10">
        <f t="shared" si="15"/>
        <v>977.38360365150265</v>
      </c>
    </row>
    <row r="483" spans="1:12" x14ac:dyDescent="0.25">
      <c r="A483" s="2">
        <v>3</v>
      </c>
      <c r="B483" s="4">
        <v>49</v>
      </c>
      <c r="C483" s="4">
        <v>37.5</v>
      </c>
      <c r="D483" s="4">
        <v>2</v>
      </c>
      <c r="E483" s="4" t="s">
        <v>11</v>
      </c>
      <c r="F483" s="4" t="s">
        <v>12</v>
      </c>
      <c r="G483" s="4" t="s">
        <v>13</v>
      </c>
      <c r="H483" s="4">
        <v>2393.9274972844137</v>
      </c>
      <c r="I483" s="4">
        <v>3191.9033297125516</v>
      </c>
      <c r="J483" s="2">
        <f>VLOOKUP(A483,Planilha1!A:M,13,0)</f>
        <v>3049.3550806113421</v>
      </c>
      <c r="K483" s="10">
        <f t="shared" si="14"/>
        <v>655.42758332692847</v>
      </c>
      <c r="L483" s="10">
        <f t="shared" si="15"/>
        <v>797.97583242813789</v>
      </c>
    </row>
    <row r="484" spans="1:12" x14ac:dyDescent="0.25">
      <c r="A484" s="2">
        <v>0</v>
      </c>
      <c r="B484" s="4">
        <v>18</v>
      </c>
      <c r="C484" s="4">
        <v>24.8</v>
      </c>
      <c r="D484" s="4">
        <v>0</v>
      </c>
      <c r="E484" s="4" t="s">
        <v>8</v>
      </c>
      <c r="F484" s="4" t="s">
        <v>12</v>
      </c>
      <c r="G484" s="4" t="s">
        <v>13</v>
      </c>
      <c r="H484" s="4">
        <v>1738.4816856374305</v>
      </c>
      <c r="I484" s="4">
        <v>2045.2725713381544</v>
      </c>
      <c r="J484" s="2">
        <f>VLOOKUP(A484,Planilha1!A:M,13,0)</f>
        <v>2511.8220480829059</v>
      </c>
      <c r="K484" s="10">
        <f t="shared" si="14"/>
        <v>773.34036244547542</v>
      </c>
      <c r="L484" s="10">
        <f t="shared" si="15"/>
        <v>306.79088570072395</v>
      </c>
    </row>
    <row r="485" spans="1:12" x14ac:dyDescent="0.25">
      <c r="A485" s="2">
        <v>1</v>
      </c>
      <c r="B485" s="4">
        <v>51</v>
      </c>
      <c r="C485" s="4">
        <v>39.5</v>
      </c>
      <c r="D485" s="4">
        <v>1</v>
      </c>
      <c r="E485" s="4" t="s">
        <v>8</v>
      </c>
      <c r="F485" s="4" t="s">
        <v>12</v>
      </c>
      <c r="G485" s="4" t="s">
        <v>10</v>
      </c>
      <c r="H485" s="4">
        <v>5590.577142910417</v>
      </c>
      <c r="I485" s="4">
        <v>5324.3591837242075</v>
      </c>
      <c r="J485" s="2">
        <f>VLOOKUP(A485,Planilha1!A:M,13,0)</f>
        <v>6326.3485212104815</v>
      </c>
      <c r="K485" s="10">
        <f t="shared" si="14"/>
        <v>735.7713783000645</v>
      </c>
      <c r="L485" s="10">
        <f t="shared" si="15"/>
        <v>-266.21795918620955</v>
      </c>
    </row>
    <row r="486" spans="1:12" x14ac:dyDescent="0.25">
      <c r="A486" s="2">
        <v>3</v>
      </c>
      <c r="B486" s="4">
        <v>48</v>
      </c>
      <c r="C486" s="4">
        <v>34.299999999999997</v>
      </c>
      <c r="D486" s="4">
        <v>3</v>
      </c>
      <c r="E486" s="4" t="s">
        <v>11</v>
      </c>
      <c r="F486" s="4" t="s">
        <v>12</v>
      </c>
      <c r="G486" s="4" t="s">
        <v>10</v>
      </c>
      <c r="H486" s="4">
        <v>1622.1467095457037</v>
      </c>
      <c r="I486" s="4">
        <v>2162.8622793942718</v>
      </c>
      <c r="J486" s="2">
        <f>VLOOKUP(A486,Planilha1!A:M,13,0)</f>
        <v>3049.3550806113421</v>
      </c>
      <c r="K486" s="10">
        <f t="shared" si="14"/>
        <v>1427.2083710656384</v>
      </c>
      <c r="L486" s="10">
        <f t="shared" si="15"/>
        <v>540.71556984856807</v>
      </c>
    </row>
    <row r="487" spans="1:12" x14ac:dyDescent="0.25">
      <c r="A487" s="2">
        <v>0</v>
      </c>
      <c r="B487" s="4">
        <v>31</v>
      </c>
      <c r="C487" s="4">
        <v>22.2</v>
      </c>
      <c r="D487" s="4">
        <v>0</v>
      </c>
      <c r="E487" s="4" t="s">
        <v>8</v>
      </c>
      <c r="F487" s="4" t="s">
        <v>12</v>
      </c>
      <c r="G487" s="4" t="s">
        <v>15</v>
      </c>
      <c r="H487" s="4">
        <v>1383.3499096920489</v>
      </c>
      <c r="I487" s="4">
        <v>1627.4704819906465</v>
      </c>
      <c r="J487" s="2">
        <f>VLOOKUP(A487,Planilha1!A:M,13,0)</f>
        <v>2511.8220480829059</v>
      </c>
      <c r="K487" s="10">
        <f t="shared" si="14"/>
        <v>1128.472138390857</v>
      </c>
      <c r="L487" s="10">
        <f t="shared" si="15"/>
        <v>244.12057229859761</v>
      </c>
    </row>
    <row r="488" spans="1:12" x14ac:dyDescent="0.25">
      <c r="A488" s="2">
        <v>3</v>
      </c>
      <c r="B488" s="4">
        <v>54</v>
      </c>
      <c r="C488" s="4">
        <v>21.5</v>
      </c>
      <c r="D488" s="4">
        <v>3</v>
      </c>
      <c r="E488" s="4" t="s">
        <v>8</v>
      </c>
      <c r="F488" s="4" t="s">
        <v>12</v>
      </c>
      <c r="G488" s="4" t="s">
        <v>14</v>
      </c>
      <c r="H488" s="4">
        <v>1388.8965006997869</v>
      </c>
      <c r="I488" s="4">
        <v>1851.8620009330493</v>
      </c>
      <c r="J488" s="2">
        <f>VLOOKUP(A488,Planilha1!A:M,13,0)</f>
        <v>3049.3550806113421</v>
      </c>
      <c r="K488" s="10">
        <f t="shared" si="14"/>
        <v>1660.4585799115553</v>
      </c>
      <c r="L488" s="10">
        <f t="shared" si="15"/>
        <v>462.96550023326245</v>
      </c>
    </row>
    <row r="489" spans="1:12" x14ac:dyDescent="0.25">
      <c r="A489" s="2">
        <v>0</v>
      </c>
      <c r="B489" s="4">
        <v>19</v>
      </c>
      <c r="C489" s="4">
        <v>24</v>
      </c>
      <c r="D489" s="4">
        <v>0</v>
      </c>
      <c r="E489" s="4" t="s">
        <v>11</v>
      </c>
      <c r="F489" s="4" t="s">
        <v>12</v>
      </c>
      <c r="G489" s="4" t="s">
        <v>10</v>
      </c>
      <c r="H489" s="4">
        <v>1796.1185114739883</v>
      </c>
      <c r="I489" s="4">
        <v>2113.0806017341047</v>
      </c>
      <c r="J489" s="2">
        <f>VLOOKUP(A489,Planilha1!A:M,13,0)</f>
        <v>2511.8220480829059</v>
      </c>
      <c r="K489" s="10">
        <f t="shared" si="14"/>
        <v>715.7035366089176</v>
      </c>
      <c r="L489" s="10">
        <f t="shared" si="15"/>
        <v>316.96209026011638</v>
      </c>
    </row>
    <row r="490" spans="1:12" x14ac:dyDescent="0.25">
      <c r="A490" s="2">
        <v>2</v>
      </c>
      <c r="B490" s="4">
        <v>44</v>
      </c>
      <c r="C490" s="4">
        <v>38.1</v>
      </c>
      <c r="D490" s="4">
        <v>0</v>
      </c>
      <c r="E490" s="4" t="s">
        <v>8</v>
      </c>
      <c r="F490" s="4" t="s">
        <v>9</v>
      </c>
      <c r="G490" s="4" t="s">
        <v>13</v>
      </c>
      <c r="H490" s="4">
        <v>4002.1368845254865</v>
      </c>
      <c r="I490" s="4">
        <v>3811.5589376433218</v>
      </c>
      <c r="J490" s="2">
        <f>VLOOKUP(A490,Planilha1!A:M,13,0)</f>
        <v>3220.2324129890262</v>
      </c>
      <c r="K490" s="10">
        <f t="shared" si="14"/>
        <v>-781.90447153646028</v>
      </c>
      <c r="L490" s="10">
        <f t="shared" si="15"/>
        <v>-190.57794688216472</v>
      </c>
    </row>
    <row r="491" spans="1:12" x14ac:dyDescent="0.25">
      <c r="A491" s="2">
        <v>1</v>
      </c>
      <c r="B491" s="4">
        <v>53</v>
      </c>
      <c r="C491" s="4">
        <v>31.2</v>
      </c>
      <c r="D491" s="4">
        <v>1</v>
      </c>
      <c r="E491" s="4" t="s">
        <v>11</v>
      </c>
      <c r="F491" s="4" t="s">
        <v>12</v>
      </c>
      <c r="G491" s="4" t="s">
        <v>14</v>
      </c>
      <c r="H491" s="4">
        <v>4097.521764009537</v>
      </c>
      <c r="I491" s="4">
        <v>3902.4016800090844</v>
      </c>
      <c r="J491" s="2">
        <f>VLOOKUP(A491,Planilha1!A:M,13,0)</f>
        <v>6326.3485212104815</v>
      </c>
      <c r="K491" s="10">
        <f t="shared" si="14"/>
        <v>2228.8267572009445</v>
      </c>
      <c r="L491" s="10">
        <f t="shared" si="15"/>
        <v>-195.12008400045261</v>
      </c>
    </row>
    <row r="492" spans="1:12" x14ac:dyDescent="0.25">
      <c r="A492" s="2">
        <v>0</v>
      </c>
      <c r="B492" s="4">
        <v>19</v>
      </c>
      <c r="C492" s="4">
        <v>23.1</v>
      </c>
      <c r="D492" s="4">
        <v>0</v>
      </c>
      <c r="E492" s="4" t="s">
        <v>8</v>
      </c>
      <c r="F492" s="4" t="s">
        <v>12</v>
      </c>
      <c r="G492" s="4" t="s">
        <v>10</v>
      </c>
      <c r="H492" s="4">
        <v>1584.1220626450724</v>
      </c>
      <c r="I492" s="4">
        <v>1863.6730148765566</v>
      </c>
      <c r="J492" s="2">
        <f>VLOOKUP(A492,Planilha1!A:M,13,0)</f>
        <v>2511.8220480829059</v>
      </c>
      <c r="K492" s="10">
        <f t="shared" si="14"/>
        <v>927.69998543783345</v>
      </c>
      <c r="L492" s="10">
        <f t="shared" si="15"/>
        <v>279.55095223148419</v>
      </c>
    </row>
    <row r="493" spans="1:12" x14ac:dyDescent="0.25">
      <c r="A493" s="2">
        <v>1</v>
      </c>
      <c r="B493" s="4">
        <v>61</v>
      </c>
      <c r="C493" s="4">
        <v>25.1</v>
      </c>
      <c r="D493" s="4">
        <v>0</v>
      </c>
      <c r="E493" s="4" t="s">
        <v>8</v>
      </c>
      <c r="F493" s="4" t="s">
        <v>12</v>
      </c>
      <c r="G493" s="4" t="s">
        <v>13</v>
      </c>
      <c r="H493" s="4">
        <v>4387.6699702227552</v>
      </c>
      <c r="I493" s="4">
        <v>4178.7333049740537</v>
      </c>
      <c r="J493" s="2">
        <f>VLOOKUP(A493,Planilha1!A:M,13,0)</f>
        <v>6326.3485212104815</v>
      </c>
      <c r="K493" s="10">
        <f t="shared" si="14"/>
        <v>1938.6785509877263</v>
      </c>
      <c r="L493" s="10">
        <f t="shared" si="15"/>
        <v>-208.9366652487015</v>
      </c>
    </row>
    <row r="494" spans="1:12" x14ac:dyDescent="0.25">
      <c r="A494" s="2">
        <v>0</v>
      </c>
      <c r="B494" s="4">
        <v>18</v>
      </c>
      <c r="C494" s="4">
        <v>23.9</v>
      </c>
      <c r="D494" s="4">
        <v>0</v>
      </c>
      <c r="E494" s="4" t="s">
        <v>8</v>
      </c>
      <c r="F494" s="4" t="s">
        <v>12</v>
      </c>
      <c r="G494" s="4" t="s">
        <v>15</v>
      </c>
      <c r="H494" s="4">
        <v>1989.9991666581186</v>
      </c>
      <c r="I494" s="4">
        <v>2341.1754901860222</v>
      </c>
      <c r="J494" s="2">
        <f>VLOOKUP(A494,Planilha1!A:M,13,0)</f>
        <v>2511.8220480829059</v>
      </c>
      <c r="K494" s="10">
        <f t="shared" si="14"/>
        <v>521.82288142478728</v>
      </c>
      <c r="L494" s="10">
        <f t="shared" si="15"/>
        <v>351.17632352790361</v>
      </c>
    </row>
    <row r="495" spans="1:12" x14ac:dyDescent="0.25">
      <c r="A495" s="2">
        <v>1</v>
      </c>
      <c r="B495" s="4">
        <v>61</v>
      </c>
      <c r="C495" s="4">
        <v>43.4</v>
      </c>
      <c r="D495" s="4">
        <v>0</v>
      </c>
      <c r="E495" s="4" t="s">
        <v>11</v>
      </c>
      <c r="F495" s="4" t="s">
        <v>12</v>
      </c>
      <c r="G495" s="4" t="s">
        <v>10</v>
      </c>
      <c r="H495" s="4">
        <v>5310.1371469238056</v>
      </c>
      <c r="I495" s="4">
        <v>5057.2734732607696</v>
      </c>
      <c r="J495" s="2">
        <f>VLOOKUP(A495,Planilha1!A:M,13,0)</f>
        <v>6326.3485212104815</v>
      </c>
      <c r="K495" s="10">
        <f t="shared" si="14"/>
        <v>1016.2113742866759</v>
      </c>
      <c r="L495" s="10">
        <f t="shared" si="15"/>
        <v>-252.86367366303602</v>
      </c>
    </row>
    <row r="496" spans="1:12" x14ac:dyDescent="0.25">
      <c r="A496" s="2">
        <v>2</v>
      </c>
      <c r="B496" s="4">
        <v>21</v>
      </c>
      <c r="C496" s="4">
        <v>25.7</v>
      </c>
      <c r="D496" s="4">
        <v>4</v>
      </c>
      <c r="E496" s="4" t="s">
        <v>11</v>
      </c>
      <c r="F496" s="4" t="s">
        <v>9</v>
      </c>
      <c r="G496" s="4" t="s">
        <v>10</v>
      </c>
      <c r="H496" s="4">
        <v>1745.1709513499152</v>
      </c>
      <c r="I496" s="4">
        <v>2326.8946017998869</v>
      </c>
      <c r="J496" s="2">
        <f>VLOOKUP(A496,Planilha1!A:M,13,0)</f>
        <v>3220.2324129890262</v>
      </c>
      <c r="K496" s="10">
        <f t="shared" si="14"/>
        <v>1475.061461639111</v>
      </c>
      <c r="L496" s="10">
        <f t="shared" si="15"/>
        <v>581.72365044997173</v>
      </c>
    </row>
    <row r="497" spans="1:12" x14ac:dyDescent="0.25">
      <c r="A497" s="2">
        <v>0</v>
      </c>
      <c r="B497" s="4">
        <v>20</v>
      </c>
      <c r="C497" s="4">
        <v>22.3</v>
      </c>
      <c r="D497" s="4">
        <v>0</v>
      </c>
      <c r="E497" s="4" t="s">
        <v>11</v>
      </c>
      <c r="F497" s="4" t="s">
        <v>12</v>
      </c>
      <c r="G497" s="4" t="s">
        <v>15</v>
      </c>
      <c r="H497" s="4">
        <v>1888.2559479512292</v>
      </c>
      <c r="I497" s="4">
        <v>2221.4775858249768</v>
      </c>
      <c r="J497" s="2">
        <f>VLOOKUP(A497,Planilha1!A:M,13,0)</f>
        <v>2511.8220480829059</v>
      </c>
      <c r="K497" s="10">
        <f t="shared" si="14"/>
        <v>623.56610013167665</v>
      </c>
      <c r="L497" s="10">
        <f t="shared" si="15"/>
        <v>333.22163787374757</v>
      </c>
    </row>
    <row r="498" spans="1:12" x14ac:dyDescent="0.25">
      <c r="A498" s="2">
        <v>0</v>
      </c>
      <c r="B498" s="4">
        <v>31</v>
      </c>
      <c r="C498" s="4">
        <v>23.6</v>
      </c>
      <c r="D498" s="4">
        <v>2</v>
      </c>
      <c r="E498" s="4" t="s">
        <v>8</v>
      </c>
      <c r="F498" s="4" t="s">
        <v>12</v>
      </c>
      <c r="G498" s="4" t="s">
        <v>10</v>
      </c>
      <c r="H498" s="4">
        <v>1786.0312721691275</v>
      </c>
      <c r="I498" s="4">
        <v>2101.2132613754447</v>
      </c>
      <c r="J498" s="2">
        <f>VLOOKUP(A498,Planilha1!A:M,13,0)</f>
        <v>2511.8220480829059</v>
      </c>
      <c r="K498" s="10">
        <f t="shared" si="14"/>
        <v>725.79077591377836</v>
      </c>
      <c r="L498" s="10">
        <f t="shared" si="15"/>
        <v>315.18198920631721</v>
      </c>
    </row>
    <row r="499" spans="1:12" x14ac:dyDescent="0.25">
      <c r="A499" s="2">
        <v>3</v>
      </c>
      <c r="B499" s="4">
        <v>45</v>
      </c>
      <c r="C499" s="4">
        <v>28.7</v>
      </c>
      <c r="D499" s="4">
        <v>2</v>
      </c>
      <c r="E499" s="4" t="s">
        <v>11</v>
      </c>
      <c r="F499" s="4" t="s">
        <v>12</v>
      </c>
      <c r="G499" s="4" t="s">
        <v>10</v>
      </c>
      <c r="H499" s="4">
        <v>2245.0808398913714</v>
      </c>
      <c r="I499" s="4">
        <v>2993.4411198551616</v>
      </c>
      <c r="J499" s="2">
        <f>VLOOKUP(A499,Planilha1!A:M,13,0)</f>
        <v>3049.3550806113421</v>
      </c>
      <c r="K499" s="10">
        <f t="shared" si="14"/>
        <v>804.27424071997075</v>
      </c>
      <c r="L499" s="10">
        <f t="shared" si="15"/>
        <v>748.36027996379016</v>
      </c>
    </row>
    <row r="500" spans="1:12" x14ac:dyDescent="0.25">
      <c r="A500" s="2">
        <v>3</v>
      </c>
      <c r="B500" s="4">
        <v>44</v>
      </c>
      <c r="C500" s="4">
        <v>24</v>
      </c>
      <c r="D500" s="4">
        <v>2</v>
      </c>
      <c r="E500" s="4" t="s">
        <v>8</v>
      </c>
      <c r="F500" s="4" t="s">
        <v>12</v>
      </c>
      <c r="G500" s="4" t="s">
        <v>13</v>
      </c>
      <c r="H500" s="4">
        <v>1227.2931857917197</v>
      </c>
      <c r="I500" s="4">
        <v>1636.3909143889596</v>
      </c>
      <c r="J500" s="2">
        <f>VLOOKUP(A500,Planilha1!A:M,13,0)</f>
        <v>3049.3550806113421</v>
      </c>
      <c r="K500" s="10">
        <f t="shared" si="14"/>
        <v>1822.0618948196225</v>
      </c>
      <c r="L500" s="10">
        <f t="shared" si="15"/>
        <v>409.09772859723989</v>
      </c>
    </row>
    <row r="501" spans="1:12" x14ac:dyDescent="0.25">
      <c r="A501" s="2">
        <v>1</v>
      </c>
      <c r="B501" s="4">
        <v>62</v>
      </c>
      <c r="C501" s="4">
        <v>39.200000000000003</v>
      </c>
      <c r="D501" s="4">
        <v>0</v>
      </c>
      <c r="E501" s="4" t="s">
        <v>8</v>
      </c>
      <c r="F501" s="4" t="s">
        <v>12</v>
      </c>
      <c r="G501" s="4" t="s">
        <v>10</v>
      </c>
      <c r="H501" s="4">
        <v>6168.2013606418204</v>
      </c>
      <c r="I501" s="4">
        <v>5874.4774863255443</v>
      </c>
      <c r="J501" s="2">
        <f>VLOOKUP(A501,Planilha1!A:M,13,0)</f>
        <v>6326.3485212104815</v>
      </c>
      <c r="K501" s="10">
        <f t="shared" si="14"/>
        <v>158.14716056866109</v>
      </c>
      <c r="L501" s="10">
        <f t="shared" si="15"/>
        <v>-293.72387431627612</v>
      </c>
    </row>
    <row r="502" spans="1:12" x14ac:dyDescent="0.25">
      <c r="A502" s="2">
        <v>2</v>
      </c>
      <c r="B502" s="4">
        <v>29</v>
      </c>
      <c r="C502" s="4">
        <v>20.100000000000001</v>
      </c>
      <c r="D502" s="4">
        <v>0</v>
      </c>
      <c r="E502" s="4" t="s">
        <v>11</v>
      </c>
      <c r="F502" s="4" t="s">
        <v>9</v>
      </c>
      <c r="G502" s="4" t="s">
        <v>10</v>
      </c>
      <c r="H502" s="4">
        <v>1337.9578212217898</v>
      </c>
      <c r="I502" s="4">
        <v>1574.0680249668119</v>
      </c>
      <c r="J502" s="2">
        <f>VLOOKUP(A502,Planilha1!A:M,13,0)</f>
        <v>3220.2324129890262</v>
      </c>
      <c r="K502" s="10">
        <f t="shared" si="14"/>
        <v>1882.2745917672364</v>
      </c>
      <c r="L502" s="10">
        <f t="shared" si="15"/>
        <v>236.11020374502209</v>
      </c>
    </row>
    <row r="503" spans="1:12" x14ac:dyDescent="0.25">
      <c r="A503" s="2">
        <v>1</v>
      </c>
      <c r="B503" s="4">
        <v>43</v>
      </c>
      <c r="C503" s="4">
        <v>26</v>
      </c>
      <c r="D503" s="4">
        <v>0</v>
      </c>
      <c r="E503" s="4" t="s">
        <v>11</v>
      </c>
      <c r="F503" s="4" t="s">
        <v>12</v>
      </c>
      <c r="G503" s="4" t="s">
        <v>15</v>
      </c>
      <c r="H503" s="4">
        <v>3756.7167781780759</v>
      </c>
      <c r="I503" s="4">
        <v>3577.8255030267405</v>
      </c>
      <c r="J503" s="2">
        <f>VLOOKUP(A503,Planilha1!A:M,13,0)</f>
        <v>6326.3485212104815</v>
      </c>
      <c r="K503" s="10">
        <f t="shared" si="14"/>
        <v>2569.6317430324057</v>
      </c>
      <c r="L503" s="10">
        <f t="shared" si="15"/>
        <v>-178.89127515133532</v>
      </c>
    </row>
    <row r="504" spans="1:12" x14ac:dyDescent="0.25">
      <c r="A504" s="2">
        <v>2</v>
      </c>
      <c r="B504" s="4">
        <v>51</v>
      </c>
      <c r="C504" s="4">
        <v>23.2</v>
      </c>
      <c r="D504" s="4">
        <v>1</v>
      </c>
      <c r="E504" s="4" t="s">
        <v>11</v>
      </c>
      <c r="F504" s="4" t="s">
        <v>9</v>
      </c>
      <c r="G504" s="4" t="s">
        <v>13</v>
      </c>
      <c r="H504" s="4">
        <v>5631.8176221398426</v>
      </c>
      <c r="I504" s="4">
        <v>5363.6358306093753</v>
      </c>
      <c r="J504" s="2">
        <f>VLOOKUP(A504,Planilha1!A:M,13,0)</f>
        <v>3220.2324129890262</v>
      </c>
      <c r="K504" s="10">
        <f t="shared" si="14"/>
        <v>-2411.5852091508164</v>
      </c>
      <c r="L504" s="10">
        <f t="shared" si="15"/>
        <v>-268.18179153046731</v>
      </c>
    </row>
    <row r="505" spans="1:12" x14ac:dyDescent="0.25">
      <c r="A505" s="2">
        <v>2</v>
      </c>
      <c r="B505" s="4">
        <v>19</v>
      </c>
      <c r="C505" s="4">
        <v>22.6</v>
      </c>
      <c r="D505" s="4">
        <v>0</v>
      </c>
      <c r="E505" s="4" t="s">
        <v>11</v>
      </c>
      <c r="F505" s="4" t="s">
        <v>9</v>
      </c>
      <c r="G505" s="4" t="s">
        <v>13</v>
      </c>
      <c r="H505" s="4">
        <v>1936.4079371319831</v>
      </c>
      <c r="I505" s="4">
        <v>2278.1269848611569</v>
      </c>
      <c r="J505" s="2">
        <f>VLOOKUP(A505,Planilha1!A:M,13,0)</f>
        <v>3220.2324129890262</v>
      </c>
      <c r="K505" s="10">
        <f t="shared" si="14"/>
        <v>1283.8244758570431</v>
      </c>
      <c r="L505" s="10">
        <f t="shared" si="15"/>
        <v>341.71904772917378</v>
      </c>
    </row>
    <row r="506" spans="1:12" x14ac:dyDescent="0.25">
      <c r="A506" s="2">
        <v>0</v>
      </c>
      <c r="B506" s="4">
        <v>38</v>
      </c>
      <c r="C506" s="4">
        <v>21.6</v>
      </c>
      <c r="D506" s="4">
        <v>1</v>
      </c>
      <c r="E506" s="4" t="s">
        <v>8</v>
      </c>
      <c r="F506" s="4" t="s">
        <v>12</v>
      </c>
      <c r="G506" s="4" t="s">
        <v>13</v>
      </c>
      <c r="H506" s="4">
        <v>1768.4746985156994</v>
      </c>
      <c r="I506" s="4">
        <v>2080.5584688419999</v>
      </c>
      <c r="J506" s="2">
        <f>VLOOKUP(A506,Planilha1!A:M,13,0)</f>
        <v>2511.8220480829059</v>
      </c>
      <c r="K506" s="10">
        <f t="shared" si="14"/>
        <v>743.34734956720649</v>
      </c>
      <c r="L506" s="10">
        <f t="shared" si="15"/>
        <v>312.08377032630051</v>
      </c>
    </row>
    <row r="507" spans="1:12" x14ac:dyDescent="0.25">
      <c r="A507" s="2">
        <v>3</v>
      </c>
      <c r="B507" s="4">
        <v>37</v>
      </c>
      <c r="C507" s="4">
        <v>30.9</v>
      </c>
      <c r="D507" s="4">
        <v>3</v>
      </c>
      <c r="E507" s="4" t="s">
        <v>11</v>
      </c>
      <c r="F507" s="4" t="s">
        <v>12</v>
      </c>
      <c r="G507" s="4" t="s">
        <v>14</v>
      </c>
      <c r="H507" s="4">
        <v>2682.6525386248545</v>
      </c>
      <c r="I507" s="4">
        <v>3576.8700514998059</v>
      </c>
      <c r="J507" s="2">
        <f>VLOOKUP(A507,Planilha1!A:M,13,0)</f>
        <v>3049.3550806113421</v>
      </c>
      <c r="K507" s="10">
        <f t="shared" si="14"/>
        <v>366.70254198648763</v>
      </c>
      <c r="L507" s="10">
        <f t="shared" si="15"/>
        <v>894.21751287495135</v>
      </c>
    </row>
    <row r="508" spans="1:12" x14ac:dyDescent="0.25">
      <c r="A508" s="2">
        <v>0</v>
      </c>
      <c r="B508" s="4">
        <v>22</v>
      </c>
      <c r="C508" s="4">
        <v>20.2</v>
      </c>
      <c r="D508" s="4">
        <v>1</v>
      </c>
      <c r="E508" s="4" t="s">
        <v>11</v>
      </c>
      <c r="F508" s="4" t="s">
        <v>12</v>
      </c>
      <c r="G508" s="4" t="s">
        <v>14</v>
      </c>
      <c r="H508" s="4">
        <v>1536.0162378935877</v>
      </c>
      <c r="I508" s="4">
        <v>1807.0779269336335</v>
      </c>
      <c r="J508" s="2">
        <f>VLOOKUP(A508,Planilha1!A:M,13,0)</f>
        <v>2511.8220480829059</v>
      </c>
      <c r="K508" s="10">
        <f t="shared" si="14"/>
        <v>975.80581018931821</v>
      </c>
      <c r="L508" s="10">
        <f t="shared" si="15"/>
        <v>271.06168904004585</v>
      </c>
    </row>
    <row r="509" spans="1:12" x14ac:dyDescent="0.25">
      <c r="A509" s="2">
        <v>0</v>
      </c>
      <c r="B509" s="4">
        <v>21</v>
      </c>
      <c r="C509" s="4">
        <v>22.5</v>
      </c>
      <c r="D509" s="4">
        <v>2</v>
      </c>
      <c r="E509" s="4" t="s">
        <v>11</v>
      </c>
      <c r="F509" s="4" t="s">
        <v>12</v>
      </c>
      <c r="G509" s="4" t="s">
        <v>14</v>
      </c>
      <c r="H509" s="4">
        <v>2329.1636619968713</v>
      </c>
      <c r="I509" s="4">
        <v>2740.1925435257313</v>
      </c>
      <c r="J509" s="2">
        <f>VLOOKUP(A509,Planilha1!A:M,13,0)</f>
        <v>2511.8220480829059</v>
      </c>
      <c r="K509" s="10">
        <f t="shared" si="14"/>
        <v>182.65838608603462</v>
      </c>
      <c r="L509" s="10">
        <f t="shared" si="15"/>
        <v>411.02888152885998</v>
      </c>
    </row>
    <row r="510" spans="1:12" x14ac:dyDescent="0.25">
      <c r="A510" s="2">
        <v>0</v>
      </c>
      <c r="B510" s="4">
        <v>24</v>
      </c>
      <c r="C510" s="4">
        <v>20.2</v>
      </c>
      <c r="D510" s="4">
        <v>0</v>
      </c>
      <c r="E510" s="4" t="s">
        <v>8</v>
      </c>
      <c r="F510" s="4" t="s">
        <v>12</v>
      </c>
      <c r="G510" s="4" t="s">
        <v>15</v>
      </c>
      <c r="H510" s="4">
        <v>1943.7571164739311</v>
      </c>
      <c r="I510" s="4">
        <v>2286.7730782046256</v>
      </c>
      <c r="J510" s="2">
        <f>VLOOKUP(A510,Planilha1!A:M,13,0)</f>
        <v>2511.8220480829059</v>
      </c>
      <c r="K510" s="10">
        <f t="shared" si="14"/>
        <v>568.0649316089748</v>
      </c>
      <c r="L510" s="10">
        <f t="shared" si="15"/>
        <v>343.01596173069447</v>
      </c>
    </row>
    <row r="511" spans="1:12" x14ac:dyDescent="0.25">
      <c r="A511" s="2">
        <v>1</v>
      </c>
      <c r="B511" s="4">
        <v>57</v>
      </c>
      <c r="C511" s="4">
        <v>28.7</v>
      </c>
      <c r="D511" s="4">
        <v>0</v>
      </c>
      <c r="E511" s="4" t="s">
        <v>8</v>
      </c>
      <c r="F511" s="4" t="s">
        <v>12</v>
      </c>
      <c r="G511" s="4" t="s">
        <v>10</v>
      </c>
      <c r="H511" s="4">
        <v>5025.5580692983685</v>
      </c>
      <c r="I511" s="4">
        <v>4786.2457802841618</v>
      </c>
      <c r="J511" s="2">
        <f>VLOOKUP(A511,Planilha1!A:M,13,0)</f>
        <v>6326.3485212104815</v>
      </c>
      <c r="K511" s="10">
        <f t="shared" si="14"/>
        <v>1300.790451912113</v>
      </c>
      <c r="L511" s="10">
        <f t="shared" si="15"/>
        <v>-239.31228901420673</v>
      </c>
    </row>
    <row r="512" spans="1:12" x14ac:dyDescent="0.25">
      <c r="A512" s="2">
        <v>1</v>
      </c>
      <c r="B512" s="4">
        <v>56</v>
      </c>
      <c r="C512" s="4">
        <v>32.1</v>
      </c>
      <c r="D512" s="4">
        <v>1</v>
      </c>
      <c r="E512" s="4" t="s">
        <v>11</v>
      </c>
      <c r="F512" s="4" t="s">
        <v>12</v>
      </c>
      <c r="G512" s="4" t="s">
        <v>15</v>
      </c>
      <c r="H512" s="4">
        <v>6063.4353786418051</v>
      </c>
      <c r="I512" s="4">
        <v>5774.7003606112448</v>
      </c>
      <c r="J512" s="2">
        <f>VLOOKUP(A512,Planilha1!A:M,13,0)</f>
        <v>6326.3485212104815</v>
      </c>
      <c r="K512" s="10">
        <f t="shared" si="14"/>
        <v>262.91314256867645</v>
      </c>
      <c r="L512" s="10">
        <f t="shared" si="15"/>
        <v>-288.73501803056024</v>
      </c>
    </row>
    <row r="513" spans="1:12" x14ac:dyDescent="0.25">
      <c r="A513" s="2">
        <v>0</v>
      </c>
      <c r="B513" s="4">
        <v>27</v>
      </c>
      <c r="C513" s="4">
        <v>21.2</v>
      </c>
      <c r="D513" s="4">
        <v>0</v>
      </c>
      <c r="E513" s="4" t="s">
        <v>11</v>
      </c>
      <c r="F513" s="4" t="s">
        <v>12</v>
      </c>
      <c r="G513" s="4" t="s">
        <v>13</v>
      </c>
      <c r="H513" s="4">
        <v>1432.9797377299371</v>
      </c>
      <c r="I513" s="4">
        <v>1685.8585149763976</v>
      </c>
      <c r="J513" s="2">
        <f>VLOOKUP(A513,Planilha1!A:M,13,0)</f>
        <v>2511.8220480829059</v>
      </c>
      <c r="K513" s="10">
        <f t="shared" si="14"/>
        <v>1078.8423103529688</v>
      </c>
      <c r="L513" s="10">
        <f t="shared" si="15"/>
        <v>252.87877724646046</v>
      </c>
    </row>
    <row r="514" spans="1:12" x14ac:dyDescent="0.25">
      <c r="A514" s="2">
        <v>1</v>
      </c>
      <c r="B514" s="4">
        <v>51</v>
      </c>
      <c r="C514" s="4">
        <v>22.4</v>
      </c>
      <c r="D514" s="4">
        <v>0</v>
      </c>
      <c r="E514" s="4" t="s">
        <v>11</v>
      </c>
      <c r="F514" s="4" t="s">
        <v>12</v>
      </c>
      <c r="G514" s="4" t="s">
        <v>15</v>
      </c>
      <c r="H514" s="4">
        <v>5088.8506533933705</v>
      </c>
      <c r="I514" s="4">
        <v>4846.5244318032119</v>
      </c>
      <c r="J514" s="2">
        <f>VLOOKUP(A514,Planilha1!A:M,13,0)</f>
        <v>6326.3485212104815</v>
      </c>
      <c r="K514" s="10">
        <f t="shared" si="14"/>
        <v>1237.497867817111</v>
      </c>
      <c r="L514" s="10">
        <f t="shared" si="15"/>
        <v>-242.32622159015864</v>
      </c>
    </row>
    <row r="515" spans="1:12" x14ac:dyDescent="0.25">
      <c r="A515" s="2">
        <v>0</v>
      </c>
      <c r="B515" s="4">
        <v>19</v>
      </c>
      <c r="C515" s="4">
        <v>21.8</v>
      </c>
      <c r="D515" s="4">
        <v>0</v>
      </c>
      <c r="E515" s="4" t="s">
        <v>11</v>
      </c>
      <c r="F515" s="4" t="s">
        <v>12</v>
      </c>
      <c r="G515" s="4" t="s">
        <v>10</v>
      </c>
      <c r="H515" s="4">
        <v>1479.2219071066434</v>
      </c>
      <c r="I515" s="4">
        <v>1740.2610671842872</v>
      </c>
      <c r="J515" s="2">
        <f>VLOOKUP(A515,Planilha1!A:M,13,0)</f>
        <v>2511.8220480829059</v>
      </c>
      <c r="K515" s="10">
        <f t="shared" ref="K515:K578" si="16">J515-H515</f>
        <v>1032.6001409762625</v>
      </c>
      <c r="L515" s="10">
        <f t="shared" ref="L515:L578" si="17">I515-H515</f>
        <v>261.03916007764383</v>
      </c>
    </row>
    <row r="516" spans="1:12" x14ac:dyDescent="0.25">
      <c r="A516" s="2">
        <v>2</v>
      </c>
      <c r="B516" s="4">
        <v>39</v>
      </c>
      <c r="C516" s="4">
        <v>21.6</v>
      </c>
      <c r="D516" s="4">
        <v>1</v>
      </c>
      <c r="E516" s="4" t="s">
        <v>11</v>
      </c>
      <c r="F516" s="4" t="s">
        <v>9</v>
      </c>
      <c r="G516" s="4" t="s">
        <v>10</v>
      </c>
      <c r="H516" s="4">
        <v>1397.6273745838403</v>
      </c>
      <c r="I516" s="4">
        <v>1644.267499510401</v>
      </c>
      <c r="J516" s="2">
        <f>VLOOKUP(A516,Planilha1!A:M,13,0)</f>
        <v>3220.2324129890262</v>
      </c>
      <c r="K516" s="10">
        <f t="shared" si="16"/>
        <v>1822.605038405186</v>
      </c>
      <c r="L516" s="10">
        <f t="shared" si="17"/>
        <v>246.6401249265607</v>
      </c>
    </row>
    <row r="517" spans="1:12" x14ac:dyDescent="0.25">
      <c r="A517" s="2">
        <v>1</v>
      </c>
      <c r="B517" s="4">
        <v>58</v>
      </c>
      <c r="C517" s="4">
        <v>35.700000000000003</v>
      </c>
      <c r="D517" s="4">
        <v>0</v>
      </c>
      <c r="E517" s="4" t="s">
        <v>11</v>
      </c>
      <c r="F517" s="4" t="s">
        <v>12</v>
      </c>
      <c r="G517" s="4" t="s">
        <v>10</v>
      </c>
      <c r="H517" s="4">
        <v>5622.3306521329914</v>
      </c>
      <c r="I517" s="4">
        <v>5354.600621079042</v>
      </c>
      <c r="J517" s="2">
        <f>VLOOKUP(A517,Planilha1!A:M,13,0)</f>
        <v>6326.3485212104815</v>
      </c>
      <c r="K517" s="10">
        <f t="shared" si="16"/>
        <v>704.0178690774901</v>
      </c>
      <c r="L517" s="10">
        <f t="shared" si="17"/>
        <v>-267.73003105394946</v>
      </c>
    </row>
    <row r="518" spans="1:12" x14ac:dyDescent="0.25">
      <c r="A518" s="2">
        <v>0</v>
      </c>
      <c r="B518" s="4">
        <v>20</v>
      </c>
      <c r="C518" s="4">
        <v>25.3</v>
      </c>
      <c r="D518" s="4">
        <v>1</v>
      </c>
      <c r="E518" s="4" t="s">
        <v>11</v>
      </c>
      <c r="F518" s="4" t="s">
        <v>12</v>
      </c>
      <c r="G518" s="4" t="s">
        <v>13</v>
      </c>
      <c r="H518" s="4">
        <v>2408.398053476044</v>
      </c>
      <c r="I518" s="4">
        <v>2833.4094746776991</v>
      </c>
      <c r="J518" s="2">
        <f>VLOOKUP(A518,Planilha1!A:M,13,0)</f>
        <v>2511.8220480829059</v>
      </c>
      <c r="K518" s="10">
        <f t="shared" si="16"/>
        <v>103.42399460686192</v>
      </c>
      <c r="L518" s="10">
        <f t="shared" si="17"/>
        <v>425.01142120165514</v>
      </c>
    </row>
    <row r="519" spans="1:12" x14ac:dyDescent="0.25">
      <c r="A519" s="2">
        <v>3</v>
      </c>
      <c r="B519" s="4">
        <v>45</v>
      </c>
      <c r="C519" s="4">
        <v>30.5</v>
      </c>
      <c r="D519" s="4">
        <v>2</v>
      </c>
      <c r="E519" s="4" t="s">
        <v>11</v>
      </c>
      <c r="F519" s="4" t="s">
        <v>12</v>
      </c>
      <c r="G519" s="4" t="s">
        <v>14</v>
      </c>
      <c r="H519" s="4">
        <v>1803.0635348309684</v>
      </c>
      <c r="I519" s="4">
        <v>2404.0847131079577</v>
      </c>
      <c r="J519" s="2">
        <f>VLOOKUP(A519,Planilha1!A:M,13,0)</f>
        <v>3049.3550806113421</v>
      </c>
      <c r="K519" s="10">
        <f t="shared" si="16"/>
        <v>1246.2915457803738</v>
      </c>
      <c r="L519" s="10">
        <f t="shared" si="17"/>
        <v>601.0211782769893</v>
      </c>
    </row>
    <row r="520" spans="1:12" x14ac:dyDescent="0.25">
      <c r="A520" s="2">
        <v>0</v>
      </c>
      <c r="B520" s="4">
        <v>35</v>
      </c>
      <c r="C520" s="4">
        <v>23.1</v>
      </c>
      <c r="D520" s="4">
        <v>1</v>
      </c>
      <c r="E520" s="4" t="s">
        <v>8</v>
      </c>
      <c r="F520" s="4" t="s">
        <v>12</v>
      </c>
      <c r="G520" s="4" t="s">
        <v>10</v>
      </c>
      <c r="H520" s="4">
        <v>2487.1312699541559</v>
      </c>
      <c r="I520" s="4">
        <v>2926.0367881813609</v>
      </c>
      <c r="J520" s="2">
        <f>VLOOKUP(A520,Planilha1!A:M,13,0)</f>
        <v>2511.8220480829059</v>
      </c>
      <c r="K520" s="10">
        <f t="shared" si="16"/>
        <v>24.690778128750026</v>
      </c>
      <c r="L520" s="10">
        <f t="shared" si="17"/>
        <v>438.90551822720499</v>
      </c>
    </row>
    <row r="521" spans="1:12" x14ac:dyDescent="0.25">
      <c r="A521" s="2">
        <v>0</v>
      </c>
      <c r="B521" s="4">
        <v>31</v>
      </c>
      <c r="C521" s="4">
        <v>24.5</v>
      </c>
      <c r="D521" s="4">
        <v>0</v>
      </c>
      <c r="E521" s="4" t="s">
        <v>11</v>
      </c>
      <c r="F521" s="4" t="s">
        <v>12</v>
      </c>
      <c r="G521" s="4" t="s">
        <v>15</v>
      </c>
      <c r="H521" s="4">
        <v>1489.0638569890186</v>
      </c>
      <c r="I521" s="4">
        <v>1751.8398317517874</v>
      </c>
      <c r="J521" s="2">
        <f>VLOOKUP(A521,Planilha1!A:M,13,0)</f>
        <v>2511.8220480829059</v>
      </c>
      <c r="K521" s="10">
        <f t="shared" si="16"/>
        <v>1022.7581910938873</v>
      </c>
      <c r="L521" s="10">
        <f t="shared" si="17"/>
        <v>262.77597476276878</v>
      </c>
    </row>
    <row r="522" spans="1:12" x14ac:dyDescent="0.25">
      <c r="A522" s="2">
        <v>1</v>
      </c>
      <c r="B522" s="4">
        <v>50</v>
      </c>
      <c r="C522" s="4">
        <v>27.4</v>
      </c>
      <c r="D522" s="4">
        <v>0</v>
      </c>
      <c r="E522" s="4" t="s">
        <v>8</v>
      </c>
      <c r="F522" s="4" t="s">
        <v>12</v>
      </c>
      <c r="G522" s="4" t="s">
        <v>15</v>
      </c>
      <c r="H522" s="4">
        <v>5469.0676480045749</v>
      </c>
      <c r="I522" s="4">
        <v>5208.6358552424535</v>
      </c>
      <c r="J522" s="2">
        <f>VLOOKUP(A522,Planilha1!A:M,13,0)</f>
        <v>6326.3485212104815</v>
      </c>
      <c r="K522" s="10">
        <f t="shared" si="16"/>
        <v>857.28087320590657</v>
      </c>
      <c r="L522" s="10">
        <f t="shared" si="17"/>
        <v>-260.4317927621214</v>
      </c>
    </row>
    <row r="523" spans="1:12" x14ac:dyDescent="0.25">
      <c r="A523" s="2">
        <v>0</v>
      </c>
      <c r="B523" s="4">
        <v>32</v>
      </c>
      <c r="C523" s="4">
        <v>24.1</v>
      </c>
      <c r="D523" s="4">
        <v>0</v>
      </c>
      <c r="E523" s="4" t="s">
        <v>8</v>
      </c>
      <c r="F523" s="4" t="s">
        <v>12</v>
      </c>
      <c r="G523" s="4" t="s">
        <v>13</v>
      </c>
      <c r="H523" s="4">
        <v>1531.6509901579836</v>
      </c>
      <c r="I523" s="4">
        <v>1801.9423413623344</v>
      </c>
      <c r="J523" s="2">
        <f>VLOOKUP(A523,Planilha1!A:M,13,0)</f>
        <v>2511.8220480829059</v>
      </c>
      <c r="K523" s="10">
        <f t="shared" si="16"/>
        <v>980.17105792492225</v>
      </c>
      <c r="L523" s="10">
        <f t="shared" si="17"/>
        <v>270.2913512043508</v>
      </c>
    </row>
    <row r="524" spans="1:12" x14ac:dyDescent="0.25">
      <c r="A524" s="2">
        <v>1</v>
      </c>
      <c r="B524" s="4">
        <v>51</v>
      </c>
      <c r="C524" s="4">
        <v>33.9</v>
      </c>
      <c r="D524" s="4">
        <v>0</v>
      </c>
      <c r="E524" s="4" t="s">
        <v>8</v>
      </c>
      <c r="F524" s="4" t="s">
        <v>12</v>
      </c>
      <c r="G524" s="4" t="s">
        <v>15</v>
      </c>
      <c r="H524" s="4">
        <v>4887.1819086940086</v>
      </c>
      <c r="I524" s="4">
        <v>4654.4589606609625</v>
      </c>
      <c r="J524" s="2">
        <f>VLOOKUP(A524,Planilha1!A:M,13,0)</f>
        <v>6326.3485212104815</v>
      </c>
      <c r="K524" s="10">
        <f t="shared" si="16"/>
        <v>1439.1666125164729</v>
      </c>
      <c r="L524" s="10">
        <f t="shared" si="17"/>
        <v>-232.72294803304612</v>
      </c>
    </row>
    <row r="525" spans="1:12" x14ac:dyDescent="0.25">
      <c r="A525" s="2">
        <v>1</v>
      </c>
      <c r="B525" s="4">
        <v>38</v>
      </c>
      <c r="C525" s="4">
        <v>37.700000000000003</v>
      </c>
      <c r="D525" s="4">
        <v>0</v>
      </c>
      <c r="E525" s="4" t="s">
        <v>8</v>
      </c>
      <c r="F525" s="4" t="s">
        <v>12</v>
      </c>
      <c r="G525" s="4" t="s">
        <v>13</v>
      </c>
      <c r="H525" s="4">
        <v>4403.5336112441209</v>
      </c>
      <c r="I525" s="4">
        <v>4193.8415345182129</v>
      </c>
      <c r="J525" s="2">
        <f>VLOOKUP(A525,Planilha1!A:M,13,0)</f>
        <v>6326.3485212104815</v>
      </c>
      <c r="K525" s="10">
        <f t="shared" si="16"/>
        <v>1922.8149099663606</v>
      </c>
      <c r="L525" s="10">
        <f t="shared" si="17"/>
        <v>-209.69207672590801</v>
      </c>
    </row>
    <row r="526" spans="1:12" x14ac:dyDescent="0.25">
      <c r="A526" s="2">
        <v>2</v>
      </c>
      <c r="B526" s="4">
        <v>42</v>
      </c>
      <c r="C526" s="4">
        <v>26.1</v>
      </c>
      <c r="D526" s="4">
        <v>1</v>
      </c>
      <c r="E526" s="4" t="s">
        <v>11</v>
      </c>
      <c r="F526" s="4" t="s">
        <v>9</v>
      </c>
      <c r="G526" s="4" t="s">
        <v>13</v>
      </c>
      <c r="H526" s="4">
        <v>1924.9017004795855</v>
      </c>
      <c r="I526" s="4">
        <v>2264.5902358583367</v>
      </c>
      <c r="J526" s="2">
        <f>VLOOKUP(A526,Planilha1!A:M,13,0)</f>
        <v>3220.2324129890262</v>
      </c>
      <c r="K526" s="10">
        <f t="shared" si="16"/>
        <v>1295.3307125094407</v>
      </c>
      <c r="L526" s="10">
        <f t="shared" si="17"/>
        <v>339.68853537875111</v>
      </c>
    </row>
    <row r="527" spans="1:12" x14ac:dyDescent="0.25">
      <c r="A527" s="2">
        <v>0</v>
      </c>
      <c r="B527" s="4">
        <v>18</v>
      </c>
      <c r="C527" s="4">
        <v>21.5</v>
      </c>
      <c r="D527" s="4">
        <v>0</v>
      </c>
      <c r="E527" s="4" t="s">
        <v>8</v>
      </c>
      <c r="F527" s="4" t="s">
        <v>12</v>
      </c>
      <c r="G527" s="4" t="s">
        <v>13</v>
      </c>
      <c r="H527" s="4">
        <v>1917.2382416386206</v>
      </c>
      <c r="I527" s="4">
        <v>2255.5744019277895</v>
      </c>
      <c r="J527" s="2">
        <f>VLOOKUP(A527,Planilha1!A:M,13,0)</f>
        <v>2511.8220480829059</v>
      </c>
      <c r="K527" s="10">
        <f t="shared" si="16"/>
        <v>594.5838064442853</v>
      </c>
      <c r="L527" s="10">
        <f t="shared" si="17"/>
        <v>338.3361602891689</v>
      </c>
    </row>
    <row r="528" spans="1:12" x14ac:dyDescent="0.25">
      <c r="A528" s="2">
        <v>0</v>
      </c>
      <c r="B528" s="4">
        <v>19</v>
      </c>
      <c r="C528" s="4">
        <v>24.9</v>
      </c>
      <c r="D528" s="4">
        <v>2</v>
      </c>
      <c r="E528" s="4" t="s">
        <v>8</v>
      </c>
      <c r="F528" s="4" t="s">
        <v>12</v>
      </c>
      <c r="G528" s="4" t="s">
        <v>14</v>
      </c>
      <c r="H528" s="4">
        <v>2368.0662929867731</v>
      </c>
      <c r="I528" s="4">
        <v>2785.9603446903216</v>
      </c>
      <c r="J528" s="2">
        <f>VLOOKUP(A528,Planilha1!A:M,13,0)</f>
        <v>2511.8220480829059</v>
      </c>
      <c r="K528" s="10">
        <f t="shared" si="16"/>
        <v>143.75575509613282</v>
      </c>
      <c r="L528" s="10">
        <f t="shared" si="17"/>
        <v>417.89405170354848</v>
      </c>
    </row>
    <row r="529" spans="1:12" x14ac:dyDescent="0.25">
      <c r="A529" s="2">
        <v>1</v>
      </c>
      <c r="B529" s="4">
        <v>51</v>
      </c>
      <c r="C529" s="4">
        <v>25.8</v>
      </c>
      <c r="D529" s="4">
        <v>1</v>
      </c>
      <c r="E529" s="4" t="s">
        <v>8</v>
      </c>
      <c r="F529" s="4" t="s">
        <v>12</v>
      </c>
      <c r="G529" s="4" t="s">
        <v>10</v>
      </c>
      <c r="H529" s="4">
        <v>4631.6930105639885</v>
      </c>
      <c r="I529" s="4">
        <v>4411.1362005371338</v>
      </c>
      <c r="J529" s="2">
        <f>VLOOKUP(A529,Planilha1!A:M,13,0)</f>
        <v>6326.3485212104815</v>
      </c>
      <c r="K529" s="10">
        <f t="shared" si="16"/>
        <v>1694.655510646493</v>
      </c>
      <c r="L529" s="10">
        <f t="shared" si="17"/>
        <v>-220.55681002685469</v>
      </c>
    </row>
    <row r="530" spans="1:12" x14ac:dyDescent="0.25">
      <c r="A530" s="2">
        <v>1</v>
      </c>
      <c r="B530" s="4">
        <v>46</v>
      </c>
      <c r="C530" s="4">
        <v>39.4</v>
      </c>
      <c r="D530" s="4">
        <v>1</v>
      </c>
      <c r="E530" s="4" t="s">
        <v>11</v>
      </c>
      <c r="F530" s="4" t="s">
        <v>12</v>
      </c>
      <c r="G530" s="4" t="s">
        <v>15</v>
      </c>
      <c r="H530" s="4">
        <v>4879.3707775311568</v>
      </c>
      <c r="I530" s="4">
        <v>4647.0197881249123</v>
      </c>
      <c r="J530" s="2">
        <f>VLOOKUP(A530,Planilha1!A:M,13,0)</f>
        <v>6326.3485212104815</v>
      </c>
      <c r="K530" s="10">
        <f t="shared" si="16"/>
        <v>1446.9777436793247</v>
      </c>
      <c r="L530" s="10">
        <f t="shared" si="17"/>
        <v>-232.35098940624448</v>
      </c>
    </row>
    <row r="531" spans="1:12" x14ac:dyDescent="0.25">
      <c r="A531" s="2">
        <v>0</v>
      </c>
      <c r="B531" s="4">
        <v>18</v>
      </c>
      <c r="C531" s="4">
        <v>21.2</v>
      </c>
      <c r="D531" s="4">
        <v>0</v>
      </c>
      <c r="E531" s="4" t="s">
        <v>11</v>
      </c>
      <c r="F531" s="4" t="s">
        <v>12</v>
      </c>
      <c r="G531" s="4" t="s">
        <v>15</v>
      </c>
      <c r="H531" s="4">
        <v>1313.0553822931756</v>
      </c>
      <c r="I531" s="4">
        <v>1544.7710379919718</v>
      </c>
      <c r="J531" s="2">
        <f>VLOOKUP(A531,Planilha1!A:M,13,0)</f>
        <v>2511.8220480829059</v>
      </c>
      <c r="K531" s="10">
        <f t="shared" si="16"/>
        <v>1198.7666657897303</v>
      </c>
      <c r="L531" s="10">
        <f t="shared" si="17"/>
        <v>231.71565569879613</v>
      </c>
    </row>
    <row r="532" spans="1:12" x14ac:dyDescent="0.25">
      <c r="A532" s="2">
        <v>2</v>
      </c>
      <c r="B532" s="4">
        <v>57</v>
      </c>
      <c r="C532" s="4">
        <v>42.1</v>
      </c>
      <c r="D532" s="4">
        <v>1</v>
      </c>
      <c r="E532" s="4" t="s">
        <v>11</v>
      </c>
      <c r="F532" s="4" t="s">
        <v>9</v>
      </c>
      <c r="G532" s="4" t="s">
        <v>13</v>
      </c>
      <c r="H532" s="4">
        <v>4731.6593000401826</v>
      </c>
      <c r="I532" s="4">
        <v>4506.3421905144605</v>
      </c>
      <c r="J532" s="2">
        <f>VLOOKUP(A532,Planilha1!A:M,13,0)</f>
        <v>3220.2324129890262</v>
      </c>
      <c r="K532" s="10">
        <f t="shared" si="16"/>
        <v>-1511.4268870511564</v>
      </c>
      <c r="L532" s="10">
        <f t="shared" si="17"/>
        <v>-225.31710952572212</v>
      </c>
    </row>
    <row r="533" spans="1:12" x14ac:dyDescent="0.25">
      <c r="A533" s="2">
        <v>1</v>
      </c>
      <c r="B533" s="4">
        <v>62</v>
      </c>
      <c r="C533" s="4">
        <v>31.7</v>
      </c>
      <c r="D533" s="4">
        <v>0</v>
      </c>
      <c r="E533" s="4" t="s">
        <v>8</v>
      </c>
      <c r="F533" s="4" t="s">
        <v>12</v>
      </c>
      <c r="G533" s="4" t="s">
        <v>15</v>
      </c>
      <c r="H533" s="4">
        <v>5260.3042843775938</v>
      </c>
      <c r="I533" s="4">
        <v>5009.8136041691378</v>
      </c>
      <c r="J533" s="2">
        <f>VLOOKUP(A533,Planilha1!A:M,13,0)</f>
        <v>6326.3485212104815</v>
      </c>
      <c r="K533" s="10">
        <f t="shared" si="16"/>
        <v>1066.0442368328877</v>
      </c>
      <c r="L533" s="10">
        <f t="shared" si="17"/>
        <v>-250.49068020845607</v>
      </c>
    </row>
    <row r="534" spans="1:12" x14ac:dyDescent="0.25">
      <c r="A534" s="2">
        <v>3</v>
      </c>
      <c r="B534" s="4">
        <v>59</v>
      </c>
      <c r="C534" s="4">
        <v>29.7</v>
      </c>
      <c r="D534" s="4">
        <v>2</v>
      </c>
      <c r="E534" s="4" t="s">
        <v>11</v>
      </c>
      <c r="F534" s="4" t="s">
        <v>12</v>
      </c>
      <c r="G534" s="4" t="s">
        <v>13</v>
      </c>
      <c r="H534" s="4">
        <v>1298.8075552014959</v>
      </c>
      <c r="I534" s="4">
        <v>1731.7434069353278</v>
      </c>
      <c r="J534" s="2">
        <f>VLOOKUP(A534,Planilha1!A:M,13,0)</f>
        <v>3049.3550806113421</v>
      </c>
      <c r="K534" s="10">
        <f t="shared" si="16"/>
        <v>1750.5475254098462</v>
      </c>
      <c r="L534" s="10">
        <f t="shared" si="17"/>
        <v>432.9358517338319</v>
      </c>
    </row>
    <row r="535" spans="1:12" x14ac:dyDescent="0.25">
      <c r="A535" s="2">
        <v>1</v>
      </c>
      <c r="B535" s="4">
        <v>37</v>
      </c>
      <c r="C535" s="4">
        <v>36.200000000000003</v>
      </c>
      <c r="D535" s="4">
        <v>0</v>
      </c>
      <c r="E535" s="4" t="s">
        <v>11</v>
      </c>
      <c r="F535" s="4" t="s">
        <v>12</v>
      </c>
      <c r="G535" s="4" t="s">
        <v>13</v>
      </c>
      <c r="H535" s="4">
        <v>4944.9609849017552</v>
      </c>
      <c r="I535" s="4">
        <v>4709.4866522873881</v>
      </c>
      <c r="J535" s="2">
        <f>VLOOKUP(A535,Planilha1!A:M,13,0)</f>
        <v>6326.3485212104815</v>
      </c>
      <c r="K535" s="10">
        <f t="shared" si="16"/>
        <v>1381.3875363087263</v>
      </c>
      <c r="L535" s="10">
        <f t="shared" si="17"/>
        <v>-235.47433261436709</v>
      </c>
    </row>
    <row r="536" spans="1:12" x14ac:dyDescent="0.25">
      <c r="A536" s="2">
        <v>1</v>
      </c>
      <c r="B536" s="4">
        <v>64</v>
      </c>
      <c r="C536" s="4">
        <v>40.5</v>
      </c>
      <c r="D536" s="4">
        <v>0</v>
      </c>
      <c r="E536" s="4" t="s">
        <v>11</v>
      </c>
      <c r="F536" s="4" t="s">
        <v>12</v>
      </c>
      <c r="G536" s="4" t="s">
        <v>13</v>
      </c>
      <c r="H536" s="4">
        <v>4068.1550629180911</v>
      </c>
      <c r="I536" s="4">
        <v>3874.4333932553263</v>
      </c>
      <c r="J536" s="2">
        <f>VLOOKUP(A536,Planilha1!A:M,13,0)</f>
        <v>6326.3485212104815</v>
      </c>
      <c r="K536" s="10">
        <f t="shared" si="16"/>
        <v>2258.1934582923905</v>
      </c>
      <c r="L536" s="10">
        <f t="shared" si="17"/>
        <v>-193.72166966276473</v>
      </c>
    </row>
    <row r="537" spans="1:12" x14ac:dyDescent="0.25">
      <c r="A537" s="2">
        <v>0</v>
      </c>
      <c r="B537" s="4">
        <v>38</v>
      </c>
      <c r="C537" s="4">
        <v>24.3</v>
      </c>
      <c r="D537" s="4">
        <v>1</v>
      </c>
      <c r="E537" s="4" t="s">
        <v>11</v>
      </c>
      <c r="F537" s="4" t="s">
        <v>12</v>
      </c>
      <c r="G537" s="4" t="s">
        <v>15</v>
      </c>
      <c r="H537" s="4">
        <v>2012.3569720725907</v>
      </c>
      <c r="I537" s="4">
        <v>2367.4787906736369</v>
      </c>
      <c r="J537" s="2">
        <f>VLOOKUP(A537,Planilha1!A:M,13,0)</f>
        <v>2511.8220480829059</v>
      </c>
      <c r="K537" s="10">
        <f t="shared" si="16"/>
        <v>499.46507601031522</v>
      </c>
      <c r="L537" s="10">
        <f t="shared" si="17"/>
        <v>355.12181860104624</v>
      </c>
    </row>
    <row r="538" spans="1:12" x14ac:dyDescent="0.25">
      <c r="A538" s="2">
        <v>3</v>
      </c>
      <c r="B538" s="4">
        <v>33</v>
      </c>
      <c r="C538" s="4">
        <v>38.9</v>
      </c>
      <c r="D538" s="4">
        <v>3</v>
      </c>
      <c r="E538" s="4" t="s">
        <v>8</v>
      </c>
      <c r="F538" s="4" t="s">
        <v>12</v>
      </c>
      <c r="G538" s="4" t="s">
        <v>10</v>
      </c>
      <c r="H538" s="4">
        <v>1462.912558334323</v>
      </c>
      <c r="I538" s="4">
        <v>1950.5500777790974</v>
      </c>
      <c r="J538" s="2">
        <f>VLOOKUP(A538,Planilha1!A:M,13,0)</f>
        <v>3049.3550806113421</v>
      </c>
      <c r="K538" s="10">
        <f t="shared" si="16"/>
        <v>1586.4425222770192</v>
      </c>
      <c r="L538" s="10">
        <f t="shared" si="17"/>
        <v>487.6375194447744</v>
      </c>
    </row>
    <row r="539" spans="1:12" x14ac:dyDescent="0.25">
      <c r="A539" s="2">
        <v>3</v>
      </c>
      <c r="B539" s="4">
        <v>46</v>
      </c>
      <c r="C539" s="4">
        <v>30.2</v>
      </c>
      <c r="D539" s="4">
        <v>2</v>
      </c>
      <c r="E539" s="4" t="s">
        <v>8</v>
      </c>
      <c r="F539" s="4" t="s">
        <v>12</v>
      </c>
      <c r="G539" s="4" t="s">
        <v>10</v>
      </c>
      <c r="H539" s="4">
        <v>2959.1838072092605</v>
      </c>
      <c r="I539" s="4">
        <v>3945.5784096123475</v>
      </c>
      <c r="J539" s="2">
        <f>VLOOKUP(A539,Planilha1!A:M,13,0)</f>
        <v>3049.3550806113421</v>
      </c>
      <c r="K539" s="10">
        <f t="shared" si="16"/>
        <v>90.171273402081624</v>
      </c>
      <c r="L539" s="10">
        <f t="shared" si="17"/>
        <v>986.39460240308699</v>
      </c>
    </row>
    <row r="540" spans="1:12" x14ac:dyDescent="0.25">
      <c r="A540" s="2">
        <v>1</v>
      </c>
      <c r="B540" s="4">
        <v>46</v>
      </c>
      <c r="C540" s="4">
        <v>28.1</v>
      </c>
      <c r="D540" s="4">
        <v>1</v>
      </c>
      <c r="E540" s="4" t="s">
        <v>8</v>
      </c>
      <c r="F540" s="4" t="s">
        <v>12</v>
      </c>
      <c r="G540" s="4" t="s">
        <v>13</v>
      </c>
      <c r="H540" s="4">
        <v>5125.1052021576506</v>
      </c>
      <c r="I540" s="4">
        <v>4881.0525734834773</v>
      </c>
      <c r="J540" s="2">
        <f>VLOOKUP(A540,Planilha1!A:M,13,0)</f>
        <v>6326.3485212104815</v>
      </c>
      <c r="K540" s="10">
        <f t="shared" si="16"/>
        <v>1201.2433190528309</v>
      </c>
      <c r="L540" s="10">
        <f t="shared" si="17"/>
        <v>-244.05262867417332</v>
      </c>
    </row>
    <row r="541" spans="1:12" x14ac:dyDescent="0.25">
      <c r="A541" s="2">
        <v>1</v>
      </c>
      <c r="B541" s="4">
        <v>53</v>
      </c>
      <c r="C541" s="4">
        <v>31.4</v>
      </c>
      <c r="D541" s="4">
        <v>0</v>
      </c>
      <c r="E541" s="4" t="s">
        <v>11</v>
      </c>
      <c r="F541" s="4" t="s">
        <v>12</v>
      </c>
      <c r="G541" s="4" t="s">
        <v>13</v>
      </c>
      <c r="H541" s="4">
        <v>5835.8353615855067</v>
      </c>
      <c r="I541" s="4">
        <v>5557.9384396052455</v>
      </c>
      <c r="J541" s="2">
        <f>VLOOKUP(A541,Planilha1!A:M,13,0)</f>
        <v>6326.3485212104815</v>
      </c>
      <c r="K541" s="10">
        <f t="shared" si="16"/>
        <v>490.51315962497483</v>
      </c>
      <c r="L541" s="10">
        <f t="shared" si="17"/>
        <v>-277.89692198026114</v>
      </c>
    </row>
    <row r="542" spans="1:12" x14ac:dyDescent="0.25">
      <c r="A542" s="2">
        <v>3</v>
      </c>
      <c r="B542" s="4">
        <v>34</v>
      </c>
      <c r="C542" s="4">
        <v>38</v>
      </c>
      <c r="D542" s="4">
        <v>3</v>
      </c>
      <c r="E542" s="4" t="s">
        <v>8</v>
      </c>
      <c r="F542" s="4" t="s">
        <v>12</v>
      </c>
      <c r="G542" s="4" t="s">
        <v>10</v>
      </c>
      <c r="H542" s="4">
        <v>2098.2119331128706</v>
      </c>
      <c r="I542" s="4">
        <v>2797.6159108171605</v>
      </c>
      <c r="J542" s="2">
        <f>VLOOKUP(A542,Planilha1!A:M,13,0)</f>
        <v>3049.3550806113421</v>
      </c>
      <c r="K542" s="10">
        <f t="shared" si="16"/>
        <v>951.14314749847154</v>
      </c>
      <c r="L542" s="10">
        <f t="shared" si="17"/>
        <v>699.4039777042899</v>
      </c>
    </row>
    <row r="543" spans="1:12" x14ac:dyDescent="0.25">
      <c r="A543" s="2">
        <v>0</v>
      </c>
      <c r="B543" s="4">
        <v>20</v>
      </c>
      <c r="C543" s="4">
        <v>20.100000000000001</v>
      </c>
      <c r="D543" s="4">
        <v>2</v>
      </c>
      <c r="E543" s="4" t="s">
        <v>8</v>
      </c>
      <c r="F543" s="4" t="s">
        <v>12</v>
      </c>
      <c r="G543" s="4" t="s">
        <v>13</v>
      </c>
      <c r="H543" s="4">
        <v>1974.2904877846277</v>
      </c>
      <c r="I543" s="4">
        <v>2322.6946915113272</v>
      </c>
      <c r="J543" s="2">
        <f>VLOOKUP(A543,Planilha1!A:M,13,0)</f>
        <v>2511.8220480829059</v>
      </c>
      <c r="K543" s="10">
        <f t="shared" si="16"/>
        <v>537.53156029827824</v>
      </c>
      <c r="L543" s="10">
        <f t="shared" si="17"/>
        <v>348.40420372669951</v>
      </c>
    </row>
    <row r="544" spans="1:12" x14ac:dyDescent="0.25">
      <c r="A544" s="2">
        <v>1</v>
      </c>
      <c r="B544" s="4">
        <v>63</v>
      </c>
      <c r="C544" s="4">
        <v>36.299999999999997</v>
      </c>
      <c r="D544" s="4">
        <v>0</v>
      </c>
      <c r="E544" s="4" t="s">
        <v>8</v>
      </c>
      <c r="F544" s="4" t="s">
        <v>12</v>
      </c>
      <c r="G544" s="4" t="s">
        <v>13</v>
      </c>
      <c r="H544" s="4">
        <v>5073.3037248618493</v>
      </c>
      <c r="I544" s="4">
        <v>4831.7178332017629</v>
      </c>
      <c r="J544" s="2">
        <f>VLOOKUP(A544,Planilha1!A:M,13,0)</f>
        <v>6326.3485212104815</v>
      </c>
      <c r="K544" s="10">
        <f t="shared" si="16"/>
        <v>1253.0447963486322</v>
      </c>
      <c r="L544" s="10">
        <f t="shared" si="17"/>
        <v>-241.58589166008642</v>
      </c>
    </row>
    <row r="545" spans="1:12" x14ac:dyDescent="0.25">
      <c r="A545" s="2">
        <v>2</v>
      </c>
      <c r="B545" s="4">
        <v>54</v>
      </c>
      <c r="C545" s="4">
        <v>47.4</v>
      </c>
      <c r="D545" s="4">
        <v>0</v>
      </c>
      <c r="E545" s="4" t="s">
        <v>8</v>
      </c>
      <c r="F545" s="4" t="s">
        <v>9</v>
      </c>
      <c r="G545" s="4" t="s">
        <v>13</v>
      </c>
      <c r="H545" s="4">
        <v>4105.0233810427062</v>
      </c>
      <c r="I545" s="4">
        <v>3909.5460771835315</v>
      </c>
      <c r="J545" s="2">
        <f>VLOOKUP(A545,Planilha1!A:M,13,0)</f>
        <v>3220.2324129890262</v>
      </c>
      <c r="K545" s="10">
        <f t="shared" si="16"/>
        <v>-884.79096805367999</v>
      </c>
      <c r="L545" s="10">
        <f t="shared" si="17"/>
        <v>-195.47730385917475</v>
      </c>
    </row>
    <row r="546" spans="1:12" x14ac:dyDescent="0.25">
      <c r="A546" s="2">
        <v>1</v>
      </c>
      <c r="B546" s="4">
        <v>54</v>
      </c>
      <c r="C546" s="4">
        <v>30.2</v>
      </c>
      <c r="D546" s="4">
        <v>0</v>
      </c>
      <c r="E546" s="4" t="s">
        <v>11</v>
      </c>
      <c r="F546" s="4" t="s">
        <v>12</v>
      </c>
      <c r="G546" s="4" t="s">
        <v>14</v>
      </c>
      <c r="H546" s="4">
        <v>5707.5287729528636</v>
      </c>
      <c r="I546" s="4">
        <v>5435.7416885265384</v>
      </c>
      <c r="J546" s="2">
        <f>VLOOKUP(A546,Planilha1!A:M,13,0)</f>
        <v>6326.3485212104815</v>
      </c>
      <c r="K546" s="10">
        <f t="shared" si="16"/>
        <v>618.8197482576179</v>
      </c>
      <c r="L546" s="10">
        <f t="shared" si="17"/>
        <v>-271.78708442632524</v>
      </c>
    </row>
    <row r="547" spans="1:12" x14ac:dyDescent="0.25">
      <c r="A547" s="2">
        <v>2</v>
      </c>
      <c r="B547" s="4">
        <v>49</v>
      </c>
      <c r="C547" s="4">
        <v>25.8</v>
      </c>
      <c r="D547" s="4">
        <v>2</v>
      </c>
      <c r="E547" s="4" t="s">
        <v>11</v>
      </c>
      <c r="F547" s="4" t="s">
        <v>9</v>
      </c>
      <c r="G547" s="4" t="s">
        <v>14</v>
      </c>
      <c r="H547" s="4">
        <v>1608.7560391981515</v>
      </c>
      <c r="I547" s="4">
        <v>2145.008052264202</v>
      </c>
      <c r="J547" s="2">
        <f>VLOOKUP(A547,Planilha1!A:M,13,0)</f>
        <v>3220.2324129890262</v>
      </c>
      <c r="K547" s="10">
        <f t="shared" si="16"/>
        <v>1611.4763737908747</v>
      </c>
      <c r="L547" s="10">
        <f t="shared" si="17"/>
        <v>536.25201306605049</v>
      </c>
    </row>
    <row r="548" spans="1:12" x14ac:dyDescent="0.25">
      <c r="A548" s="2">
        <v>0</v>
      </c>
      <c r="B548" s="4">
        <v>28</v>
      </c>
      <c r="C548" s="4">
        <v>21.7</v>
      </c>
      <c r="D548" s="4">
        <v>0</v>
      </c>
      <c r="E548" s="4" t="s">
        <v>11</v>
      </c>
      <c r="F548" s="4" t="s">
        <v>12</v>
      </c>
      <c r="G548" s="4" t="s">
        <v>15</v>
      </c>
      <c r="H548" s="4">
        <v>1923.6280597381574</v>
      </c>
      <c r="I548" s="4">
        <v>2263.0918349860685</v>
      </c>
      <c r="J548" s="2">
        <f>VLOOKUP(A548,Planilha1!A:M,13,0)</f>
        <v>2511.8220480829059</v>
      </c>
      <c r="K548" s="10">
        <f t="shared" si="16"/>
        <v>588.1939883447485</v>
      </c>
      <c r="L548" s="10">
        <f t="shared" si="17"/>
        <v>339.46377524791114</v>
      </c>
    </row>
    <row r="549" spans="1:12" x14ac:dyDescent="0.25">
      <c r="A549" s="2">
        <v>3</v>
      </c>
      <c r="B549" s="4">
        <v>54</v>
      </c>
      <c r="C549" s="4">
        <v>46.7</v>
      </c>
      <c r="D549" s="4">
        <v>2</v>
      </c>
      <c r="E549" s="4" t="s">
        <v>8</v>
      </c>
      <c r="F549" s="4" t="s">
        <v>12</v>
      </c>
      <c r="G549" s="4" t="s">
        <v>10</v>
      </c>
      <c r="H549" s="4">
        <v>1823.2315869750892</v>
      </c>
      <c r="I549" s="4">
        <v>2430.9754493001187</v>
      </c>
      <c r="J549" s="2">
        <f>VLOOKUP(A549,Planilha1!A:M,13,0)</f>
        <v>3049.3550806113421</v>
      </c>
      <c r="K549" s="10">
        <f t="shared" si="16"/>
        <v>1226.123493636253</v>
      </c>
      <c r="L549" s="10">
        <f t="shared" si="17"/>
        <v>607.74386232502957</v>
      </c>
    </row>
    <row r="550" spans="1:12" x14ac:dyDescent="0.25">
      <c r="A550" s="2">
        <v>0</v>
      </c>
      <c r="B550" s="4">
        <v>25</v>
      </c>
      <c r="C550" s="4">
        <v>24.1</v>
      </c>
      <c r="D550" s="4">
        <v>0</v>
      </c>
      <c r="E550" s="4" t="s">
        <v>8</v>
      </c>
      <c r="F550" s="4" t="s">
        <v>12</v>
      </c>
      <c r="G550" s="4" t="s">
        <v>15</v>
      </c>
      <c r="H550" s="4">
        <v>1639.0517662020854</v>
      </c>
      <c r="I550" s="4">
        <v>1928.2961955318658</v>
      </c>
      <c r="J550" s="2">
        <f>VLOOKUP(A550,Planilha1!A:M,13,0)</f>
        <v>2511.8220480829059</v>
      </c>
      <c r="K550" s="10">
        <f t="shared" si="16"/>
        <v>872.77028188082045</v>
      </c>
      <c r="L550" s="10">
        <f t="shared" si="17"/>
        <v>289.24442932978036</v>
      </c>
    </row>
    <row r="551" spans="1:12" x14ac:dyDescent="0.25">
      <c r="A551" s="2">
        <v>2</v>
      </c>
      <c r="B551" s="4">
        <v>43</v>
      </c>
      <c r="C551" s="4">
        <v>46.2</v>
      </c>
      <c r="D551" s="4">
        <v>0</v>
      </c>
      <c r="E551" s="4" t="s">
        <v>8</v>
      </c>
      <c r="F551" s="4" t="s">
        <v>9</v>
      </c>
      <c r="G551" s="4" t="s">
        <v>13</v>
      </c>
      <c r="H551" s="4">
        <v>5598.7674051799913</v>
      </c>
      <c r="I551" s="4">
        <v>5332.1594335047548</v>
      </c>
      <c r="J551" s="2">
        <f>VLOOKUP(A551,Planilha1!A:M,13,0)</f>
        <v>3220.2324129890262</v>
      </c>
      <c r="K551" s="10">
        <f t="shared" si="16"/>
        <v>-2378.5349921909651</v>
      </c>
      <c r="L551" s="10">
        <f t="shared" si="17"/>
        <v>-266.60797167523651</v>
      </c>
    </row>
    <row r="552" spans="1:12" x14ac:dyDescent="0.25">
      <c r="A552" s="2">
        <v>1</v>
      </c>
      <c r="B552" s="4">
        <v>63</v>
      </c>
      <c r="C552" s="4">
        <v>30.8</v>
      </c>
      <c r="D552" s="4">
        <v>0</v>
      </c>
      <c r="E552" s="4" t="s">
        <v>11</v>
      </c>
      <c r="F552" s="4" t="s">
        <v>12</v>
      </c>
      <c r="G552" s="4" t="s">
        <v>10</v>
      </c>
      <c r="H552" s="4">
        <v>5443.3660314796916</v>
      </c>
      <c r="I552" s="4">
        <v>5184.1581252187552</v>
      </c>
      <c r="J552" s="2">
        <f>VLOOKUP(A552,Planilha1!A:M,13,0)</f>
        <v>6326.3485212104815</v>
      </c>
      <c r="K552" s="10">
        <f t="shared" si="16"/>
        <v>882.98248973078989</v>
      </c>
      <c r="L552" s="10">
        <f t="shared" si="17"/>
        <v>-259.2079062609364</v>
      </c>
    </row>
    <row r="553" spans="1:12" x14ac:dyDescent="0.25">
      <c r="A553" s="2">
        <v>0</v>
      </c>
      <c r="B553" s="4">
        <v>32</v>
      </c>
      <c r="C553" s="4">
        <v>24</v>
      </c>
      <c r="D553" s="4">
        <v>0</v>
      </c>
      <c r="E553" s="4" t="s">
        <v>8</v>
      </c>
      <c r="F553" s="4" t="s">
        <v>12</v>
      </c>
      <c r="G553" s="4" t="s">
        <v>13</v>
      </c>
      <c r="H553" s="4">
        <v>1609.4625500703328</v>
      </c>
      <c r="I553" s="4">
        <v>1893.4853530239216</v>
      </c>
      <c r="J553" s="2">
        <f>VLOOKUP(A553,Planilha1!A:M,13,0)</f>
        <v>2511.8220480829059</v>
      </c>
      <c r="K553" s="10">
        <f t="shared" si="16"/>
        <v>902.35949801257311</v>
      </c>
      <c r="L553" s="10">
        <f t="shared" si="17"/>
        <v>284.02280295358878</v>
      </c>
    </row>
    <row r="554" spans="1:12" x14ac:dyDescent="0.25">
      <c r="A554" s="2">
        <v>1</v>
      </c>
      <c r="B554" s="4">
        <v>62</v>
      </c>
      <c r="C554" s="4">
        <v>21.4</v>
      </c>
      <c r="D554" s="4">
        <v>0</v>
      </c>
      <c r="E554" s="4" t="s">
        <v>11</v>
      </c>
      <c r="F554" s="4" t="s">
        <v>12</v>
      </c>
      <c r="G554" s="4" t="s">
        <v>10</v>
      </c>
      <c r="H554" s="4">
        <v>5055.4769764123503</v>
      </c>
      <c r="I554" s="4">
        <v>4814.7399775355734</v>
      </c>
      <c r="J554" s="2">
        <f>VLOOKUP(A554,Planilha1!A:M,13,0)</f>
        <v>6326.3485212104815</v>
      </c>
      <c r="K554" s="10">
        <f t="shared" si="16"/>
        <v>1270.8715447981313</v>
      </c>
      <c r="L554" s="10">
        <f t="shared" si="17"/>
        <v>-240.73699887677685</v>
      </c>
    </row>
    <row r="555" spans="1:12" x14ac:dyDescent="0.25">
      <c r="A555" s="2">
        <v>3</v>
      </c>
      <c r="B555" s="4">
        <v>52</v>
      </c>
      <c r="C555" s="4">
        <v>31.7</v>
      </c>
      <c r="D555" s="4">
        <v>2</v>
      </c>
      <c r="E555" s="4" t="s">
        <v>8</v>
      </c>
      <c r="F555" s="4" t="s">
        <v>12</v>
      </c>
      <c r="G555" s="4" t="s">
        <v>14</v>
      </c>
      <c r="H555" s="4">
        <v>1777.7011694368007</v>
      </c>
      <c r="I555" s="4">
        <v>2370.2682259157341</v>
      </c>
      <c r="J555" s="2">
        <f>VLOOKUP(A555,Planilha1!A:M,13,0)</f>
        <v>3049.3550806113421</v>
      </c>
      <c r="K555" s="10">
        <f t="shared" si="16"/>
        <v>1271.6539111745415</v>
      </c>
      <c r="L555" s="10">
        <f t="shared" si="17"/>
        <v>592.56705647893341</v>
      </c>
    </row>
    <row r="556" spans="1:12" x14ac:dyDescent="0.25">
      <c r="A556" s="2">
        <v>0</v>
      </c>
      <c r="B556" s="4">
        <v>25</v>
      </c>
      <c r="C556" s="4">
        <v>23.7</v>
      </c>
      <c r="D556" s="4">
        <v>0</v>
      </c>
      <c r="E556" s="4" t="s">
        <v>8</v>
      </c>
      <c r="F556" s="4" t="s">
        <v>12</v>
      </c>
      <c r="G556" s="4" t="s">
        <v>15</v>
      </c>
      <c r="H556" s="4">
        <v>1935.2027128063837</v>
      </c>
      <c r="I556" s="4">
        <v>2276.7090738898642</v>
      </c>
      <c r="J556" s="2">
        <f>VLOOKUP(A556,Planilha1!A:M,13,0)</f>
        <v>2511.8220480829059</v>
      </c>
      <c r="K556" s="10">
        <f t="shared" si="16"/>
        <v>576.61933527652218</v>
      </c>
      <c r="L556" s="10">
        <f t="shared" si="17"/>
        <v>341.50636108348044</v>
      </c>
    </row>
    <row r="557" spans="1:12" x14ac:dyDescent="0.25">
      <c r="A557" s="2">
        <v>0</v>
      </c>
      <c r="B557" s="4">
        <v>28</v>
      </c>
      <c r="C557" s="4">
        <v>23.8</v>
      </c>
      <c r="D557" s="4">
        <v>2</v>
      </c>
      <c r="E557" s="4" t="s">
        <v>11</v>
      </c>
      <c r="F557" s="4" t="s">
        <v>12</v>
      </c>
      <c r="G557" s="4" t="s">
        <v>10</v>
      </c>
      <c r="H557" s="4">
        <v>2081.0114346383666</v>
      </c>
      <c r="I557" s="4">
        <v>2448.2487466333732</v>
      </c>
      <c r="J557" s="2">
        <f>VLOOKUP(A557,Planilha1!A:M,13,0)</f>
        <v>2511.8220480829059</v>
      </c>
      <c r="K557" s="10">
        <f t="shared" si="16"/>
        <v>430.81061344453929</v>
      </c>
      <c r="L557" s="10">
        <f t="shared" si="17"/>
        <v>367.23731199500662</v>
      </c>
    </row>
    <row r="558" spans="1:12" x14ac:dyDescent="0.25">
      <c r="A558" s="2">
        <v>1</v>
      </c>
      <c r="B558" s="4">
        <v>46</v>
      </c>
      <c r="C558" s="4">
        <v>33.4</v>
      </c>
      <c r="D558" s="4">
        <v>1</v>
      </c>
      <c r="E558" s="4" t="s">
        <v>11</v>
      </c>
      <c r="F558" s="4" t="s">
        <v>12</v>
      </c>
      <c r="G558" s="4" t="s">
        <v>15</v>
      </c>
      <c r="H558" s="4">
        <v>4182.938333456158</v>
      </c>
      <c r="I558" s="4">
        <v>3983.750793767771</v>
      </c>
      <c r="J558" s="2">
        <f>VLOOKUP(A558,Planilha1!A:M,13,0)</f>
        <v>6326.3485212104815</v>
      </c>
      <c r="K558" s="10">
        <f t="shared" si="16"/>
        <v>2143.4101877543235</v>
      </c>
      <c r="L558" s="10">
        <f t="shared" si="17"/>
        <v>-199.18753968838701</v>
      </c>
    </row>
    <row r="559" spans="1:12" x14ac:dyDescent="0.25">
      <c r="A559" s="2">
        <v>0</v>
      </c>
      <c r="B559" s="4">
        <v>34</v>
      </c>
      <c r="C559" s="4">
        <v>20.5</v>
      </c>
      <c r="D559" s="4">
        <v>0</v>
      </c>
      <c r="E559" s="4" t="s">
        <v>11</v>
      </c>
      <c r="F559" s="4" t="s">
        <v>12</v>
      </c>
      <c r="G559" s="4" t="s">
        <v>13</v>
      </c>
      <c r="H559" s="4">
        <v>1884.824043671578</v>
      </c>
      <c r="I559" s="4">
        <v>2217.4400513783276</v>
      </c>
      <c r="J559" s="2">
        <f>VLOOKUP(A559,Planilha1!A:M,13,0)</f>
        <v>2511.8220480829059</v>
      </c>
      <c r="K559" s="10">
        <f t="shared" si="16"/>
        <v>626.99800441132788</v>
      </c>
      <c r="L559" s="10">
        <f t="shared" si="17"/>
        <v>332.61600770674954</v>
      </c>
    </row>
    <row r="560" spans="1:12" x14ac:dyDescent="0.25">
      <c r="A560" s="2">
        <v>2</v>
      </c>
      <c r="B560" s="4">
        <v>35</v>
      </c>
      <c r="C560" s="4">
        <v>34.1</v>
      </c>
      <c r="D560" s="4">
        <v>3</v>
      </c>
      <c r="E560" s="4" t="s">
        <v>8</v>
      </c>
      <c r="F560" s="4" t="s">
        <v>9</v>
      </c>
      <c r="G560" s="4" t="s">
        <v>14</v>
      </c>
      <c r="H560" s="4">
        <v>1978.5161380342347</v>
      </c>
      <c r="I560" s="4">
        <v>2638.0215173789798</v>
      </c>
      <c r="J560" s="2">
        <f>VLOOKUP(A560,Planilha1!A:M,13,0)</f>
        <v>3220.2324129890262</v>
      </c>
      <c r="K560" s="10">
        <f t="shared" si="16"/>
        <v>1241.7162749547915</v>
      </c>
      <c r="L560" s="10">
        <f t="shared" si="17"/>
        <v>659.50537934474505</v>
      </c>
    </row>
    <row r="561" spans="1:12" x14ac:dyDescent="0.25">
      <c r="A561" s="2">
        <v>0</v>
      </c>
      <c r="B561" s="4">
        <v>19</v>
      </c>
      <c r="C561" s="4">
        <v>22.9</v>
      </c>
      <c r="D561" s="4">
        <v>0</v>
      </c>
      <c r="E561" s="4" t="s">
        <v>11</v>
      </c>
      <c r="F561" s="4" t="s">
        <v>12</v>
      </c>
      <c r="G561" s="4" t="s">
        <v>14</v>
      </c>
      <c r="H561" s="4">
        <v>1653.1807737838576</v>
      </c>
      <c r="I561" s="4">
        <v>1944.9185573927743</v>
      </c>
      <c r="J561" s="2">
        <f>VLOOKUP(A561,Planilha1!A:M,13,0)</f>
        <v>2511.8220480829059</v>
      </c>
      <c r="K561" s="10">
        <f t="shared" si="16"/>
        <v>858.64127429904829</v>
      </c>
      <c r="L561" s="10">
        <f t="shared" si="17"/>
        <v>291.73778360891674</v>
      </c>
    </row>
    <row r="562" spans="1:12" x14ac:dyDescent="0.25">
      <c r="A562" s="2">
        <v>0</v>
      </c>
      <c r="B562" s="4">
        <v>46</v>
      </c>
      <c r="C562" s="4">
        <v>20</v>
      </c>
      <c r="D562" s="4">
        <v>2</v>
      </c>
      <c r="E562" s="4" t="s">
        <v>8</v>
      </c>
      <c r="F562" s="4" t="s">
        <v>12</v>
      </c>
      <c r="G562" s="4" t="s">
        <v>14</v>
      </c>
      <c r="H562" s="4">
        <v>2115.6016308451535</v>
      </c>
      <c r="I562" s="4">
        <v>2488.9430951119461</v>
      </c>
      <c r="J562" s="2">
        <f>VLOOKUP(A562,Planilha1!A:M,13,0)</f>
        <v>2511.8220480829059</v>
      </c>
      <c r="K562" s="10">
        <f t="shared" si="16"/>
        <v>396.22041723775237</v>
      </c>
      <c r="L562" s="10">
        <f t="shared" si="17"/>
        <v>373.34146426679263</v>
      </c>
    </row>
    <row r="563" spans="1:12" x14ac:dyDescent="0.25">
      <c r="A563" s="2">
        <v>1</v>
      </c>
      <c r="B563" s="4">
        <v>54</v>
      </c>
      <c r="C563" s="4">
        <v>32.700000000000003</v>
      </c>
      <c r="D563" s="4">
        <v>0</v>
      </c>
      <c r="E563" s="4" t="s">
        <v>8</v>
      </c>
      <c r="F563" s="4" t="s">
        <v>12</v>
      </c>
      <c r="G563" s="4" t="s">
        <v>15</v>
      </c>
      <c r="H563" s="4">
        <v>3716.1636483710668</v>
      </c>
      <c r="I563" s="4">
        <v>3539.2034746391128</v>
      </c>
      <c r="J563" s="2">
        <f>VLOOKUP(A563,Planilha1!A:M,13,0)</f>
        <v>6326.3485212104815</v>
      </c>
      <c r="K563" s="10">
        <f t="shared" si="16"/>
        <v>2610.1848728394148</v>
      </c>
      <c r="L563" s="10">
        <f t="shared" si="17"/>
        <v>-176.960173731954</v>
      </c>
    </row>
    <row r="564" spans="1:12" x14ac:dyDescent="0.25">
      <c r="A564" s="2">
        <v>0</v>
      </c>
      <c r="B564" s="4">
        <v>27</v>
      </c>
      <c r="C564" s="4">
        <v>21.2</v>
      </c>
      <c r="D564" s="4">
        <v>0</v>
      </c>
      <c r="E564" s="4" t="s">
        <v>11</v>
      </c>
      <c r="F564" s="4" t="s">
        <v>12</v>
      </c>
      <c r="G564" s="4" t="s">
        <v>10</v>
      </c>
      <c r="H564" s="4">
        <v>2460.3349772898255</v>
      </c>
      <c r="I564" s="4">
        <v>2894.5117379880303</v>
      </c>
      <c r="J564" s="2">
        <f>VLOOKUP(A564,Planilha1!A:M,13,0)</f>
        <v>2511.8220480829059</v>
      </c>
      <c r="K564" s="10">
        <f t="shared" si="16"/>
        <v>51.48707079308042</v>
      </c>
      <c r="L564" s="10">
        <f t="shared" si="17"/>
        <v>434.17676069820482</v>
      </c>
    </row>
    <row r="565" spans="1:12" x14ac:dyDescent="0.25">
      <c r="A565" s="2">
        <v>1</v>
      </c>
      <c r="B565" s="4">
        <v>50</v>
      </c>
      <c r="C565" s="4">
        <v>44.8</v>
      </c>
      <c r="D565" s="4">
        <v>1</v>
      </c>
      <c r="E565" s="4" t="s">
        <v>11</v>
      </c>
      <c r="F565" s="4" t="s">
        <v>12</v>
      </c>
      <c r="G565" s="4" t="s">
        <v>13</v>
      </c>
      <c r="H565" s="4">
        <v>5480.5071970922691</v>
      </c>
      <c r="I565" s="4">
        <v>5219.5306638973998</v>
      </c>
      <c r="J565" s="2">
        <f>VLOOKUP(A565,Planilha1!A:M,13,0)</f>
        <v>6326.3485212104815</v>
      </c>
      <c r="K565" s="10">
        <f t="shared" si="16"/>
        <v>845.84132411821247</v>
      </c>
      <c r="L565" s="10">
        <f t="shared" si="17"/>
        <v>-260.97653319486926</v>
      </c>
    </row>
    <row r="566" spans="1:12" x14ac:dyDescent="0.25">
      <c r="A566" s="2">
        <v>0</v>
      </c>
      <c r="B566" s="4">
        <v>18</v>
      </c>
      <c r="C566" s="4">
        <v>22.5</v>
      </c>
      <c r="D566" s="4">
        <v>2</v>
      </c>
      <c r="E566" s="4" t="s">
        <v>8</v>
      </c>
      <c r="F566" s="4" t="s">
        <v>12</v>
      </c>
      <c r="G566" s="4" t="s">
        <v>13</v>
      </c>
      <c r="H566" s="4">
        <v>1998.331836822505</v>
      </c>
      <c r="I566" s="4">
        <v>2350.9786315558886</v>
      </c>
      <c r="J566" s="2">
        <f>VLOOKUP(A566,Planilha1!A:M,13,0)</f>
        <v>2511.8220480829059</v>
      </c>
      <c r="K566" s="10">
        <f t="shared" si="16"/>
        <v>513.49021126040088</v>
      </c>
      <c r="L566" s="10">
        <f t="shared" si="17"/>
        <v>352.64679473338356</v>
      </c>
    </row>
    <row r="567" spans="1:12" x14ac:dyDescent="0.25">
      <c r="A567" s="2">
        <v>0</v>
      </c>
      <c r="B567" s="4">
        <v>19</v>
      </c>
      <c r="C567" s="4">
        <v>22.1</v>
      </c>
      <c r="D567" s="4">
        <v>0</v>
      </c>
      <c r="E567" s="4" t="s">
        <v>8</v>
      </c>
      <c r="F567" s="4" t="s">
        <v>12</v>
      </c>
      <c r="G567" s="4" t="s">
        <v>14</v>
      </c>
      <c r="H567" s="4">
        <v>1811.4664754230878</v>
      </c>
      <c r="I567" s="4">
        <v>2131.1370299095161</v>
      </c>
      <c r="J567" s="2">
        <f>VLOOKUP(A567,Planilha1!A:M,13,0)</f>
        <v>2511.8220480829059</v>
      </c>
      <c r="K567" s="10">
        <f t="shared" si="16"/>
        <v>700.35557265981811</v>
      </c>
      <c r="L567" s="10">
        <f t="shared" si="17"/>
        <v>319.67055448642827</v>
      </c>
    </row>
    <row r="568" spans="1:12" x14ac:dyDescent="0.25">
      <c r="A568" s="2">
        <v>1</v>
      </c>
      <c r="B568" s="4">
        <v>38</v>
      </c>
      <c r="C568" s="4">
        <v>40.6</v>
      </c>
      <c r="D568" s="4">
        <v>1</v>
      </c>
      <c r="E568" s="4" t="s">
        <v>8</v>
      </c>
      <c r="F568" s="4" t="s">
        <v>12</v>
      </c>
      <c r="G568" s="4" t="s">
        <v>14</v>
      </c>
      <c r="H568" s="4">
        <v>5343.1060860769576</v>
      </c>
      <c r="I568" s="4">
        <v>5088.6724629304372</v>
      </c>
      <c r="J568" s="2">
        <f>VLOOKUP(A568,Planilha1!A:M,13,0)</f>
        <v>6326.3485212104815</v>
      </c>
      <c r="K568" s="10">
        <f t="shared" si="16"/>
        <v>983.24243513352394</v>
      </c>
      <c r="L568" s="10">
        <f t="shared" si="17"/>
        <v>-254.4336231465204</v>
      </c>
    </row>
    <row r="569" spans="1:12" x14ac:dyDescent="0.25">
      <c r="A569" s="2">
        <v>3</v>
      </c>
      <c r="B569" s="4">
        <v>41</v>
      </c>
      <c r="C569" s="4">
        <v>30.6</v>
      </c>
      <c r="D569" s="4">
        <v>2</v>
      </c>
      <c r="E569" s="4" t="s">
        <v>11</v>
      </c>
      <c r="F569" s="4" t="s">
        <v>12</v>
      </c>
      <c r="G569" s="4" t="s">
        <v>14</v>
      </c>
      <c r="H569" s="4">
        <v>1213.4208954993014</v>
      </c>
      <c r="I569" s="4">
        <v>1617.8945273324018</v>
      </c>
      <c r="J569" s="2">
        <f>VLOOKUP(A569,Planilha1!A:M,13,0)</f>
        <v>3049.3550806113421</v>
      </c>
      <c r="K569" s="10">
        <f t="shared" si="16"/>
        <v>1835.9341851120407</v>
      </c>
      <c r="L569" s="10">
        <f t="shared" si="17"/>
        <v>404.4736318331004</v>
      </c>
    </row>
    <row r="570" spans="1:12" x14ac:dyDescent="0.25">
      <c r="A570" s="2">
        <v>3</v>
      </c>
      <c r="B570" s="4">
        <v>49</v>
      </c>
      <c r="C570" s="4">
        <v>31.9</v>
      </c>
      <c r="D570" s="4">
        <v>5</v>
      </c>
      <c r="E570" s="4" t="s">
        <v>8</v>
      </c>
      <c r="F570" s="4" t="s">
        <v>12</v>
      </c>
      <c r="G570" s="4" t="s">
        <v>10</v>
      </c>
      <c r="H570" s="4">
        <v>2749.1183002808143</v>
      </c>
      <c r="I570" s="4">
        <v>3665.4910670410859</v>
      </c>
      <c r="J570" s="2">
        <f>VLOOKUP(A570,Planilha1!A:M,13,0)</f>
        <v>3049.3550806113421</v>
      </c>
      <c r="K570" s="10">
        <f t="shared" si="16"/>
        <v>300.23678033052784</v>
      </c>
      <c r="L570" s="10">
        <f t="shared" si="17"/>
        <v>916.37276676027159</v>
      </c>
    </row>
    <row r="571" spans="1:12" x14ac:dyDescent="0.25">
      <c r="A571" s="2">
        <v>2</v>
      </c>
      <c r="B571" s="4">
        <v>48</v>
      </c>
      <c r="C571" s="4">
        <v>40.6</v>
      </c>
      <c r="D571" s="4">
        <v>2</v>
      </c>
      <c r="E571" s="4" t="s">
        <v>11</v>
      </c>
      <c r="F571" s="4" t="s">
        <v>9</v>
      </c>
      <c r="G571" s="4" t="s">
        <v>14</v>
      </c>
      <c r="H571" s="4">
        <v>2593.5177436091317</v>
      </c>
      <c r="I571" s="4">
        <v>3458.0236581455092</v>
      </c>
      <c r="J571" s="2">
        <f>VLOOKUP(A571,Planilha1!A:M,13,0)</f>
        <v>3220.2324129890262</v>
      </c>
      <c r="K571" s="10">
        <f t="shared" si="16"/>
        <v>626.71466937989453</v>
      </c>
      <c r="L571" s="10">
        <f t="shared" si="17"/>
        <v>864.50591453637753</v>
      </c>
    </row>
    <row r="572" spans="1:12" x14ac:dyDescent="0.25">
      <c r="A572" s="2">
        <v>0</v>
      </c>
      <c r="B572" s="4">
        <v>31</v>
      </c>
      <c r="C572" s="4">
        <v>23.1</v>
      </c>
      <c r="D572" s="4">
        <v>0</v>
      </c>
      <c r="E572" s="4" t="s">
        <v>8</v>
      </c>
      <c r="F572" s="4" t="s">
        <v>12</v>
      </c>
      <c r="G572" s="4" t="s">
        <v>10</v>
      </c>
      <c r="H572" s="4">
        <v>1984.9053451460311</v>
      </c>
      <c r="I572" s="4">
        <v>2335.1827589953318</v>
      </c>
      <c r="J572" s="2">
        <f>VLOOKUP(A572,Planilha1!A:M,13,0)</f>
        <v>2511.8220480829059</v>
      </c>
      <c r="K572" s="10">
        <f t="shared" si="16"/>
        <v>526.9167029368748</v>
      </c>
      <c r="L572" s="10">
        <f t="shared" si="17"/>
        <v>350.27741384930073</v>
      </c>
    </row>
    <row r="573" spans="1:12" x14ac:dyDescent="0.25">
      <c r="A573" s="2">
        <v>0</v>
      </c>
      <c r="B573" s="4">
        <v>18</v>
      </c>
      <c r="C573" s="4">
        <v>22.4</v>
      </c>
      <c r="D573" s="4">
        <v>1</v>
      </c>
      <c r="E573" s="4" t="s">
        <v>8</v>
      </c>
      <c r="F573" s="4" t="s">
        <v>12</v>
      </c>
      <c r="G573" s="4" t="s">
        <v>13</v>
      </c>
      <c r="H573" s="4">
        <v>2392.0949160267037</v>
      </c>
      <c r="I573" s="4">
        <v>2814.2293129725931</v>
      </c>
      <c r="J573" s="2">
        <f>VLOOKUP(A573,Planilha1!A:M,13,0)</f>
        <v>2511.8220480829059</v>
      </c>
      <c r="K573" s="10">
        <f t="shared" si="16"/>
        <v>119.72713205620221</v>
      </c>
      <c r="L573" s="10">
        <f t="shared" si="17"/>
        <v>422.13439694588942</v>
      </c>
    </row>
    <row r="574" spans="1:12" x14ac:dyDescent="0.25">
      <c r="A574" s="2">
        <v>3</v>
      </c>
      <c r="B574" s="4">
        <v>30</v>
      </c>
      <c r="C574" s="4">
        <v>43.1</v>
      </c>
      <c r="D574" s="4">
        <v>2</v>
      </c>
      <c r="E574" s="4" t="s">
        <v>8</v>
      </c>
      <c r="F574" s="4" t="s">
        <v>12</v>
      </c>
      <c r="G574" s="4" t="s">
        <v>13</v>
      </c>
      <c r="H574" s="4">
        <v>3004.674973472801</v>
      </c>
      <c r="I574" s="4">
        <v>4006.2332979637349</v>
      </c>
      <c r="J574" s="2">
        <f>VLOOKUP(A574,Planilha1!A:M,13,0)</f>
        <v>3049.3550806113421</v>
      </c>
      <c r="K574" s="10">
        <f t="shared" si="16"/>
        <v>44.680107138541189</v>
      </c>
      <c r="L574" s="10">
        <f t="shared" si="17"/>
        <v>1001.558324490934</v>
      </c>
    </row>
    <row r="575" spans="1:12" x14ac:dyDescent="0.25">
      <c r="A575" s="2">
        <v>1</v>
      </c>
      <c r="B575" s="4">
        <v>62</v>
      </c>
      <c r="C575" s="4">
        <v>36.9</v>
      </c>
      <c r="D575" s="4">
        <v>1</v>
      </c>
      <c r="E575" s="4" t="s">
        <v>8</v>
      </c>
      <c r="F575" s="4" t="s">
        <v>12</v>
      </c>
      <c r="G575" s="4" t="s">
        <v>15</v>
      </c>
      <c r="H575" s="4">
        <v>6220.86640899539</v>
      </c>
      <c r="I575" s="4">
        <v>5924.6346752337067</v>
      </c>
      <c r="J575" s="2">
        <f>VLOOKUP(A575,Planilha1!A:M,13,0)</f>
        <v>6326.3485212104815</v>
      </c>
      <c r="K575" s="10">
        <f t="shared" si="16"/>
        <v>105.48211221509155</v>
      </c>
      <c r="L575" s="10">
        <f t="shared" si="17"/>
        <v>-296.23173376168324</v>
      </c>
    </row>
    <row r="576" spans="1:12" x14ac:dyDescent="0.25">
      <c r="A576" s="2">
        <v>3</v>
      </c>
      <c r="B576" s="4">
        <v>57</v>
      </c>
      <c r="C576" s="4">
        <v>34.299999999999997</v>
      </c>
      <c r="D576" s="4">
        <v>2</v>
      </c>
      <c r="E576" s="4" t="s">
        <v>8</v>
      </c>
      <c r="F576" s="4" t="s">
        <v>12</v>
      </c>
      <c r="G576" s="4" t="s">
        <v>15</v>
      </c>
      <c r="H576" s="4">
        <v>1805.5186453498293</v>
      </c>
      <c r="I576" s="4">
        <v>2407.3581937997724</v>
      </c>
      <c r="J576" s="2">
        <f>VLOOKUP(A576,Planilha1!A:M,13,0)</f>
        <v>3049.3550806113421</v>
      </c>
      <c r="K576" s="10">
        <f t="shared" si="16"/>
        <v>1243.8364352615129</v>
      </c>
      <c r="L576" s="10">
        <f t="shared" si="17"/>
        <v>601.83954844994309</v>
      </c>
    </row>
    <row r="577" spans="1:12" x14ac:dyDescent="0.25">
      <c r="A577" s="2">
        <v>1</v>
      </c>
      <c r="B577" s="4">
        <v>58</v>
      </c>
      <c r="C577" s="4">
        <v>27.2</v>
      </c>
      <c r="D577" s="4">
        <v>0</v>
      </c>
      <c r="E577" s="4" t="s">
        <v>8</v>
      </c>
      <c r="F577" s="4" t="s">
        <v>12</v>
      </c>
      <c r="G577" s="4" t="s">
        <v>14</v>
      </c>
      <c r="H577" s="4">
        <v>4400.8256123175779</v>
      </c>
      <c r="I577" s="4">
        <v>4191.2624879215045</v>
      </c>
      <c r="J577" s="2">
        <f>VLOOKUP(A577,Planilha1!A:M,13,0)</f>
        <v>6326.3485212104815</v>
      </c>
      <c r="K577" s="10">
        <f t="shared" si="16"/>
        <v>1925.5229088929036</v>
      </c>
      <c r="L577" s="10">
        <f t="shared" si="17"/>
        <v>-209.56312439607336</v>
      </c>
    </row>
    <row r="578" spans="1:12" x14ac:dyDescent="0.25">
      <c r="A578" s="2">
        <v>0</v>
      </c>
      <c r="B578" s="4">
        <v>22</v>
      </c>
      <c r="C578" s="4">
        <v>20.6</v>
      </c>
      <c r="D578" s="4">
        <v>0</v>
      </c>
      <c r="E578" s="4" t="s">
        <v>11</v>
      </c>
      <c r="F578" s="4" t="s">
        <v>12</v>
      </c>
      <c r="G578" s="4" t="s">
        <v>13</v>
      </c>
      <c r="H578" s="4">
        <v>1768.7903005542937</v>
      </c>
      <c r="I578" s="4">
        <v>2080.9297653579933</v>
      </c>
      <c r="J578" s="2">
        <f>VLOOKUP(A578,Planilha1!A:M,13,0)</f>
        <v>2511.8220480829059</v>
      </c>
      <c r="K578" s="10">
        <f t="shared" si="16"/>
        <v>743.03174752861219</v>
      </c>
      <c r="L578" s="10">
        <f t="shared" si="17"/>
        <v>312.13946480369964</v>
      </c>
    </row>
    <row r="579" spans="1:12" x14ac:dyDescent="0.25">
      <c r="A579" s="2">
        <v>2</v>
      </c>
      <c r="B579" s="4">
        <v>31</v>
      </c>
      <c r="C579" s="4">
        <v>24.3</v>
      </c>
      <c r="D579" s="4">
        <v>1</v>
      </c>
      <c r="E579" s="4" t="s">
        <v>8</v>
      </c>
      <c r="F579" s="4" t="s">
        <v>9</v>
      </c>
      <c r="G579" s="4" t="s">
        <v>15</v>
      </c>
      <c r="H579" s="4">
        <v>1384.0812768289024</v>
      </c>
      <c r="I579" s="4">
        <v>1628.3309139163566</v>
      </c>
      <c r="J579" s="2">
        <f>VLOOKUP(A579,Planilha1!A:M,13,0)</f>
        <v>3220.2324129890262</v>
      </c>
      <c r="K579" s="10">
        <f t="shared" ref="K579:K642" si="18">J579-H579</f>
        <v>1836.1511361601238</v>
      </c>
      <c r="L579" s="10">
        <f t="shared" ref="L579:L642" si="19">I579-H579</f>
        <v>244.24963708745418</v>
      </c>
    </row>
    <row r="580" spans="1:12" x14ac:dyDescent="0.25">
      <c r="A580" s="2">
        <v>1</v>
      </c>
      <c r="B580" s="4">
        <v>52</v>
      </c>
      <c r="C580" s="4">
        <v>30.2</v>
      </c>
      <c r="D580" s="4">
        <v>1</v>
      </c>
      <c r="E580" s="4" t="s">
        <v>11</v>
      </c>
      <c r="F580" s="4" t="s">
        <v>12</v>
      </c>
      <c r="G580" s="4" t="s">
        <v>10</v>
      </c>
      <c r="H580" s="4">
        <v>5293.9159791797429</v>
      </c>
      <c r="I580" s="4">
        <v>5041.8247420759471</v>
      </c>
      <c r="J580" s="2">
        <f>VLOOKUP(A580,Planilha1!A:M,13,0)</f>
        <v>6326.3485212104815</v>
      </c>
      <c r="K580" s="10">
        <f t="shared" si="18"/>
        <v>1032.4325420307387</v>
      </c>
      <c r="L580" s="10">
        <f t="shared" si="19"/>
        <v>-252.09123710379572</v>
      </c>
    </row>
    <row r="581" spans="1:12" x14ac:dyDescent="0.25">
      <c r="A581" s="2">
        <v>0</v>
      </c>
      <c r="B581" s="4">
        <v>25</v>
      </c>
      <c r="C581" s="4">
        <v>23.4</v>
      </c>
      <c r="D581" s="4">
        <v>0</v>
      </c>
      <c r="E581" s="4" t="s">
        <v>8</v>
      </c>
      <c r="F581" s="4" t="s">
        <v>12</v>
      </c>
      <c r="G581" s="4" t="s">
        <v>15</v>
      </c>
      <c r="H581" s="4">
        <v>2370.6727129681703</v>
      </c>
      <c r="I581" s="4">
        <v>2789.0267211390246</v>
      </c>
      <c r="J581" s="2">
        <f>VLOOKUP(A581,Planilha1!A:M,13,0)</f>
        <v>2511.8220480829059</v>
      </c>
      <c r="K581" s="10">
        <f t="shared" si="18"/>
        <v>141.14933511473555</v>
      </c>
      <c r="L581" s="10">
        <f t="shared" si="19"/>
        <v>418.35400817085429</v>
      </c>
    </row>
    <row r="582" spans="1:12" x14ac:dyDescent="0.25">
      <c r="A582" s="2">
        <v>1</v>
      </c>
      <c r="B582" s="4">
        <v>59</v>
      </c>
      <c r="C582" s="4">
        <v>25.5</v>
      </c>
      <c r="D582" s="4">
        <v>1</v>
      </c>
      <c r="E582" s="4" t="s">
        <v>11</v>
      </c>
      <c r="F582" s="4" t="s">
        <v>12</v>
      </c>
      <c r="G582" s="4" t="s">
        <v>15</v>
      </c>
      <c r="H582" s="4">
        <v>4910.3464001060838</v>
      </c>
      <c r="I582" s="4">
        <v>4676.5203810534149</v>
      </c>
      <c r="J582" s="2">
        <f>VLOOKUP(A582,Planilha1!A:M,13,0)</f>
        <v>6326.3485212104815</v>
      </c>
      <c r="K582" s="10">
        <f t="shared" si="18"/>
        <v>1416.0021211043977</v>
      </c>
      <c r="L582" s="10">
        <f t="shared" si="19"/>
        <v>-233.82601905266893</v>
      </c>
    </row>
    <row r="583" spans="1:12" x14ac:dyDescent="0.25">
      <c r="A583" s="2">
        <v>0</v>
      </c>
      <c r="B583" s="4">
        <v>19</v>
      </c>
      <c r="C583" s="4">
        <v>23.8</v>
      </c>
      <c r="D583" s="4">
        <v>0</v>
      </c>
      <c r="E583" s="4" t="s">
        <v>11</v>
      </c>
      <c r="F583" s="4" t="s">
        <v>12</v>
      </c>
      <c r="G583" s="4" t="s">
        <v>14</v>
      </c>
      <c r="H583" s="4">
        <v>1834.7355568127025</v>
      </c>
      <c r="I583" s="4">
        <v>2158.5124197796508</v>
      </c>
      <c r="J583" s="2">
        <f>VLOOKUP(A583,Planilha1!A:M,13,0)</f>
        <v>2511.8220480829059</v>
      </c>
      <c r="K583" s="10">
        <f t="shared" si="18"/>
        <v>677.0864912702034</v>
      </c>
      <c r="L583" s="10">
        <f t="shared" si="19"/>
        <v>323.77686296694833</v>
      </c>
    </row>
    <row r="584" spans="1:12" x14ac:dyDescent="0.25">
      <c r="A584" s="2">
        <v>3</v>
      </c>
      <c r="B584" s="4">
        <v>39</v>
      </c>
      <c r="C584" s="4">
        <v>45.4</v>
      </c>
      <c r="D584" s="4">
        <v>2</v>
      </c>
      <c r="E584" s="4" t="s">
        <v>11</v>
      </c>
      <c r="F584" s="4" t="s">
        <v>12</v>
      </c>
      <c r="G584" s="4" t="s">
        <v>13</v>
      </c>
      <c r="H584" s="4">
        <v>1897.0441296953029</v>
      </c>
      <c r="I584" s="4">
        <v>2529.3921729270705</v>
      </c>
      <c r="J584" s="2">
        <f>VLOOKUP(A584,Planilha1!A:M,13,0)</f>
        <v>3049.3550806113421</v>
      </c>
      <c r="K584" s="10">
        <f t="shared" si="18"/>
        <v>1152.3109509160392</v>
      </c>
      <c r="L584" s="10">
        <f t="shared" si="19"/>
        <v>632.34804323176763</v>
      </c>
    </row>
    <row r="585" spans="1:12" x14ac:dyDescent="0.25">
      <c r="A585" s="2">
        <v>0</v>
      </c>
      <c r="B585" s="4">
        <v>32</v>
      </c>
      <c r="C585" s="4">
        <v>23.9</v>
      </c>
      <c r="D585" s="4">
        <v>1</v>
      </c>
      <c r="E585" s="4" t="s">
        <v>8</v>
      </c>
      <c r="F585" s="4" t="s">
        <v>12</v>
      </c>
      <c r="G585" s="4" t="s">
        <v>13</v>
      </c>
      <c r="H585" s="4">
        <v>2099.8662246822582</v>
      </c>
      <c r="I585" s="4">
        <v>2470.4308525673632</v>
      </c>
      <c r="J585" s="2">
        <f>VLOOKUP(A585,Planilha1!A:M,13,0)</f>
        <v>2511.8220480829059</v>
      </c>
      <c r="K585" s="10">
        <f t="shared" si="18"/>
        <v>411.95582340064766</v>
      </c>
      <c r="L585" s="10">
        <f t="shared" si="19"/>
        <v>370.56462788510498</v>
      </c>
    </row>
    <row r="586" spans="1:12" x14ac:dyDescent="0.25">
      <c r="A586" s="2">
        <v>0</v>
      </c>
      <c r="B586" s="4">
        <v>19</v>
      </c>
      <c r="C586" s="4">
        <v>25.7</v>
      </c>
      <c r="D586" s="4">
        <v>0</v>
      </c>
      <c r="E586" s="4" t="s">
        <v>11</v>
      </c>
      <c r="F586" s="4" t="s">
        <v>12</v>
      </c>
      <c r="G586" s="4" t="s">
        <v>10</v>
      </c>
      <c r="H586" s="4">
        <v>1681.5847379542856</v>
      </c>
      <c r="I586" s="4">
        <v>1978.3349858285724</v>
      </c>
      <c r="J586" s="2">
        <f>VLOOKUP(A586,Planilha1!A:M,13,0)</f>
        <v>2511.8220480829059</v>
      </c>
      <c r="K586" s="10">
        <f t="shared" si="18"/>
        <v>830.23731012862027</v>
      </c>
      <c r="L586" s="10">
        <f t="shared" si="19"/>
        <v>296.75024787428674</v>
      </c>
    </row>
    <row r="587" spans="1:12" x14ac:dyDescent="0.25">
      <c r="A587" s="2">
        <v>0</v>
      </c>
      <c r="B587" s="4">
        <v>33</v>
      </c>
      <c r="C587" s="4">
        <v>22</v>
      </c>
      <c r="D587" s="4">
        <v>1</v>
      </c>
      <c r="E587" s="4" t="s">
        <v>8</v>
      </c>
      <c r="F587" s="4" t="s">
        <v>12</v>
      </c>
      <c r="G587" s="4" t="s">
        <v>13</v>
      </c>
      <c r="H587" s="4">
        <v>1685.2574309685183</v>
      </c>
      <c r="I587" s="4">
        <v>1982.6558011394341</v>
      </c>
      <c r="J587" s="2">
        <f>VLOOKUP(A587,Planilha1!A:M,13,0)</f>
        <v>2511.8220480829059</v>
      </c>
      <c r="K587" s="10">
        <f t="shared" si="18"/>
        <v>826.5646171143876</v>
      </c>
      <c r="L587" s="10">
        <f t="shared" si="19"/>
        <v>297.39837017091577</v>
      </c>
    </row>
    <row r="588" spans="1:12" x14ac:dyDescent="0.25">
      <c r="A588" s="2">
        <v>0</v>
      </c>
      <c r="B588" s="4">
        <v>21</v>
      </c>
      <c r="C588" s="4">
        <v>20.2</v>
      </c>
      <c r="D588" s="4">
        <v>3</v>
      </c>
      <c r="E588" s="4" t="s">
        <v>11</v>
      </c>
      <c r="F588" s="4" t="s">
        <v>12</v>
      </c>
      <c r="G588" s="4" t="s">
        <v>15</v>
      </c>
      <c r="H588" s="4">
        <v>2063.7641495595362</v>
      </c>
      <c r="I588" s="4">
        <v>2427.9578230112197</v>
      </c>
      <c r="J588" s="2">
        <f>VLOOKUP(A588,Planilha1!A:M,13,0)</f>
        <v>2511.8220480829059</v>
      </c>
      <c r="K588" s="10">
        <f t="shared" si="18"/>
        <v>448.05789852336966</v>
      </c>
      <c r="L588" s="10">
        <f t="shared" si="19"/>
        <v>364.19367345168348</v>
      </c>
    </row>
    <row r="589" spans="1:12" x14ac:dyDescent="0.25">
      <c r="A589" s="2">
        <v>2</v>
      </c>
      <c r="B589" s="4">
        <v>34</v>
      </c>
      <c r="C589" s="4">
        <v>22</v>
      </c>
      <c r="D589" s="4">
        <v>1</v>
      </c>
      <c r="E589" s="4" t="s">
        <v>8</v>
      </c>
      <c r="F589" s="4" t="s">
        <v>9</v>
      </c>
      <c r="G589" s="4" t="s">
        <v>14</v>
      </c>
      <c r="H589" s="4">
        <v>1791.4747216057369</v>
      </c>
      <c r="I589" s="4">
        <v>2107.6173195361616</v>
      </c>
      <c r="J589" s="2">
        <f>VLOOKUP(A589,Planilha1!A:M,13,0)</f>
        <v>3220.2324129890262</v>
      </c>
      <c r="K589" s="10">
        <f t="shared" si="18"/>
        <v>1428.7576913832893</v>
      </c>
      <c r="L589" s="10">
        <f t="shared" si="19"/>
        <v>316.1425979304247</v>
      </c>
    </row>
    <row r="590" spans="1:12" x14ac:dyDescent="0.25">
      <c r="A590" s="2">
        <v>1</v>
      </c>
      <c r="B590" s="4">
        <v>61</v>
      </c>
      <c r="C590" s="4">
        <v>35.9</v>
      </c>
      <c r="D590" s="4">
        <v>0</v>
      </c>
      <c r="E590" s="4" t="s">
        <v>8</v>
      </c>
      <c r="F590" s="4" t="s">
        <v>12</v>
      </c>
      <c r="G590" s="4" t="s">
        <v>15</v>
      </c>
      <c r="H590" s="4">
        <v>5940.2416485247122</v>
      </c>
      <c r="I590" s="4">
        <v>5657.3729985949658</v>
      </c>
      <c r="J590" s="2">
        <f>VLOOKUP(A590,Planilha1!A:M,13,0)</f>
        <v>6326.3485212104815</v>
      </c>
      <c r="K590" s="10">
        <f t="shared" si="18"/>
        <v>386.1068726857693</v>
      </c>
      <c r="L590" s="10">
        <f t="shared" si="19"/>
        <v>-282.86864992974643</v>
      </c>
    </row>
    <row r="591" spans="1:12" x14ac:dyDescent="0.25">
      <c r="A591" s="2">
        <v>0</v>
      </c>
      <c r="B591" s="4">
        <v>38</v>
      </c>
      <c r="C591" s="4">
        <v>24.4</v>
      </c>
      <c r="D591" s="4">
        <v>1</v>
      </c>
      <c r="E591" s="4" t="s">
        <v>8</v>
      </c>
      <c r="F591" s="4" t="s">
        <v>12</v>
      </c>
      <c r="G591" s="4" t="s">
        <v>13</v>
      </c>
      <c r="H591" s="4">
        <v>2233.555700474868</v>
      </c>
      <c r="I591" s="4">
        <v>2627.7125887939628</v>
      </c>
      <c r="J591" s="2">
        <f>VLOOKUP(A591,Planilha1!A:M,13,0)</f>
        <v>2511.8220480829059</v>
      </c>
      <c r="K591" s="10">
        <f t="shared" si="18"/>
        <v>278.2663476080379</v>
      </c>
      <c r="L591" s="10">
        <f t="shared" si="19"/>
        <v>394.15688831909483</v>
      </c>
    </row>
    <row r="592" spans="1:12" x14ac:dyDescent="0.25">
      <c r="A592" s="2">
        <v>1</v>
      </c>
      <c r="B592" s="4">
        <v>58</v>
      </c>
      <c r="C592" s="4">
        <v>29</v>
      </c>
      <c r="D592" s="4">
        <v>0</v>
      </c>
      <c r="E592" s="4" t="s">
        <v>8</v>
      </c>
      <c r="F592" s="4" t="s">
        <v>12</v>
      </c>
      <c r="G592" s="4" t="s">
        <v>10</v>
      </c>
      <c r="H592" s="4">
        <v>4735.2220676847974</v>
      </c>
      <c r="I592" s="4">
        <v>4509.7353025569519</v>
      </c>
      <c r="J592" s="2">
        <f>VLOOKUP(A592,Planilha1!A:M,13,0)</f>
        <v>6326.3485212104815</v>
      </c>
      <c r="K592" s="10">
        <f t="shared" si="18"/>
        <v>1591.1264535256842</v>
      </c>
      <c r="L592" s="10">
        <f t="shared" si="19"/>
        <v>-225.4867651278455</v>
      </c>
    </row>
    <row r="593" spans="1:12" x14ac:dyDescent="0.25">
      <c r="A593" s="2">
        <v>0</v>
      </c>
      <c r="B593" s="4">
        <v>47</v>
      </c>
      <c r="C593" s="4">
        <v>19.600000000000001</v>
      </c>
      <c r="D593" s="4">
        <v>1</v>
      </c>
      <c r="E593" s="4" t="s">
        <v>11</v>
      </c>
      <c r="F593" s="4" t="s">
        <v>12</v>
      </c>
      <c r="G593" s="4" t="s">
        <v>14</v>
      </c>
      <c r="H593" s="4">
        <v>3116.9242060213965</v>
      </c>
      <c r="I593" s="4">
        <v>3666.9696541428193</v>
      </c>
      <c r="J593" s="2">
        <f>VLOOKUP(A593,Planilha1!A:M,13,0)</f>
        <v>2511.8220480829059</v>
      </c>
      <c r="K593" s="10">
        <f t="shared" si="18"/>
        <v>-605.10215793849056</v>
      </c>
      <c r="L593" s="10">
        <f t="shared" si="19"/>
        <v>550.04544812142285</v>
      </c>
    </row>
    <row r="594" spans="1:12" x14ac:dyDescent="0.25">
      <c r="A594" s="2">
        <v>0</v>
      </c>
      <c r="B594" s="4">
        <v>20</v>
      </c>
      <c r="C594" s="4">
        <v>25.8</v>
      </c>
      <c r="D594" s="4">
        <v>2</v>
      </c>
      <c r="E594" s="4" t="s">
        <v>11</v>
      </c>
      <c r="F594" s="4" t="s">
        <v>12</v>
      </c>
      <c r="G594" s="4" t="s">
        <v>13</v>
      </c>
      <c r="H594" s="4">
        <v>1477.8294788013925</v>
      </c>
      <c r="I594" s="4">
        <v>1738.6229162369327</v>
      </c>
      <c r="J594" s="2">
        <f>VLOOKUP(A594,Planilha1!A:M,13,0)</f>
        <v>2511.8220480829059</v>
      </c>
      <c r="K594" s="10">
        <f t="shared" si="18"/>
        <v>1033.9925692815134</v>
      </c>
      <c r="L594" s="10">
        <f t="shared" si="19"/>
        <v>260.79343743554023</v>
      </c>
    </row>
    <row r="595" spans="1:12" x14ac:dyDescent="0.25">
      <c r="A595" s="2">
        <v>2</v>
      </c>
      <c r="B595" s="4">
        <v>21</v>
      </c>
      <c r="C595" s="4">
        <v>22.1</v>
      </c>
      <c r="D595" s="4">
        <v>1</v>
      </c>
      <c r="E595" s="4" t="s">
        <v>8</v>
      </c>
      <c r="F595" s="4" t="s">
        <v>9</v>
      </c>
      <c r="G595" s="4" t="s">
        <v>15</v>
      </c>
      <c r="H595" s="4">
        <v>1383.2050614901254</v>
      </c>
      <c r="I595" s="4">
        <v>1627.3000723413249</v>
      </c>
      <c r="J595" s="2">
        <f>VLOOKUP(A595,Planilha1!A:M,13,0)</f>
        <v>3220.2324129890262</v>
      </c>
      <c r="K595" s="10">
        <f t="shared" si="18"/>
        <v>1837.0273514989008</v>
      </c>
      <c r="L595" s="10">
        <f t="shared" si="19"/>
        <v>244.0950108511995</v>
      </c>
    </row>
    <row r="596" spans="1:12" x14ac:dyDescent="0.25">
      <c r="A596" s="2">
        <v>1</v>
      </c>
      <c r="B596" s="4">
        <v>41</v>
      </c>
      <c r="C596" s="4">
        <v>40.299999999999997</v>
      </c>
      <c r="D596" s="4">
        <v>0</v>
      </c>
      <c r="E596" s="4" t="s">
        <v>11</v>
      </c>
      <c r="F596" s="4" t="s">
        <v>12</v>
      </c>
      <c r="G596" s="4" t="s">
        <v>13</v>
      </c>
      <c r="H596" s="4">
        <v>5049.7598353601752</v>
      </c>
      <c r="I596" s="4">
        <v>4809.2950812954059</v>
      </c>
      <c r="J596" s="2">
        <f>VLOOKUP(A596,Planilha1!A:M,13,0)</f>
        <v>6326.3485212104815</v>
      </c>
      <c r="K596" s="10">
        <f t="shared" si="18"/>
        <v>1276.5886858503063</v>
      </c>
      <c r="L596" s="10">
        <f t="shared" si="19"/>
        <v>-240.46475406476929</v>
      </c>
    </row>
    <row r="597" spans="1:12" x14ac:dyDescent="0.25">
      <c r="A597" s="2">
        <v>1</v>
      </c>
      <c r="B597" s="4">
        <v>46</v>
      </c>
      <c r="C597" s="4">
        <v>33.700000000000003</v>
      </c>
      <c r="D597" s="4">
        <v>1</v>
      </c>
      <c r="E597" s="4" t="s">
        <v>8</v>
      </c>
      <c r="F597" s="4" t="s">
        <v>12</v>
      </c>
      <c r="G597" s="4" t="s">
        <v>15</v>
      </c>
      <c r="H597" s="4">
        <v>5725.4478643275679</v>
      </c>
      <c r="I597" s="4">
        <v>5452.8074898357809</v>
      </c>
      <c r="J597" s="2">
        <f>VLOOKUP(A597,Planilha1!A:M,13,0)</f>
        <v>6326.3485212104815</v>
      </c>
      <c r="K597" s="10">
        <f t="shared" si="18"/>
        <v>600.90065688291361</v>
      </c>
      <c r="L597" s="10">
        <f t="shared" si="19"/>
        <v>-272.64037449178704</v>
      </c>
    </row>
    <row r="598" spans="1:12" x14ac:dyDescent="0.25">
      <c r="A598" s="2">
        <v>3</v>
      </c>
      <c r="B598" s="4">
        <v>42</v>
      </c>
      <c r="C598" s="4">
        <v>29.5</v>
      </c>
      <c r="D598" s="4">
        <v>2</v>
      </c>
      <c r="E598" s="4" t="s">
        <v>8</v>
      </c>
      <c r="F598" s="4" t="s">
        <v>12</v>
      </c>
      <c r="G598" s="4" t="s">
        <v>13</v>
      </c>
      <c r="H598" s="4">
        <v>2764.0353056310023</v>
      </c>
      <c r="I598" s="4">
        <v>3685.3804075080029</v>
      </c>
      <c r="J598" s="2">
        <f>VLOOKUP(A598,Planilha1!A:M,13,0)</f>
        <v>3049.3550806113421</v>
      </c>
      <c r="K598" s="10">
        <f t="shared" si="18"/>
        <v>285.31977498033984</v>
      </c>
      <c r="L598" s="10">
        <f t="shared" si="19"/>
        <v>921.34510187700062</v>
      </c>
    </row>
    <row r="599" spans="1:12" x14ac:dyDescent="0.25">
      <c r="A599" s="2">
        <v>0</v>
      </c>
      <c r="B599" s="4">
        <v>34</v>
      </c>
      <c r="C599" s="4">
        <v>25.5</v>
      </c>
      <c r="D599" s="4">
        <v>1</v>
      </c>
      <c r="E599" s="4" t="s">
        <v>8</v>
      </c>
      <c r="F599" s="4" t="s">
        <v>12</v>
      </c>
      <c r="G599" s="4" t="s">
        <v>15</v>
      </c>
      <c r="H599" s="4">
        <v>2358.6086293950611</v>
      </c>
      <c r="I599" s="4">
        <v>2774.8336816412498</v>
      </c>
      <c r="J599" s="2">
        <f>VLOOKUP(A599,Planilha1!A:M,13,0)</f>
        <v>2511.8220480829059</v>
      </c>
      <c r="K599" s="10">
        <f t="shared" si="18"/>
        <v>153.21341868784475</v>
      </c>
      <c r="L599" s="10">
        <f t="shared" si="19"/>
        <v>416.22505224618862</v>
      </c>
    </row>
    <row r="600" spans="1:12" x14ac:dyDescent="0.25">
      <c r="A600" s="2">
        <v>3</v>
      </c>
      <c r="B600" s="4">
        <v>43</v>
      </c>
      <c r="C600" s="4">
        <v>32.6</v>
      </c>
      <c r="D600" s="4">
        <v>2</v>
      </c>
      <c r="E600" s="4" t="s">
        <v>11</v>
      </c>
      <c r="F600" s="4" t="s">
        <v>12</v>
      </c>
      <c r="G600" s="4" t="s">
        <v>10</v>
      </c>
      <c r="H600" s="4">
        <v>1348.1358485529938</v>
      </c>
      <c r="I600" s="4">
        <v>1797.5144647373252</v>
      </c>
      <c r="J600" s="2">
        <f>VLOOKUP(A600,Planilha1!A:M,13,0)</f>
        <v>3049.3550806113421</v>
      </c>
      <c r="K600" s="10">
        <f t="shared" si="18"/>
        <v>1701.2192320583483</v>
      </c>
      <c r="L600" s="10">
        <f t="shared" si="19"/>
        <v>449.37861618433135</v>
      </c>
    </row>
    <row r="601" spans="1:12" x14ac:dyDescent="0.25">
      <c r="A601" s="2">
        <v>3</v>
      </c>
      <c r="B601" s="4">
        <v>52</v>
      </c>
      <c r="C601" s="4">
        <v>37.5</v>
      </c>
      <c r="D601" s="4">
        <v>2</v>
      </c>
      <c r="E601" s="4" t="s">
        <v>8</v>
      </c>
      <c r="F601" s="4" t="s">
        <v>12</v>
      </c>
      <c r="G601" s="4" t="s">
        <v>14</v>
      </c>
      <c r="H601" s="4">
        <v>2000.7932749540109</v>
      </c>
      <c r="I601" s="4">
        <v>2667.7243666053478</v>
      </c>
      <c r="J601" s="2">
        <f>VLOOKUP(A601,Planilha1!A:M,13,0)</f>
        <v>3049.3550806113421</v>
      </c>
      <c r="K601" s="10">
        <f t="shared" si="18"/>
        <v>1048.5618056573312</v>
      </c>
      <c r="L601" s="10">
        <f t="shared" si="19"/>
        <v>666.93109165133683</v>
      </c>
    </row>
    <row r="602" spans="1:12" x14ac:dyDescent="0.25">
      <c r="A602" s="2">
        <v>0</v>
      </c>
      <c r="B602" s="4">
        <v>18</v>
      </c>
      <c r="C602" s="4">
        <v>25</v>
      </c>
      <c r="D602" s="4">
        <v>0</v>
      </c>
      <c r="E602" s="4" t="s">
        <v>8</v>
      </c>
      <c r="F602" s="4" t="s">
        <v>12</v>
      </c>
      <c r="G602" s="4" t="s">
        <v>13</v>
      </c>
      <c r="H602" s="4">
        <v>1305.4955750745098</v>
      </c>
      <c r="I602" s="4">
        <v>1535.8771471464831</v>
      </c>
      <c r="J602" s="2">
        <f>VLOOKUP(A602,Planilha1!A:M,13,0)</f>
        <v>2511.8220480829059</v>
      </c>
      <c r="K602" s="10">
        <f t="shared" si="18"/>
        <v>1206.3264730083961</v>
      </c>
      <c r="L602" s="10">
        <f t="shared" si="19"/>
        <v>230.38157207197332</v>
      </c>
    </row>
    <row r="603" spans="1:12" x14ac:dyDescent="0.25">
      <c r="A603" s="2">
        <v>1</v>
      </c>
      <c r="B603" s="4">
        <v>51</v>
      </c>
      <c r="C603" s="4">
        <v>31.6</v>
      </c>
      <c r="D603" s="4">
        <v>0</v>
      </c>
      <c r="E603" s="4" t="s">
        <v>11</v>
      </c>
      <c r="F603" s="4" t="s">
        <v>12</v>
      </c>
      <c r="G603" s="4" t="s">
        <v>14</v>
      </c>
      <c r="H603" s="4">
        <v>4425.0231355034166</v>
      </c>
      <c r="I603" s="4">
        <v>4214.3077480984939</v>
      </c>
      <c r="J603" s="2">
        <f>VLOOKUP(A603,Planilha1!A:M,13,0)</f>
        <v>6326.3485212104815</v>
      </c>
      <c r="K603" s="10">
        <f t="shared" si="18"/>
        <v>1901.3253857070649</v>
      </c>
      <c r="L603" s="10">
        <f t="shared" si="19"/>
        <v>-210.71538740492269</v>
      </c>
    </row>
    <row r="604" spans="1:12" x14ac:dyDescent="0.25">
      <c r="A604" s="2">
        <v>1</v>
      </c>
      <c r="B604" s="4">
        <v>56</v>
      </c>
      <c r="C604" s="4">
        <v>25.3</v>
      </c>
      <c r="D604" s="4">
        <v>0</v>
      </c>
      <c r="E604" s="4" t="s">
        <v>8</v>
      </c>
      <c r="F604" s="4" t="s">
        <v>12</v>
      </c>
      <c r="G604" s="4" t="s">
        <v>10</v>
      </c>
      <c r="H604" s="4">
        <v>5275.407380657839</v>
      </c>
      <c r="I604" s="4">
        <v>5024.1975053884198</v>
      </c>
      <c r="J604" s="2">
        <f>VLOOKUP(A604,Planilha1!A:M,13,0)</f>
        <v>6326.3485212104815</v>
      </c>
      <c r="K604" s="10">
        <f t="shared" si="18"/>
        <v>1050.9411405526425</v>
      </c>
      <c r="L604" s="10">
        <f t="shared" si="19"/>
        <v>-251.20987526941917</v>
      </c>
    </row>
    <row r="605" spans="1:12" x14ac:dyDescent="0.25">
      <c r="A605" s="2">
        <v>3</v>
      </c>
      <c r="B605" s="4">
        <v>64</v>
      </c>
      <c r="C605" s="4">
        <v>39.1</v>
      </c>
      <c r="D605" s="4">
        <v>3</v>
      </c>
      <c r="E605" s="4" t="s">
        <v>8</v>
      </c>
      <c r="F605" s="4" t="s">
        <v>12</v>
      </c>
      <c r="G605" s="4" t="s">
        <v>13</v>
      </c>
      <c r="H605" s="4">
        <v>3838.2899887584472</v>
      </c>
      <c r="I605" s="4">
        <v>5117.7199850112629</v>
      </c>
      <c r="J605" s="2">
        <f>VLOOKUP(A605,Planilha1!A:M,13,0)</f>
        <v>3049.3550806113421</v>
      </c>
      <c r="K605" s="10">
        <f t="shared" si="18"/>
        <v>-788.93490814710503</v>
      </c>
      <c r="L605" s="10">
        <f t="shared" si="19"/>
        <v>1279.4299962528157</v>
      </c>
    </row>
    <row r="606" spans="1:12" x14ac:dyDescent="0.25">
      <c r="A606" s="2">
        <v>2</v>
      </c>
      <c r="B606" s="4">
        <v>19</v>
      </c>
      <c r="C606" s="4">
        <v>21.9</v>
      </c>
      <c r="D606" s="4">
        <v>0</v>
      </c>
      <c r="E606" s="4" t="s">
        <v>8</v>
      </c>
      <c r="F606" s="4" t="s">
        <v>9</v>
      </c>
      <c r="G606" s="4" t="s">
        <v>14</v>
      </c>
      <c r="H606" s="4">
        <v>1665.8445764481464</v>
      </c>
      <c r="I606" s="4">
        <v>1959.8171487625261</v>
      </c>
      <c r="J606" s="2">
        <f>VLOOKUP(A606,Planilha1!A:M,13,0)</f>
        <v>3220.2324129890262</v>
      </c>
      <c r="K606" s="10">
        <f t="shared" si="18"/>
        <v>1554.3878365408798</v>
      </c>
      <c r="L606" s="10">
        <f t="shared" si="19"/>
        <v>293.9725723143797</v>
      </c>
    </row>
    <row r="607" spans="1:12" x14ac:dyDescent="0.25">
      <c r="A607" s="2">
        <v>1</v>
      </c>
      <c r="B607" s="4">
        <v>51</v>
      </c>
      <c r="C607" s="4">
        <v>34.1</v>
      </c>
      <c r="D607" s="4">
        <v>0</v>
      </c>
      <c r="E607" s="4" t="s">
        <v>8</v>
      </c>
      <c r="F607" s="4" t="s">
        <v>12</v>
      </c>
      <c r="G607" s="4" t="s">
        <v>13</v>
      </c>
      <c r="H607" s="4">
        <v>6116.9566426234087</v>
      </c>
      <c r="I607" s="4">
        <v>5825.6729929746771</v>
      </c>
      <c r="J607" s="2">
        <f>VLOOKUP(A607,Planilha1!A:M,13,0)</f>
        <v>6326.3485212104815</v>
      </c>
      <c r="K607" s="10">
        <f t="shared" si="18"/>
        <v>209.39187858707282</v>
      </c>
      <c r="L607" s="10">
        <f t="shared" si="19"/>
        <v>-291.28364964873163</v>
      </c>
    </row>
    <row r="608" spans="1:12" x14ac:dyDescent="0.25">
      <c r="A608" s="2">
        <v>0</v>
      </c>
      <c r="B608" s="4">
        <v>27</v>
      </c>
      <c r="C608" s="4">
        <v>24.3</v>
      </c>
      <c r="D608" s="4">
        <v>0</v>
      </c>
      <c r="E608" s="4" t="s">
        <v>8</v>
      </c>
      <c r="F608" s="4" t="s">
        <v>12</v>
      </c>
      <c r="G608" s="4" t="s">
        <v>15</v>
      </c>
      <c r="H608" s="4">
        <v>2218.2129265548365</v>
      </c>
      <c r="I608" s="4">
        <v>2609.6622665351024</v>
      </c>
      <c r="J608" s="2">
        <f>VLOOKUP(A608,Planilha1!A:M,13,0)</f>
        <v>2511.8220480829059</v>
      </c>
      <c r="K608" s="10">
        <f t="shared" si="18"/>
        <v>293.60912152806941</v>
      </c>
      <c r="L608" s="10">
        <f t="shared" si="19"/>
        <v>391.4493399802659</v>
      </c>
    </row>
    <row r="609" spans="1:12" x14ac:dyDescent="0.25">
      <c r="A609" s="2">
        <v>2</v>
      </c>
      <c r="B609" s="4">
        <v>59</v>
      </c>
      <c r="C609" s="4">
        <v>23.7</v>
      </c>
      <c r="D609" s="4">
        <v>0</v>
      </c>
      <c r="E609" s="4" t="s">
        <v>8</v>
      </c>
      <c r="F609" s="4" t="s">
        <v>9</v>
      </c>
      <c r="G609" s="4" t="s">
        <v>14</v>
      </c>
      <c r="H609" s="4">
        <v>4693.2136902764169</v>
      </c>
      <c r="I609" s="4">
        <v>4469.7273240727791</v>
      </c>
      <c r="J609" s="2">
        <f>VLOOKUP(A609,Planilha1!A:M,13,0)</f>
        <v>3220.2324129890262</v>
      </c>
      <c r="K609" s="10">
        <f t="shared" si="18"/>
        <v>-1472.9812772873906</v>
      </c>
      <c r="L609" s="10">
        <f t="shared" si="19"/>
        <v>-223.48636620363777</v>
      </c>
    </row>
    <row r="610" spans="1:12" x14ac:dyDescent="0.25">
      <c r="A610" s="2">
        <v>3</v>
      </c>
      <c r="B610" s="4">
        <v>28</v>
      </c>
      <c r="C610" s="4">
        <v>27</v>
      </c>
      <c r="D610" s="4">
        <v>2</v>
      </c>
      <c r="E610" s="4" t="s">
        <v>11</v>
      </c>
      <c r="F610" s="4" t="s">
        <v>12</v>
      </c>
      <c r="G610" s="4" t="s">
        <v>15</v>
      </c>
      <c r="H610" s="4">
        <v>1844.7524265510669</v>
      </c>
      <c r="I610" s="4">
        <v>2459.6699020680894</v>
      </c>
      <c r="J610" s="2">
        <f>VLOOKUP(A610,Planilha1!A:M,13,0)</f>
        <v>3049.3550806113421</v>
      </c>
      <c r="K610" s="10">
        <f t="shared" si="18"/>
        <v>1204.6026540602752</v>
      </c>
      <c r="L610" s="10">
        <f t="shared" si="19"/>
        <v>614.91747551702247</v>
      </c>
    </row>
    <row r="611" spans="1:12" x14ac:dyDescent="0.25">
      <c r="A611" s="2">
        <v>2</v>
      </c>
      <c r="B611" s="4">
        <v>30</v>
      </c>
      <c r="C611" s="4">
        <v>37.799999999999997</v>
      </c>
      <c r="D611" s="4">
        <v>2</v>
      </c>
      <c r="E611" s="4" t="s">
        <v>11</v>
      </c>
      <c r="F611" s="4" t="s">
        <v>9</v>
      </c>
      <c r="G611" s="4" t="s">
        <v>10</v>
      </c>
      <c r="H611" s="4">
        <v>1102.8832814910741</v>
      </c>
      <c r="I611" s="4">
        <v>1470.5110419880987</v>
      </c>
      <c r="J611" s="2">
        <f>VLOOKUP(A611,Planilha1!A:M,13,0)</f>
        <v>3220.2324129890262</v>
      </c>
      <c r="K611" s="10">
        <f t="shared" si="18"/>
        <v>2117.3491314979519</v>
      </c>
      <c r="L611" s="10">
        <f t="shared" si="19"/>
        <v>367.62776049702461</v>
      </c>
    </row>
    <row r="612" spans="1:12" x14ac:dyDescent="0.25">
      <c r="A612" s="2">
        <v>1</v>
      </c>
      <c r="B612" s="4">
        <v>47</v>
      </c>
      <c r="C612" s="4">
        <v>29.4</v>
      </c>
      <c r="D612" s="4">
        <v>1</v>
      </c>
      <c r="E612" s="4" t="s">
        <v>8</v>
      </c>
      <c r="F612" s="4" t="s">
        <v>12</v>
      </c>
      <c r="G612" s="4" t="s">
        <v>13</v>
      </c>
      <c r="H612" s="4">
        <v>4926.3394939243235</v>
      </c>
      <c r="I612" s="4">
        <v>4691.7518989755472</v>
      </c>
      <c r="J612" s="2">
        <f>VLOOKUP(A612,Planilha1!A:M,13,0)</f>
        <v>6326.3485212104815</v>
      </c>
      <c r="K612" s="10">
        <f t="shared" si="18"/>
        <v>1400.009027286158</v>
      </c>
      <c r="L612" s="10">
        <f t="shared" si="19"/>
        <v>-234.58759494877631</v>
      </c>
    </row>
    <row r="613" spans="1:12" x14ac:dyDescent="0.25">
      <c r="A613" s="2">
        <v>3</v>
      </c>
      <c r="B613" s="4">
        <v>38</v>
      </c>
      <c r="C613" s="4">
        <v>34.799999999999997</v>
      </c>
      <c r="D613" s="4">
        <v>2</v>
      </c>
      <c r="E613" s="4" t="s">
        <v>8</v>
      </c>
      <c r="F613" s="4" t="s">
        <v>12</v>
      </c>
      <c r="G613" s="4" t="s">
        <v>10</v>
      </c>
      <c r="H613" s="4">
        <v>1874.3692452083774</v>
      </c>
      <c r="I613" s="4">
        <v>2499.15899361117</v>
      </c>
      <c r="J613" s="2">
        <f>VLOOKUP(A613,Planilha1!A:M,13,0)</f>
        <v>3049.3550806113421</v>
      </c>
      <c r="K613" s="10">
        <f t="shared" si="18"/>
        <v>1174.9858354029648</v>
      </c>
      <c r="L613" s="10">
        <f t="shared" si="19"/>
        <v>624.78974840279261</v>
      </c>
    </row>
    <row r="614" spans="1:12" x14ac:dyDescent="0.25">
      <c r="A614" s="2">
        <v>0</v>
      </c>
      <c r="B614" s="4">
        <v>18</v>
      </c>
      <c r="C614" s="4">
        <v>21.3</v>
      </c>
      <c r="D614" s="4">
        <v>0</v>
      </c>
      <c r="E614" s="4" t="s">
        <v>8</v>
      </c>
      <c r="F614" s="4" t="s">
        <v>12</v>
      </c>
      <c r="G614" s="4" t="s">
        <v>15</v>
      </c>
      <c r="H614" s="4">
        <v>2164.2012005940646</v>
      </c>
      <c r="I614" s="4">
        <v>2546.1190595224298</v>
      </c>
      <c r="J614" s="2">
        <f>VLOOKUP(A614,Planilha1!A:M,13,0)</f>
        <v>2511.8220480829059</v>
      </c>
      <c r="K614" s="10">
        <f t="shared" si="18"/>
        <v>347.62084748884126</v>
      </c>
      <c r="L614" s="10">
        <f t="shared" si="19"/>
        <v>381.91785892836515</v>
      </c>
    </row>
    <row r="615" spans="1:12" x14ac:dyDescent="0.25">
      <c r="A615" s="2">
        <v>3</v>
      </c>
      <c r="B615" s="4">
        <v>34</v>
      </c>
      <c r="C615" s="4">
        <v>19</v>
      </c>
      <c r="D615" s="4">
        <v>3</v>
      </c>
      <c r="E615" s="4" t="s">
        <v>8</v>
      </c>
      <c r="F615" s="4" t="s">
        <v>12</v>
      </c>
      <c r="G615" s="4" t="s">
        <v>15</v>
      </c>
      <c r="H615" s="4">
        <v>1577.6532186706208</v>
      </c>
      <c r="I615" s="4">
        <v>2103.5376248941611</v>
      </c>
      <c r="J615" s="2">
        <f>VLOOKUP(A615,Planilha1!A:M,13,0)</f>
        <v>3049.3550806113421</v>
      </c>
      <c r="K615" s="10">
        <f t="shared" si="18"/>
        <v>1471.7018619407213</v>
      </c>
      <c r="L615" s="10">
        <f t="shared" si="19"/>
        <v>525.88440622354028</v>
      </c>
    </row>
    <row r="616" spans="1:12" x14ac:dyDescent="0.25">
      <c r="A616" s="2">
        <v>0</v>
      </c>
      <c r="B616" s="4">
        <v>20</v>
      </c>
      <c r="C616" s="4">
        <v>25.7</v>
      </c>
      <c r="D616" s="4">
        <v>0</v>
      </c>
      <c r="E616" s="4" t="s">
        <v>8</v>
      </c>
      <c r="F616" s="4" t="s">
        <v>12</v>
      </c>
      <c r="G616" s="4" t="s">
        <v>13</v>
      </c>
      <c r="H616" s="4">
        <v>2354.9971340573775</v>
      </c>
      <c r="I616" s="4">
        <v>2770.5848635969155</v>
      </c>
      <c r="J616" s="2">
        <f>VLOOKUP(A616,Planilha1!A:M,13,0)</f>
        <v>2511.8220480829059</v>
      </c>
      <c r="K616" s="10">
        <f t="shared" si="18"/>
        <v>156.82491402552841</v>
      </c>
      <c r="L616" s="10">
        <f t="shared" si="19"/>
        <v>415.58772953953803</v>
      </c>
    </row>
    <row r="617" spans="1:12" x14ac:dyDescent="0.25">
      <c r="A617" s="2">
        <v>2</v>
      </c>
      <c r="B617" s="4">
        <v>47</v>
      </c>
      <c r="C617" s="4">
        <v>36.6</v>
      </c>
      <c r="D617" s="4">
        <v>1</v>
      </c>
      <c r="E617" s="4" t="s">
        <v>8</v>
      </c>
      <c r="F617" s="4" t="s">
        <v>9</v>
      </c>
      <c r="G617" s="4" t="s">
        <v>13</v>
      </c>
      <c r="H617" s="4">
        <v>3499.0189233002525</v>
      </c>
      <c r="I617" s="4">
        <v>3332.3989745716708</v>
      </c>
      <c r="J617" s="2">
        <f>VLOOKUP(A617,Planilha1!A:M,13,0)</f>
        <v>3220.2324129890262</v>
      </c>
      <c r="K617" s="10">
        <f t="shared" si="18"/>
        <v>-278.78651031122627</v>
      </c>
      <c r="L617" s="10">
        <f t="shared" si="19"/>
        <v>-166.61994872858168</v>
      </c>
    </row>
    <row r="618" spans="1:12" x14ac:dyDescent="0.25">
      <c r="A618" s="2">
        <v>1</v>
      </c>
      <c r="B618" s="4">
        <v>56</v>
      </c>
      <c r="C618" s="4">
        <v>28.6</v>
      </c>
      <c r="D618" s="4">
        <v>0</v>
      </c>
      <c r="E618" s="4" t="s">
        <v>8</v>
      </c>
      <c r="F618" s="4" t="s">
        <v>12</v>
      </c>
      <c r="G618" s="4" t="s">
        <v>15</v>
      </c>
      <c r="H618" s="4">
        <v>5548.9753155497419</v>
      </c>
      <c r="I618" s="4">
        <v>5284.7383957616603</v>
      </c>
      <c r="J618" s="2">
        <f>VLOOKUP(A618,Planilha1!A:M,13,0)</f>
        <v>6326.3485212104815</v>
      </c>
      <c r="K618" s="10">
        <f t="shared" si="18"/>
        <v>777.37320566073959</v>
      </c>
      <c r="L618" s="10">
        <f t="shared" si="19"/>
        <v>-264.23691978808165</v>
      </c>
    </row>
    <row r="619" spans="1:12" x14ac:dyDescent="0.25">
      <c r="A619" s="2">
        <v>2</v>
      </c>
      <c r="B619" s="4">
        <v>49</v>
      </c>
      <c r="C619" s="4">
        <v>25.6</v>
      </c>
      <c r="D619" s="4">
        <v>2</v>
      </c>
      <c r="E619" s="4" t="s">
        <v>11</v>
      </c>
      <c r="F619" s="4" t="s">
        <v>9</v>
      </c>
      <c r="G619" s="4" t="s">
        <v>10</v>
      </c>
      <c r="H619" s="4">
        <v>2065.9364433993483</v>
      </c>
      <c r="I619" s="4">
        <v>2754.5819245324642</v>
      </c>
      <c r="J619" s="2">
        <f>VLOOKUP(A619,Planilha1!A:M,13,0)</f>
        <v>3220.2324129890262</v>
      </c>
      <c r="K619" s="10">
        <f t="shared" si="18"/>
        <v>1154.295969589678</v>
      </c>
      <c r="L619" s="10">
        <f t="shared" si="19"/>
        <v>688.64548113311594</v>
      </c>
    </row>
    <row r="620" spans="1:12" x14ac:dyDescent="0.25">
      <c r="A620" s="2">
        <v>2</v>
      </c>
      <c r="B620" s="4">
        <v>19</v>
      </c>
      <c r="C620" s="4">
        <v>20.8</v>
      </c>
      <c r="D620" s="4">
        <v>0</v>
      </c>
      <c r="E620" s="4" t="s">
        <v>8</v>
      </c>
      <c r="F620" s="4" t="s">
        <v>9</v>
      </c>
      <c r="G620" s="4" t="s">
        <v>13</v>
      </c>
      <c r="H620" s="4">
        <v>1562.6560235672694</v>
      </c>
      <c r="I620" s="4">
        <v>1838.4188512556118</v>
      </c>
      <c r="J620" s="2">
        <f>VLOOKUP(A620,Planilha1!A:M,13,0)</f>
        <v>3220.2324129890262</v>
      </c>
      <c r="K620" s="10">
        <f t="shared" si="18"/>
        <v>1657.5763894217569</v>
      </c>
      <c r="L620" s="10">
        <f t="shared" si="19"/>
        <v>275.76282768834244</v>
      </c>
    </row>
    <row r="621" spans="1:12" x14ac:dyDescent="0.25">
      <c r="A621" s="2">
        <v>1</v>
      </c>
      <c r="B621" s="4">
        <v>55</v>
      </c>
      <c r="C621" s="4">
        <v>37.1</v>
      </c>
      <c r="D621" s="4">
        <v>0</v>
      </c>
      <c r="E621" s="4" t="s">
        <v>8</v>
      </c>
      <c r="F621" s="4" t="s">
        <v>12</v>
      </c>
      <c r="G621" s="4" t="s">
        <v>10</v>
      </c>
      <c r="H621" s="4">
        <v>4856.0236924531964</v>
      </c>
      <c r="I621" s="4">
        <v>4624.7844690030452</v>
      </c>
      <c r="J621" s="2">
        <f>VLOOKUP(A621,Planilha1!A:M,13,0)</f>
        <v>6326.3485212104815</v>
      </c>
      <c r="K621" s="10">
        <f t="shared" si="18"/>
        <v>1470.3248287572851</v>
      </c>
      <c r="L621" s="10">
        <f t="shared" si="19"/>
        <v>-231.23922345015126</v>
      </c>
    </row>
    <row r="622" spans="1:12" x14ac:dyDescent="0.25">
      <c r="A622" s="2">
        <v>0</v>
      </c>
      <c r="B622" s="4">
        <v>30</v>
      </c>
      <c r="C622" s="4">
        <v>21</v>
      </c>
      <c r="D622" s="4">
        <v>1</v>
      </c>
      <c r="E622" s="4" t="s">
        <v>11</v>
      </c>
      <c r="F622" s="4" t="s">
        <v>12</v>
      </c>
      <c r="G622" s="4" t="s">
        <v>10</v>
      </c>
      <c r="H622" s="4">
        <v>2038.9735054897963</v>
      </c>
      <c r="I622" s="4">
        <v>2398.7923593997612</v>
      </c>
      <c r="J622" s="2">
        <f>VLOOKUP(A622,Planilha1!A:M,13,0)</f>
        <v>2511.8220480829059</v>
      </c>
      <c r="K622" s="10">
        <f t="shared" si="18"/>
        <v>472.84854259310964</v>
      </c>
      <c r="L622" s="10">
        <f t="shared" si="19"/>
        <v>359.8188539099649</v>
      </c>
    </row>
    <row r="623" spans="1:12" x14ac:dyDescent="0.25">
      <c r="A623" s="2">
        <v>2</v>
      </c>
      <c r="B623" s="4">
        <v>37</v>
      </c>
      <c r="C623" s="4">
        <v>34.1</v>
      </c>
      <c r="D623" s="4">
        <v>4</v>
      </c>
      <c r="E623" s="4" t="s">
        <v>11</v>
      </c>
      <c r="F623" s="4" t="s">
        <v>9</v>
      </c>
      <c r="G623" s="4" t="s">
        <v>10</v>
      </c>
      <c r="H623" s="4">
        <v>3294.5250846796571</v>
      </c>
      <c r="I623" s="4">
        <v>4392.7001129062091</v>
      </c>
      <c r="J623" s="2">
        <f>VLOOKUP(A623,Planilha1!A:M,13,0)</f>
        <v>3220.2324129890262</v>
      </c>
      <c r="K623" s="10">
        <f t="shared" si="18"/>
        <v>-74.292671690630868</v>
      </c>
      <c r="L623" s="10">
        <f t="shared" si="19"/>
        <v>1098.1750282265521</v>
      </c>
    </row>
    <row r="624" spans="1:12" x14ac:dyDescent="0.25">
      <c r="A624" s="2">
        <v>0</v>
      </c>
      <c r="B624" s="4">
        <v>49</v>
      </c>
      <c r="C624" s="4">
        <v>21.3</v>
      </c>
      <c r="D624" s="4">
        <v>1</v>
      </c>
      <c r="E624" s="4" t="s">
        <v>8</v>
      </c>
      <c r="F624" s="4" t="s">
        <v>12</v>
      </c>
      <c r="G624" s="4" t="s">
        <v>10</v>
      </c>
      <c r="H624" s="4">
        <v>2151.8406429623342</v>
      </c>
      <c r="I624" s="4">
        <v>2531.5772270145112</v>
      </c>
      <c r="J624" s="2">
        <f>VLOOKUP(A624,Planilha1!A:M,13,0)</f>
        <v>2511.8220480829059</v>
      </c>
      <c r="K624" s="10">
        <f t="shared" si="18"/>
        <v>359.98140512057171</v>
      </c>
      <c r="L624" s="10">
        <f t="shared" si="19"/>
        <v>379.73658405217702</v>
      </c>
    </row>
    <row r="625" spans="1:12" x14ac:dyDescent="0.25">
      <c r="A625" s="2">
        <v>2</v>
      </c>
      <c r="B625" s="4">
        <v>18</v>
      </c>
      <c r="C625" s="4">
        <v>22.5</v>
      </c>
      <c r="D625" s="4">
        <v>0</v>
      </c>
      <c r="E625" s="4" t="s">
        <v>11</v>
      </c>
      <c r="F625" s="4" t="s">
        <v>9</v>
      </c>
      <c r="G625" s="4" t="s">
        <v>15</v>
      </c>
      <c r="H625" s="4">
        <v>1341.5124779361101</v>
      </c>
      <c r="I625" s="4">
        <v>1578.2499740424832</v>
      </c>
      <c r="J625" s="2">
        <f>VLOOKUP(A625,Planilha1!A:M,13,0)</f>
        <v>3220.2324129890262</v>
      </c>
      <c r="K625" s="10">
        <f t="shared" si="18"/>
        <v>1878.7199350529161</v>
      </c>
      <c r="L625" s="10">
        <f t="shared" si="19"/>
        <v>236.7374961063731</v>
      </c>
    </row>
    <row r="626" spans="1:12" x14ac:dyDescent="0.25">
      <c r="A626" s="2">
        <v>1</v>
      </c>
      <c r="B626" s="4">
        <v>59</v>
      </c>
      <c r="C626" s="4">
        <v>28.8</v>
      </c>
      <c r="D626" s="4">
        <v>0</v>
      </c>
      <c r="E626" s="4" t="s">
        <v>11</v>
      </c>
      <c r="F626" s="4" t="s">
        <v>12</v>
      </c>
      <c r="G626" s="4" t="s">
        <v>14</v>
      </c>
      <c r="H626" s="4">
        <v>3665.049254457494</v>
      </c>
      <c r="I626" s="4">
        <v>3490.5230994833291</v>
      </c>
      <c r="J626" s="2">
        <f>VLOOKUP(A626,Planilha1!A:M,13,0)</f>
        <v>6326.3485212104815</v>
      </c>
      <c r="K626" s="10">
        <f t="shared" si="18"/>
        <v>2661.2992667529875</v>
      </c>
      <c r="L626" s="10">
        <f t="shared" si="19"/>
        <v>-174.52615497416491</v>
      </c>
    </row>
    <row r="627" spans="1:12" x14ac:dyDescent="0.25">
      <c r="A627" s="2">
        <v>0</v>
      </c>
      <c r="B627" s="4">
        <v>29</v>
      </c>
      <c r="C627" s="4">
        <v>20.8</v>
      </c>
      <c r="D627" s="4">
        <v>0</v>
      </c>
      <c r="E627" s="4" t="s">
        <v>8</v>
      </c>
      <c r="F627" s="4" t="s">
        <v>12</v>
      </c>
      <c r="G627" s="4" t="s">
        <v>14</v>
      </c>
      <c r="H627" s="4">
        <v>1543.9984290536881</v>
      </c>
      <c r="I627" s="4">
        <v>1816.4687400631633</v>
      </c>
      <c r="J627" s="2">
        <f>VLOOKUP(A627,Planilha1!A:M,13,0)</f>
        <v>2511.8220480829059</v>
      </c>
      <c r="K627" s="10">
        <f t="shared" si="18"/>
        <v>967.82361902921775</v>
      </c>
      <c r="L627" s="10">
        <f t="shared" si="19"/>
        <v>272.47031100947515</v>
      </c>
    </row>
    <row r="628" spans="1:12" x14ac:dyDescent="0.25">
      <c r="A628" s="2">
        <v>3</v>
      </c>
      <c r="B628" s="4">
        <v>36</v>
      </c>
      <c r="C628" s="4">
        <v>28.9</v>
      </c>
      <c r="D628" s="4">
        <v>3</v>
      </c>
      <c r="E628" s="4" t="s">
        <v>11</v>
      </c>
      <c r="F628" s="4" t="s">
        <v>12</v>
      </c>
      <c r="G628" s="4" t="s">
        <v>15</v>
      </c>
      <c r="H628" s="4">
        <v>2639.0889686902506</v>
      </c>
      <c r="I628" s="4">
        <v>3518.7852915870008</v>
      </c>
      <c r="J628" s="2">
        <f>VLOOKUP(A628,Planilha1!A:M,13,0)</f>
        <v>3049.3550806113421</v>
      </c>
      <c r="K628" s="10">
        <f t="shared" si="18"/>
        <v>410.26611192109158</v>
      </c>
      <c r="L628" s="10">
        <f t="shared" si="19"/>
        <v>879.69632289675019</v>
      </c>
    </row>
    <row r="629" spans="1:12" x14ac:dyDescent="0.25">
      <c r="A629" s="2">
        <v>0</v>
      </c>
      <c r="B629" s="4">
        <v>33</v>
      </c>
      <c r="C629" s="4">
        <v>24.2</v>
      </c>
      <c r="D629" s="4">
        <v>1</v>
      </c>
      <c r="E629" s="4" t="s">
        <v>11</v>
      </c>
      <c r="F629" s="4" t="s">
        <v>12</v>
      </c>
      <c r="G629" s="4" t="s">
        <v>13</v>
      </c>
      <c r="H629" s="4">
        <v>2391.4792659348532</v>
      </c>
      <c r="I629" s="4">
        <v>2813.505018746886</v>
      </c>
      <c r="J629" s="2">
        <f>VLOOKUP(A629,Planilha1!A:M,13,0)</f>
        <v>2511.8220480829059</v>
      </c>
      <c r="K629" s="10">
        <f t="shared" si="18"/>
        <v>120.34278214805272</v>
      </c>
      <c r="L629" s="10">
        <f t="shared" si="19"/>
        <v>422.02575281203281</v>
      </c>
    </row>
    <row r="630" spans="1:12" x14ac:dyDescent="0.25">
      <c r="A630" s="2">
        <v>1</v>
      </c>
      <c r="B630" s="4">
        <v>58</v>
      </c>
      <c r="C630" s="4">
        <v>38</v>
      </c>
      <c r="D630" s="4">
        <v>0</v>
      </c>
      <c r="E630" s="4" t="s">
        <v>11</v>
      </c>
      <c r="F630" s="4" t="s">
        <v>12</v>
      </c>
      <c r="G630" s="4" t="s">
        <v>10</v>
      </c>
      <c r="H630" s="4">
        <v>3817.7252095097551</v>
      </c>
      <c r="I630" s="4">
        <v>3635.9287709616733</v>
      </c>
      <c r="J630" s="2">
        <f>VLOOKUP(A630,Planilha1!A:M,13,0)</f>
        <v>6326.3485212104815</v>
      </c>
      <c r="K630" s="10">
        <f t="shared" si="18"/>
        <v>2508.6233117007264</v>
      </c>
      <c r="L630" s="10">
        <f t="shared" si="19"/>
        <v>-181.79643854808182</v>
      </c>
    </row>
    <row r="631" spans="1:12" x14ac:dyDescent="0.25">
      <c r="A631" s="2">
        <v>2</v>
      </c>
      <c r="B631" s="4">
        <v>44</v>
      </c>
      <c r="C631" s="4">
        <v>39</v>
      </c>
      <c r="D631" s="4">
        <v>0</v>
      </c>
      <c r="E631" s="4" t="s">
        <v>8</v>
      </c>
      <c r="F631" s="4" t="s">
        <v>9</v>
      </c>
      <c r="G631" s="4" t="s">
        <v>14</v>
      </c>
      <c r="H631" s="4">
        <v>4435.7217638136035</v>
      </c>
      <c r="I631" s="4">
        <v>4224.4969179177187</v>
      </c>
      <c r="J631" s="2">
        <f>VLOOKUP(A631,Planilha1!A:M,13,0)</f>
        <v>3220.2324129890262</v>
      </c>
      <c r="K631" s="10">
        <f t="shared" si="18"/>
        <v>-1215.4893508245773</v>
      </c>
      <c r="L631" s="10">
        <f t="shared" si="19"/>
        <v>-211.22484589588476</v>
      </c>
    </row>
    <row r="632" spans="1:12" x14ac:dyDescent="0.25">
      <c r="A632" s="2">
        <v>1</v>
      </c>
      <c r="B632" s="4">
        <v>53</v>
      </c>
      <c r="C632" s="4">
        <v>36.1</v>
      </c>
      <c r="D632" s="4">
        <v>1</v>
      </c>
      <c r="E632" s="4" t="s">
        <v>11</v>
      </c>
      <c r="F632" s="4" t="s">
        <v>12</v>
      </c>
      <c r="G632" s="4" t="s">
        <v>10</v>
      </c>
      <c r="H632" s="4">
        <v>5417.9451972951065</v>
      </c>
      <c r="I632" s="4">
        <v>5159.9478069477218</v>
      </c>
      <c r="J632" s="2">
        <f>VLOOKUP(A632,Planilha1!A:M,13,0)</f>
        <v>6326.3485212104815</v>
      </c>
      <c r="K632" s="10">
        <f t="shared" si="18"/>
        <v>908.40332391537504</v>
      </c>
      <c r="L632" s="10">
        <f t="shared" si="19"/>
        <v>-257.99739034738468</v>
      </c>
    </row>
    <row r="633" spans="1:12" x14ac:dyDescent="0.25">
      <c r="A633" s="2">
        <v>0</v>
      </c>
      <c r="B633" s="4">
        <v>24</v>
      </c>
      <c r="C633" s="4">
        <v>20.399999999999999</v>
      </c>
      <c r="D633" s="4">
        <v>0</v>
      </c>
      <c r="E633" s="4" t="s">
        <v>11</v>
      </c>
      <c r="F633" s="4" t="s">
        <v>12</v>
      </c>
      <c r="G633" s="4" t="s">
        <v>10</v>
      </c>
      <c r="H633" s="4">
        <v>2262.8795208706229</v>
      </c>
      <c r="I633" s="4">
        <v>2662.2112010242627</v>
      </c>
      <c r="J633" s="2">
        <f>VLOOKUP(A633,Planilha1!A:M,13,0)</f>
        <v>2511.8220480829059</v>
      </c>
      <c r="K633" s="10">
        <f t="shared" si="18"/>
        <v>248.94252721228304</v>
      </c>
      <c r="L633" s="10">
        <f t="shared" si="19"/>
        <v>399.33168015363981</v>
      </c>
    </row>
    <row r="634" spans="1:12" x14ac:dyDescent="0.25">
      <c r="A634" s="2">
        <v>0</v>
      </c>
      <c r="B634" s="4">
        <v>29</v>
      </c>
      <c r="C634" s="4">
        <v>20.399999999999999</v>
      </c>
      <c r="D634" s="4">
        <v>0</v>
      </c>
      <c r="E634" s="4" t="s">
        <v>8</v>
      </c>
      <c r="F634" s="4" t="s">
        <v>12</v>
      </c>
      <c r="G634" s="4" t="s">
        <v>13</v>
      </c>
      <c r="H634" s="4">
        <v>2502.3545483004018</v>
      </c>
      <c r="I634" s="4">
        <v>2943.9465274122385</v>
      </c>
      <c r="J634" s="2">
        <f>VLOOKUP(A634,Planilha1!A:M,13,0)</f>
        <v>2511.8220480829059</v>
      </c>
      <c r="K634" s="10">
        <f t="shared" si="18"/>
        <v>9.4674997825040919</v>
      </c>
      <c r="L634" s="10">
        <f t="shared" si="19"/>
        <v>441.59197911183674</v>
      </c>
    </row>
    <row r="635" spans="1:12" x14ac:dyDescent="0.25">
      <c r="A635" s="2">
        <v>3</v>
      </c>
      <c r="B635" s="4">
        <v>40</v>
      </c>
      <c r="C635" s="4">
        <v>22.7</v>
      </c>
      <c r="D635" s="4">
        <v>2</v>
      </c>
      <c r="E635" s="4" t="s">
        <v>11</v>
      </c>
      <c r="F635" s="4" t="s">
        <v>12</v>
      </c>
      <c r="G635" s="4" t="s">
        <v>15</v>
      </c>
      <c r="H635" s="4">
        <v>2340.4815816127302</v>
      </c>
      <c r="I635" s="4">
        <v>3120.6421088169736</v>
      </c>
      <c r="J635" s="2">
        <f>VLOOKUP(A635,Planilha1!A:M,13,0)</f>
        <v>3049.3550806113421</v>
      </c>
      <c r="K635" s="10">
        <f t="shared" si="18"/>
        <v>708.87349899861192</v>
      </c>
      <c r="L635" s="10">
        <f t="shared" si="19"/>
        <v>780.16052720424341</v>
      </c>
    </row>
    <row r="636" spans="1:12" x14ac:dyDescent="0.25">
      <c r="A636" s="2">
        <v>1</v>
      </c>
      <c r="B636" s="4">
        <v>51</v>
      </c>
      <c r="C636" s="4">
        <v>39.700000000000003</v>
      </c>
      <c r="D636" s="4">
        <v>1</v>
      </c>
      <c r="E636" s="4" t="s">
        <v>11</v>
      </c>
      <c r="F636" s="4" t="s">
        <v>12</v>
      </c>
      <c r="G636" s="4" t="s">
        <v>10</v>
      </c>
      <c r="H636" s="4">
        <v>4653.602528925293</v>
      </c>
      <c r="I636" s="4">
        <v>4432.0024085002806</v>
      </c>
      <c r="J636" s="2">
        <f>VLOOKUP(A636,Planilha1!A:M,13,0)</f>
        <v>6326.3485212104815</v>
      </c>
      <c r="K636" s="10">
        <f t="shared" si="18"/>
        <v>1672.7459922851885</v>
      </c>
      <c r="L636" s="10">
        <f t="shared" si="19"/>
        <v>-221.60012042501239</v>
      </c>
    </row>
    <row r="637" spans="1:12" x14ac:dyDescent="0.25">
      <c r="A637" s="2">
        <v>1</v>
      </c>
      <c r="B637" s="4">
        <v>64</v>
      </c>
      <c r="C637" s="4">
        <v>38.200000000000003</v>
      </c>
      <c r="D637" s="4">
        <v>0</v>
      </c>
      <c r="E637" s="4" t="s">
        <v>11</v>
      </c>
      <c r="F637" s="4" t="s">
        <v>12</v>
      </c>
      <c r="G637" s="4" t="s">
        <v>15</v>
      </c>
      <c r="H637" s="4">
        <v>4526.177396157248</v>
      </c>
      <c r="I637" s="4">
        <v>4310.6451391973806</v>
      </c>
      <c r="J637" s="2">
        <f>VLOOKUP(A637,Planilha1!A:M,13,0)</f>
        <v>6326.3485212104815</v>
      </c>
      <c r="K637" s="10">
        <f t="shared" si="18"/>
        <v>1800.1711250532335</v>
      </c>
      <c r="L637" s="10">
        <f t="shared" si="19"/>
        <v>-215.53225695986748</v>
      </c>
    </row>
    <row r="638" spans="1:12" x14ac:dyDescent="0.25">
      <c r="A638" s="2">
        <v>0</v>
      </c>
      <c r="B638" s="4">
        <v>19</v>
      </c>
      <c r="C638" s="4">
        <v>24.5</v>
      </c>
      <c r="D638" s="4">
        <v>1</v>
      </c>
      <c r="E638" s="4" t="s">
        <v>8</v>
      </c>
      <c r="F638" s="4" t="s">
        <v>12</v>
      </c>
      <c r="G638" s="4" t="s">
        <v>14</v>
      </c>
      <c r="H638" s="4">
        <v>1995.3193817865022</v>
      </c>
      <c r="I638" s="4">
        <v>2347.4345668076508</v>
      </c>
      <c r="J638" s="2">
        <f>VLOOKUP(A638,Planilha1!A:M,13,0)</f>
        <v>2511.8220480829059</v>
      </c>
      <c r="K638" s="10">
        <f t="shared" si="18"/>
        <v>516.50266629640373</v>
      </c>
      <c r="L638" s="10">
        <f t="shared" si="19"/>
        <v>352.11518502114859</v>
      </c>
    </row>
    <row r="639" spans="1:12" x14ac:dyDescent="0.25">
      <c r="A639" s="2">
        <v>3</v>
      </c>
      <c r="B639" s="4">
        <v>35</v>
      </c>
      <c r="C639" s="4">
        <v>38.1</v>
      </c>
      <c r="D639" s="4">
        <v>2</v>
      </c>
      <c r="E639" s="4" t="s">
        <v>8</v>
      </c>
      <c r="F639" s="4" t="s">
        <v>12</v>
      </c>
      <c r="G639" s="4" t="s">
        <v>15</v>
      </c>
      <c r="H639" s="4">
        <v>1537.0756877884346</v>
      </c>
      <c r="I639" s="4">
        <v>2049.4342503845796</v>
      </c>
      <c r="J639" s="2">
        <f>VLOOKUP(A639,Planilha1!A:M,13,0)</f>
        <v>3049.3550806113421</v>
      </c>
      <c r="K639" s="10">
        <f t="shared" si="18"/>
        <v>1512.2793928229075</v>
      </c>
      <c r="L639" s="10">
        <f t="shared" si="19"/>
        <v>512.35856259614502</v>
      </c>
    </row>
    <row r="640" spans="1:12" x14ac:dyDescent="0.25">
      <c r="A640" s="2">
        <v>2</v>
      </c>
      <c r="B640" s="4">
        <v>39</v>
      </c>
      <c r="C640" s="4">
        <v>21</v>
      </c>
      <c r="D640" s="4">
        <v>0</v>
      </c>
      <c r="E640" s="4" t="s">
        <v>11</v>
      </c>
      <c r="F640" s="4" t="s">
        <v>9</v>
      </c>
      <c r="G640" s="4" t="s">
        <v>15</v>
      </c>
      <c r="H640" s="4">
        <v>2158.5271865007826</v>
      </c>
      <c r="I640" s="4">
        <v>2539.4437488244507</v>
      </c>
      <c r="J640" s="2">
        <f>VLOOKUP(A640,Planilha1!A:M,13,0)</f>
        <v>3220.2324129890262</v>
      </c>
      <c r="K640" s="10">
        <f t="shared" si="18"/>
        <v>1061.7052264882436</v>
      </c>
      <c r="L640" s="10">
        <f t="shared" si="19"/>
        <v>380.91656232366813</v>
      </c>
    </row>
    <row r="641" spans="1:12" x14ac:dyDescent="0.25">
      <c r="A641" s="2">
        <v>3</v>
      </c>
      <c r="B641" s="4">
        <v>56</v>
      </c>
      <c r="C641" s="4">
        <v>33.700000000000003</v>
      </c>
      <c r="D641" s="4">
        <v>4</v>
      </c>
      <c r="E641" s="4" t="s">
        <v>11</v>
      </c>
      <c r="F641" s="4" t="s">
        <v>12</v>
      </c>
      <c r="G641" s="4" t="s">
        <v>13</v>
      </c>
      <c r="H641" s="4">
        <v>2456.1091586444518</v>
      </c>
      <c r="I641" s="4">
        <v>3274.8122115259357</v>
      </c>
      <c r="J641" s="2">
        <f>VLOOKUP(A641,Planilha1!A:M,13,0)</f>
        <v>3049.3550806113421</v>
      </c>
      <c r="K641" s="10">
        <f t="shared" si="18"/>
        <v>593.24592196689036</v>
      </c>
      <c r="L641" s="10">
        <f t="shared" si="19"/>
        <v>818.70305288148393</v>
      </c>
    </row>
    <row r="642" spans="1:12" x14ac:dyDescent="0.25">
      <c r="A642" s="2">
        <v>3</v>
      </c>
      <c r="B642" s="4">
        <v>33</v>
      </c>
      <c r="C642" s="4">
        <v>42.4</v>
      </c>
      <c r="D642" s="4">
        <v>5</v>
      </c>
      <c r="E642" s="4" t="s">
        <v>11</v>
      </c>
      <c r="F642" s="4" t="s">
        <v>12</v>
      </c>
      <c r="G642" s="4" t="s">
        <v>10</v>
      </c>
      <c r="H642" s="4">
        <v>3226.8722842962188</v>
      </c>
      <c r="I642" s="4">
        <v>4302.4963790616248</v>
      </c>
      <c r="J642" s="2">
        <f>VLOOKUP(A642,Planilha1!A:M,13,0)</f>
        <v>3049.3550806113421</v>
      </c>
      <c r="K642" s="10">
        <f t="shared" si="18"/>
        <v>-177.51720368487668</v>
      </c>
      <c r="L642" s="10">
        <f t="shared" si="19"/>
        <v>1075.624094765406</v>
      </c>
    </row>
    <row r="643" spans="1:12" x14ac:dyDescent="0.25">
      <c r="A643" s="2">
        <v>2</v>
      </c>
      <c r="B643" s="4">
        <v>42</v>
      </c>
      <c r="C643" s="4">
        <v>28.3</v>
      </c>
      <c r="D643" s="4">
        <v>3</v>
      </c>
      <c r="E643" s="4" t="s">
        <v>11</v>
      </c>
      <c r="F643" s="4" t="s">
        <v>9</v>
      </c>
      <c r="G643" s="4" t="s">
        <v>14</v>
      </c>
      <c r="H643" s="4">
        <v>2266.8127467072813</v>
      </c>
      <c r="I643" s="4">
        <v>3022.4169956097085</v>
      </c>
      <c r="J643" s="2">
        <f>VLOOKUP(A643,Planilha1!A:M,13,0)</f>
        <v>3220.2324129890262</v>
      </c>
      <c r="K643" s="10">
        <f t="shared" ref="K643:K706" si="20">J643-H643</f>
        <v>953.41966628174487</v>
      </c>
      <c r="L643" s="10">
        <f t="shared" ref="L643:L706" si="21">I643-H643</f>
        <v>755.60424890242712</v>
      </c>
    </row>
    <row r="644" spans="1:12" x14ac:dyDescent="0.25">
      <c r="A644" s="2">
        <v>1</v>
      </c>
      <c r="B644" s="4">
        <v>61</v>
      </c>
      <c r="C644" s="4">
        <v>33.9</v>
      </c>
      <c r="D644" s="4">
        <v>0</v>
      </c>
      <c r="E644" s="4" t="s">
        <v>11</v>
      </c>
      <c r="F644" s="4" t="s">
        <v>12</v>
      </c>
      <c r="G644" s="4" t="s">
        <v>15</v>
      </c>
      <c r="H644" s="4">
        <v>4943.805121690646</v>
      </c>
      <c r="I644" s="4">
        <v>4708.3858301815699</v>
      </c>
      <c r="J644" s="2">
        <f>VLOOKUP(A644,Planilha1!A:M,13,0)</f>
        <v>6326.3485212104815</v>
      </c>
      <c r="K644" s="10">
        <f t="shared" si="20"/>
        <v>1382.5433995198355</v>
      </c>
      <c r="L644" s="10">
        <f t="shared" si="21"/>
        <v>-235.41929150907617</v>
      </c>
    </row>
    <row r="645" spans="1:12" x14ac:dyDescent="0.25">
      <c r="A645" s="2">
        <v>3</v>
      </c>
      <c r="B645" s="4">
        <v>23</v>
      </c>
      <c r="C645" s="4">
        <v>35</v>
      </c>
      <c r="D645" s="4">
        <v>3</v>
      </c>
      <c r="E645" s="4" t="s">
        <v>8</v>
      </c>
      <c r="F645" s="4" t="s">
        <v>12</v>
      </c>
      <c r="G645" s="4" t="s">
        <v>14</v>
      </c>
      <c r="H645" s="4">
        <v>1396.9194641230911</v>
      </c>
      <c r="I645" s="4">
        <v>1862.5592854974548</v>
      </c>
      <c r="J645" s="2">
        <f>VLOOKUP(A645,Planilha1!A:M,13,0)</f>
        <v>3049.3550806113421</v>
      </c>
      <c r="K645" s="10">
        <f t="shared" si="20"/>
        <v>1652.4356164882511</v>
      </c>
      <c r="L645" s="10">
        <f t="shared" si="21"/>
        <v>465.63982137436369</v>
      </c>
    </row>
    <row r="646" spans="1:12" x14ac:dyDescent="0.25">
      <c r="A646" s="2">
        <v>3</v>
      </c>
      <c r="B646" s="4">
        <v>43</v>
      </c>
      <c r="C646" s="4">
        <v>35.299999999999997</v>
      </c>
      <c r="D646" s="4">
        <v>2</v>
      </c>
      <c r="E646" s="4" t="s">
        <v>11</v>
      </c>
      <c r="F646" s="4" t="s">
        <v>12</v>
      </c>
      <c r="G646" s="4" t="s">
        <v>13</v>
      </c>
      <c r="H646" s="4">
        <v>2751.3993007591334</v>
      </c>
      <c r="I646" s="4">
        <v>3668.5324010121781</v>
      </c>
      <c r="J646" s="2">
        <f>VLOOKUP(A646,Planilha1!A:M,13,0)</f>
        <v>3049.3550806113421</v>
      </c>
      <c r="K646" s="10">
        <f t="shared" si="20"/>
        <v>297.95577985220871</v>
      </c>
      <c r="L646" s="10">
        <f t="shared" si="21"/>
        <v>917.13310025304463</v>
      </c>
    </row>
    <row r="647" spans="1:12" x14ac:dyDescent="0.25">
      <c r="A647" s="2">
        <v>3</v>
      </c>
      <c r="B647" s="4">
        <v>48</v>
      </c>
      <c r="C647" s="4">
        <v>30.8</v>
      </c>
      <c r="D647" s="4">
        <v>3</v>
      </c>
      <c r="E647" s="4" t="s">
        <v>11</v>
      </c>
      <c r="F647" s="4" t="s">
        <v>12</v>
      </c>
      <c r="G647" s="4" t="s">
        <v>15</v>
      </c>
      <c r="H647" s="4">
        <v>2491.646109276332</v>
      </c>
      <c r="I647" s="4">
        <v>3322.1948123684429</v>
      </c>
      <c r="J647" s="2">
        <f>VLOOKUP(A647,Planilha1!A:M,13,0)</f>
        <v>3049.3550806113421</v>
      </c>
      <c r="K647" s="10">
        <f t="shared" si="20"/>
        <v>557.70897133501012</v>
      </c>
      <c r="L647" s="10">
        <f t="shared" si="21"/>
        <v>830.54870309211083</v>
      </c>
    </row>
    <row r="648" spans="1:12" x14ac:dyDescent="0.25">
      <c r="A648" s="2">
        <v>0</v>
      </c>
      <c r="B648" s="4">
        <v>39</v>
      </c>
      <c r="C648" s="4">
        <v>24.4</v>
      </c>
      <c r="D648" s="4">
        <v>1</v>
      </c>
      <c r="E648" s="4" t="s">
        <v>11</v>
      </c>
      <c r="F648" s="4" t="s">
        <v>12</v>
      </c>
      <c r="G648" s="4" t="s">
        <v>14</v>
      </c>
      <c r="H648" s="4">
        <v>1500.9600551444748</v>
      </c>
      <c r="I648" s="4">
        <v>1765.8353589935007</v>
      </c>
      <c r="J648" s="2">
        <f>VLOOKUP(A648,Planilha1!A:M,13,0)</f>
        <v>2511.8220480829059</v>
      </c>
      <c r="K648" s="10">
        <f t="shared" si="20"/>
        <v>1010.8619929384311</v>
      </c>
      <c r="L648" s="10">
        <f t="shared" si="21"/>
        <v>264.87530384902584</v>
      </c>
    </row>
    <row r="649" spans="1:12" x14ac:dyDescent="0.25">
      <c r="A649" s="2">
        <v>3</v>
      </c>
      <c r="B649" s="4">
        <v>40</v>
      </c>
      <c r="C649" s="4">
        <v>23.4</v>
      </c>
      <c r="D649" s="4">
        <v>3</v>
      </c>
      <c r="E649" s="4" t="s">
        <v>8</v>
      </c>
      <c r="F649" s="4" t="s">
        <v>12</v>
      </c>
      <c r="G649" s="4" t="s">
        <v>15</v>
      </c>
      <c r="H649" s="4">
        <v>1927.1926771981418</v>
      </c>
      <c r="I649" s="4">
        <v>2569.5902362641891</v>
      </c>
      <c r="J649" s="2">
        <f>VLOOKUP(A649,Planilha1!A:M,13,0)</f>
        <v>3049.3550806113421</v>
      </c>
      <c r="K649" s="10">
        <f t="shared" si="20"/>
        <v>1122.1624034132003</v>
      </c>
      <c r="L649" s="10">
        <f t="shared" si="21"/>
        <v>642.39755906604728</v>
      </c>
    </row>
    <row r="650" spans="1:12" x14ac:dyDescent="0.25">
      <c r="A650" s="2">
        <v>0</v>
      </c>
      <c r="B650" s="4">
        <v>18</v>
      </c>
      <c r="C650" s="4">
        <v>22.7</v>
      </c>
      <c r="D650" s="4">
        <v>0</v>
      </c>
      <c r="E650" s="4" t="s">
        <v>11</v>
      </c>
      <c r="F650" s="4" t="s">
        <v>12</v>
      </c>
      <c r="G650" s="4" t="s">
        <v>15</v>
      </c>
      <c r="H650" s="4">
        <v>1948.3062408612454</v>
      </c>
      <c r="I650" s="4">
        <v>2292.1249892485248</v>
      </c>
      <c r="J650" s="2">
        <f>VLOOKUP(A650,Planilha1!A:M,13,0)</f>
        <v>2511.8220480829059</v>
      </c>
      <c r="K650" s="10">
        <f t="shared" si="20"/>
        <v>563.51580722166045</v>
      </c>
      <c r="L650" s="10">
        <f t="shared" si="21"/>
        <v>343.81874838727936</v>
      </c>
    </row>
    <row r="651" spans="1:12" x14ac:dyDescent="0.25">
      <c r="A651" s="2">
        <v>1</v>
      </c>
      <c r="B651" s="4">
        <v>58</v>
      </c>
      <c r="C651" s="4">
        <v>33</v>
      </c>
      <c r="D651" s="4">
        <v>0</v>
      </c>
      <c r="E651" s="4" t="s">
        <v>8</v>
      </c>
      <c r="F651" s="4" t="s">
        <v>12</v>
      </c>
      <c r="G651" s="4" t="s">
        <v>15</v>
      </c>
      <c r="H651" s="4">
        <v>3687.7849785616354</v>
      </c>
      <c r="I651" s="4">
        <v>3512.1761700587022</v>
      </c>
      <c r="J651" s="2">
        <f>VLOOKUP(A651,Planilha1!A:M,13,0)</f>
        <v>6326.3485212104815</v>
      </c>
      <c r="K651" s="10">
        <f t="shared" si="20"/>
        <v>2638.5635426488461</v>
      </c>
      <c r="L651" s="10">
        <f t="shared" si="21"/>
        <v>-175.60880850293324</v>
      </c>
    </row>
    <row r="652" spans="1:12" x14ac:dyDescent="0.25">
      <c r="A652" s="2">
        <v>3</v>
      </c>
      <c r="B652" s="4">
        <v>49</v>
      </c>
      <c r="C652" s="4">
        <v>42.7</v>
      </c>
      <c r="D652" s="4">
        <v>2</v>
      </c>
      <c r="E652" s="4" t="s">
        <v>8</v>
      </c>
      <c r="F652" s="4" t="s">
        <v>12</v>
      </c>
      <c r="G652" s="4" t="s">
        <v>13</v>
      </c>
      <c r="H652" s="4">
        <v>3534.9513471137298</v>
      </c>
      <c r="I652" s="4">
        <v>4713.268462818306</v>
      </c>
      <c r="J652" s="2">
        <f>VLOOKUP(A652,Planilha1!A:M,13,0)</f>
        <v>3049.3550806113421</v>
      </c>
      <c r="K652" s="10">
        <f t="shared" si="20"/>
        <v>-485.59626650238761</v>
      </c>
      <c r="L652" s="10">
        <f t="shared" si="21"/>
        <v>1178.3171157045763</v>
      </c>
    </row>
    <row r="653" spans="1:12" x14ac:dyDescent="0.25">
      <c r="A653" s="2">
        <v>1</v>
      </c>
      <c r="B653" s="4">
        <v>53</v>
      </c>
      <c r="C653" s="4">
        <v>39.6</v>
      </c>
      <c r="D653" s="4">
        <v>1</v>
      </c>
      <c r="E653" s="4" t="s">
        <v>8</v>
      </c>
      <c r="F653" s="4" t="s">
        <v>12</v>
      </c>
      <c r="G653" s="4" t="s">
        <v>13</v>
      </c>
      <c r="H653" s="4">
        <v>4483.1482350054139</v>
      </c>
      <c r="I653" s="4">
        <v>4269.6649857194425</v>
      </c>
      <c r="J653" s="2">
        <f>VLOOKUP(A653,Planilha1!A:M,13,0)</f>
        <v>6326.3485212104815</v>
      </c>
      <c r="K653" s="10">
        <f t="shared" si="20"/>
        <v>1843.2002862050676</v>
      </c>
      <c r="L653" s="10">
        <f t="shared" si="21"/>
        <v>-213.4832492859714</v>
      </c>
    </row>
    <row r="654" spans="1:12" x14ac:dyDescent="0.25">
      <c r="A654" s="2">
        <v>1</v>
      </c>
      <c r="B654" s="4">
        <v>48</v>
      </c>
      <c r="C654" s="4">
        <v>31.1</v>
      </c>
      <c r="D654" s="4">
        <v>0</v>
      </c>
      <c r="E654" s="4" t="s">
        <v>8</v>
      </c>
      <c r="F654" s="4" t="s">
        <v>12</v>
      </c>
      <c r="G654" s="4" t="s">
        <v>13</v>
      </c>
      <c r="H654" s="4">
        <v>5019.2326633054263</v>
      </c>
      <c r="I654" s="4">
        <v>4780.2215841004072</v>
      </c>
      <c r="J654" s="2">
        <f>VLOOKUP(A654,Planilha1!A:M,13,0)</f>
        <v>6326.3485212104815</v>
      </c>
      <c r="K654" s="10">
        <f t="shared" si="20"/>
        <v>1307.1158579050552</v>
      </c>
      <c r="L654" s="10">
        <f t="shared" si="21"/>
        <v>-239.01107920501909</v>
      </c>
    </row>
    <row r="655" spans="1:12" x14ac:dyDescent="0.25">
      <c r="A655" s="2">
        <v>3</v>
      </c>
      <c r="B655" s="4">
        <v>45</v>
      </c>
      <c r="C655" s="4">
        <v>36.299999999999997</v>
      </c>
      <c r="D655" s="4">
        <v>2</v>
      </c>
      <c r="E655" s="4" t="s">
        <v>8</v>
      </c>
      <c r="F655" s="4" t="s">
        <v>12</v>
      </c>
      <c r="G655" s="4" t="s">
        <v>13</v>
      </c>
      <c r="H655" s="4">
        <v>1434.0410477806849</v>
      </c>
      <c r="I655" s="4">
        <v>1912.0547303742467</v>
      </c>
      <c r="J655" s="2">
        <f>VLOOKUP(A655,Planilha1!A:M,13,0)</f>
        <v>3049.3550806113421</v>
      </c>
      <c r="K655" s="10">
        <f t="shared" si="20"/>
        <v>1615.3140328306572</v>
      </c>
      <c r="L655" s="10">
        <f t="shared" si="21"/>
        <v>478.01368259356173</v>
      </c>
    </row>
    <row r="656" spans="1:12" x14ac:dyDescent="0.25">
      <c r="A656" s="2">
        <v>1</v>
      </c>
      <c r="B656" s="4">
        <v>59</v>
      </c>
      <c r="C656" s="4">
        <v>35.200000000000003</v>
      </c>
      <c r="D656" s="4">
        <v>0</v>
      </c>
      <c r="E656" s="4" t="s">
        <v>8</v>
      </c>
      <c r="F656" s="4" t="s">
        <v>12</v>
      </c>
      <c r="G656" s="4" t="s">
        <v>13</v>
      </c>
      <c r="H656" s="4">
        <v>4061.3840591493527</v>
      </c>
      <c r="I656" s="4">
        <v>3867.9848182374799</v>
      </c>
      <c r="J656" s="2">
        <f>VLOOKUP(A656,Planilha1!A:M,13,0)</f>
        <v>6326.3485212104815</v>
      </c>
      <c r="K656" s="10">
        <f t="shared" si="20"/>
        <v>2264.9644620611289</v>
      </c>
      <c r="L656" s="10">
        <f t="shared" si="21"/>
        <v>-193.39924091187277</v>
      </c>
    </row>
    <row r="657" spans="1:12" x14ac:dyDescent="0.25">
      <c r="A657" s="2">
        <v>2</v>
      </c>
      <c r="B657" s="4">
        <v>52</v>
      </c>
      <c r="C657" s="4">
        <v>25.3</v>
      </c>
      <c r="D657" s="4">
        <v>2</v>
      </c>
      <c r="E657" s="4" t="s">
        <v>8</v>
      </c>
      <c r="F657" s="4" t="s">
        <v>9</v>
      </c>
      <c r="G657" s="4" t="s">
        <v>13</v>
      </c>
      <c r="H657" s="4">
        <v>2257.8293332627177</v>
      </c>
      <c r="I657" s="4">
        <v>3010.4391110169568</v>
      </c>
      <c r="J657" s="2">
        <f>VLOOKUP(A657,Planilha1!A:M,13,0)</f>
        <v>3220.2324129890262</v>
      </c>
      <c r="K657" s="10">
        <f t="shared" si="20"/>
        <v>962.40307972630853</v>
      </c>
      <c r="L657" s="10">
        <f t="shared" si="21"/>
        <v>752.60977775423908</v>
      </c>
    </row>
    <row r="658" spans="1:12" x14ac:dyDescent="0.25">
      <c r="A658" s="2">
        <v>0</v>
      </c>
      <c r="B658" s="4">
        <v>26</v>
      </c>
      <c r="C658" s="4">
        <v>21.6</v>
      </c>
      <c r="D658" s="4">
        <v>1</v>
      </c>
      <c r="E658" s="4" t="s">
        <v>8</v>
      </c>
      <c r="F658" s="4" t="s">
        <v>12</v>
      </c>
      <c r="G658" s="4" t="s">
        <v>10</v>
      </c>
      <c r="H658" s="4">
        <v>2112.2281685852954</v>
      </c>
      <c r="I658" s="4">
        <v>2484.9743159827012</v>
      </c>
      <c r="J658" s="2">
        <f>VLOOKUP(A658,Planilha1!A:M,13,0)</f>
        <v>2511.8220480829059</v>
      </c>
      <c r="K658" s="10">
        <f t="shared" si="20"/>
        <v>399.59387949761049</v>
      </c>
      <c r="L658" s="10">
        <f t="shared" si="21"/>
        <v>372.74614739740582</v>
      </c>
    </row>
    <row r="659" spans="1:12" x14ac:dyDescent="0.25">
      <c r="A659" s="2">
        <v>3</v>
      </c>
      <c r="B659" s="4">
        <v>27</v>
      </c>
      <c r="C659" s="4">
        <v>33.200000000000003</v>
      </c>
      <c r="D659" s="4">
        <v>2</v>
      </c>
      <c r="E659" s="4" t="s">
        <v>11</v>
      </c>
      <c r="F659" s="4" t="s">
        <v>12</v>
      </c>
      <c r="G659" s="4" t="s">
        <v>14</v>
      </c>
      <c r="H659" s="4">
        <v>2772.9202048182906</v>
      </c>
      <c r="I659" s="4">
        <v>3697.2269397577206</v>
      </c>
      <c r="J659" s="2">
        <f>VLOOKUP(A659,Planilha1!A:M,13,0)</f>
        <v>3049.3550806113421</v>
      </c>
      <c r="K659" s="10">
        <f t="shared" si="20"/>
        <v>276.43487579305156</v>
      </c>
      <c r="L659" s="10">
        <f t="shared" si="21"/>
        <v>924.30673493943004</v>
      </c>
    </row>
    <row r="660" spans="1:12" x14ac:dyDescent="0.25">
      <c r="A660" s="2">
        <v>1</v>
      </c>
      <c r="B660" s="4">
        <v>48</v>
      </c>
      <c r="C660" s="4">
        <v>35.9</v>
      </c>
      <c r="D660" s="4">
        <v>1</v>
      </c>
      <c r="E660" s="4" t="s">
        <v>8</v>
      </c>
      <c r="F660" s="4" t="s">
        <v>12</v>
      </c>
      <c r="G660" s="4" t="s">
        <v>15</v>
      </c>
      <c r="H660" s="4">
        <v>4702.4598316809916</v>
      </c>
      <c r="I660" s="4">
        <v>4478.5331730295175</v>
      </c>
      <c r="J660" s="2">
        <f>VLOOKUP(A660,Planilha1!A:M,13,0)</f>
        <v>6326.3485212104815</v>
      </c>
      <c r="K660" s="10">
        <f t="shared" si="20"/>
        <v>1623.88868952949</v>
      </c>
      <c r="L660" s="10">
        <f t="shared" si="21"/>
        <v>-223.9266586514741</v>
      </c>
    </row>
    <row r="661" spans="1:12" x14ac:dyDescent="0.25">
      <c r="A661" s="2">
        <v>3</v>
      </c>
      <c r="B661" s="4">
        <v>57</v>
      </c>
      <c r="C661" s="4">
        <v>28.8</v>
      </c>
      <c r="D661" s="4">
        <v>4</v>
      </c>
      <c r="E661" s="4" t="s">
        <v>8</v>
      </c>
      <c r="F661" s="4" t="s">
        <v>12</v>
      </c>
      <c r="G661" s="4" t="s">
        <v>15</v>
      </c>
      <c r="H661" s="4">
        <v>1671.2900483543576</v>
      </c>
      <c r="I661" s="4">
        <v>2228.3867311391436</v>
      </c>
      <c r="J661" s="2">
        <f>VLOOKUP(A661,Planilha1!A:M,13,0)</f>
        <v>3049.3550806113421</v>
      </c>
      <c r="K661" s="10">
        <f t="shared" si="20"/>
        <v>1378.0650322569845</v>
      </c>
      <c r="L661" s="10">
        <f t="shared" si="21"/>
        <v>557.09668278478603</v>
      </c>
    </row>
    <row r="662" spans="1:12" x14ac:dyDescent="0.25">
      <c r="A662" s="2">
        <v>3</v>
      </c>
      <c r="B662" s="4">
        <v>37</v>
      </c>
      <c r="C662" s="4">
        <v>46.5</v>
      </c>
      <c r="D662" s="4">
        <v>3</v>
      </c>
      <c r="E662" s="4" t="s">
        <v>11</v>
      </c>
      <c r="F662" s="4" t="s">
        <v>12</v>
      </c>
      <c r="G662" s="4" t="s">
        <v>13</v>
      </c>
      <c r="H662" s="4">
        <v>3340.6868153749415</v>
      </c>
      <c r="I662" s="4">
        <v>4454.2490871665887</v>
      </c>
      <c r="J662" s="2">
        <f>VLOOKUP(A662,Planilha1!A:M,13,0)</f>
        <v>3049.3550806113421</v>
      </c>
      <c r="K662" s="10">
        <f t="shared" si="20"/>
        <v>-291.33173476359934</v>
      </c>
      <c r="L662" s="10">
        <f t="shared" si="21"/>
        <v>1113.5622717916472</v>
      </c>
    </row>
    <row r="663" spans="1:12" x14ac:dyDescent="0.25">
      <c r="A663" s="2">
        <v>1</v>
      </c>
      <c r="B663" s="4">
        <v>57</v>
      </c>
      <c r="C663" s="4">
        <v>24</v>
      </c>
      <c r="D663" s="4">
        <v>1</v>
      </c>
      <c r="E663" s="4" t="s">
        <v>8</v>
      </c>
      <c r="F663" s="4" t="s">
        <v>12</v>
      </c>
      <c r="G663" s="4" t="s">
        <v>13</v>
      </c>
      <c r="H663" s="4">
        <v>4779.3148038992585</v>
      </c>
      <c r="I663" s="4">
        <v>4551.7283846659611</v>
      </c>
      <c r="J663" s="2">
        <f>VLOOKUP(A663,Planilha1!A:M,13,0)</f>
        <v>6326.3485212104815</v>
      </c>
      <c r="K663" s="10">
        <f t="shared" si="20"/>
        <v>1547.033717311223</v>
      </c>
      <c r="L663" s="10">
        <f t="shared" si="21"/>
        <v>-227.58641923329742</v>
      </c>
    </row>
    <row r="664" spans="1:12" x14ac:dyDescent="0.25">
      <c r="A664" s="2">
        <v>0</v>
      </c>
      <c r="B664" s="4">
        <v>32</v>
      </c>
      <c r="C664" s="4">
        <v>21.2</v>
      </c>
      <c r="D664" s="4">
        <v>1</v>
      </c>
      <c r="E664" s="4" t="s">
        <v>8</v>
      </c>
      <c r="F664" s="4" t="s">
        <v>12</v>
      </c>
      <c r="G664" s="4" t="s">
        <v>15</v>
      </c>
      <c r="H664" s="4">
        <v>2022.3545064918821</v>
      </c>
      <c r="I664" s="4">
        <v>2379.2405958728032</v>
      </c>
      <c r="J664" s="2">
        <f>VLOOKUP(A664,Planilha1!A:M,13,0)</f>
        <v>2511.8220480829059</v>
      </c>
      <c r="K664" s="10">
        <f t="shared" si="20"/>
        <v>489.46754159102375</v>
      </c>
      <c r="L664" s="10">
        <f t="shared" si="21"/>
        <v>356.88608938092102</v>
      </c>
    </row>
    <row r="665" spans="1:12" x14ac:dyDescent="0.25">
      <c r="A665" s="2">
        <v>0</v>
      </c>
      <c r="B665" s="4">
        <v>18</v>
      </c>
      <c r="C665" s="4">
        <v>20.5</v>
      </c>
      <c r="D665" s="4">
        <v>0</v>
      </c>
      <c r="E665" s="4" t="s">
        <v>11</v>
      </c>
      <c r="F665" s="4" t="s">
        <v>12</v>
      </c>
      <c r="G665" s="4" t="s">
        <v>13</v>
      </c>
      <c r="H665" s="4">
        <v>1412.0581536922566</v>
      </c>
      <c r="I665" s="4">
        <v>1661.2448866967734</v>
      </c>
      <c r="J665" s="2">
        <f>VLOOKUP(A665,Planilha1!A:M,13,0)</f>
        <v>2511.8220480829059</v>
      </c>
      <c r="K665" s="10">
        <f t="shared" si="20"/>
        <v>1099.7638943906493</v>
      </c>
      <c r="L665" s="10">
        <f t="shared" si="21"/>
        <v>249.18673300451678</v>
      </c>
    </row>
    <row r="666" spans="1:12" x14ac:dyDescent="0.25">
      <c r="A666" s="2">
        <v>2</v>
      </c>
      <c r="B666" s="4">
        <v>64</v>
      </c>
      <c r="C666" s="4">
        <v>23</v>
      </c>
      <c r="D666" s="4">
        <v>0</v>
      </c>
      <c r="E666" s="4" t="s">
        <v>8</v>
      </c>
      <c r="F666" s="4" t="s">
        <v>9</v>
      </c>
      <c r="G666" s="4" t="s">
        <v>13</v>
      </c>
      <c r="H666" s="4">
        <v>4651.6946411434465</v>
      </c>
      <c r="I666" s="4">
        <v>4430.1853725175697</v>
      </c>
      <c r="J666" s="2">
        <f>VLOOKUP(A666,Planilha1!A:M,13,0)</f>
        <v>3220.2324129890262</v>
      </c>
      <c r="K666" s="10">
        <f t="shared" si="20"/>
        <v>-1431.4622281544202</v>
      </c>
      <c r="L666" s="10">
        <f t="shared" si="21"/>
        <v>-221.50926862587676</v>
      </c>
    </row>
    <row r="667" spans="1:12" x14ac:dyDescent="0.25">
      <c r="A667" s="2">
        <v>2</v>
      </c>
      <c r="B667" s="4">
        <v>43</v>
      </c>
      <c r="C667" s="4">
        <v>38.1</v>
      </c>
      <c r="D667" s="4">
        <v>2</v>
      </c>
      <c r="E667" s="4" t="s">
        <v>11</v>
      </c>
      <c r="F667" s="4" t="s">
        <v>9</v>
      </c>
      <c r="G667" s="4" t="s">
        <v>13</v>
      </c>
      <c r="H667" s="4">
        <v>2871.7488507611888</v>
      </c>
      <c r="I667" s="4">
        <v>3828.9984676815848</v>
      </c>
      <c r="J667" s="2">
        <f>VLOOKUP(A667,Planilha1!A:M,13,0)</f>
        <v>3220.2324129890262</v>
      </c>
      <c r="K667" s="10">
        <f t="shared" si="20"/>
        <v>348.48356222783741</v>
      </c>
      <c r="L667" s="10">
        <f t="shared" si="21"/>
        <v>957.24961692039597</v>
      </c>
    </row>
    <row r="668" spans="1:12" x14ac:dyDescent="0.25">
      <c r="A668" s="2">
        <v>1</v>
      </c>
      <c r="B668" s="4">
        <v>49</v>
      </c>
      <c r="C668" s="4">
        <v>28.7</v>
      </c>
      <c r="D668" s="4">
        <v>1</v>
      </c>
      <c r="E668" s="4" t="s">
        <v>11</v>
      </c>
      <c r="F668" s="4" t="s">
        <v>12</v>
      </c>
      <c r="G668" s="4" t="s">
        <v>10</v>
      </c>
      <c r="H668" s="4">
        <v>4750.1687035122341</v>
      </c>
      <c r="I668" s="4">
        <v>4523.9701938211765</v>
      </c>
      <c r="J668" s="2">
        <f>VLOOKUP(A668,Planilha1!A:M,13,0)</f>
        <v>6326.3485212104815</v>
      </c>
      <c r="K668" s="10">
        <f t="shared" si="20"/>
        <v>1576.1798176982475</v>
      </c>
      <c r="L668" s="10">
        <f t="shared" si="21"/>
        <v>-226.19850969105755</v>
      </c>
    </row>
    <row r="669" spans="1:12" x14ac:dyDescent="0.25">
      <c r="A669" s="2">
        <v>2</v>
      </c>
      <c r="B669" s="4">
        <v>40</v>
      </c>
      <c r="C669" s="4">
        <v>32.799999999999997</v>
      </c>
      <c r="D669" s="4">
        <v>2</v>
      </c>
      <c r="E669" s="4" t="s">
        <v>8</v>
      </c>
      <c r="F669" s="4" t="s">
        <v>9</v>
      </c>
      <c r="G669" s="4" t="s">
        <v>14</v>
      </c>
      <c r="H669" s="4">
        <v>1273.4736501329107</v>
      </c>
      <c r="I669" s="4">
        <v>1697.9648668438811</v>
      </c>
      <c r="J669" s="2">
        <f>VLOOKUP(A669,Planilha1!A:M,13,0)</f>
        <v>3220.2324129890262</v>
      </c>
      <c r="K669" s="10">
        <f t="shared" si="20"/>
        <v>1946.7587628561155</v>
      </c>
      <c r="L669" s="10">
        <f t="shared" si="21"/>
        <v>424.49121671097032</v>
      </c>
    </row>
    <row r="670" spans="1:12" x14ac:dyDescent="0.25">
      <c r="A670" s="2">
        <v>2</v>
      </c>
      <c r="B670" s="4">
        <v>62</v>
      </c>
      <c r="C670" s="4">
        <v>32</v>
      </c>
      <c r="D670" s="4">
        <v>0</v>
      </c>
      <c r="E670" s="4" t="s">
        <v>11</v>
      </c>
      <c r="F670" s="4" t="s">
        <v>9</v>
      </c>
      <c r="G670" s="4" t="s">
        <v>15</v>
      </c>
      <c r="H670" s="4">
        <v>5089.6832323934977</v>
      </c>
      <c r="I670" s="4">
        <v>4847.3173641842841</v>
      </c>
      <c r="J670" s="2">
        <f>VLOOKUP(A670,Planilha1!A:M,13,0)</f>
        <v>3220.2324129890262</v>
      </c>
      <c r="K670" s="10">
        <f t="shared" si="20"/>
        <v>-1869.4508194044715</v>
      </c>
      <c r="L670" s="10">
        <f t="shared" si="21"/>
        <v>-242.36586820921366</v>
      </c>
    </row>
    <row r="671" spans="1:12" x14ac:dyDescent="0.25">
      <c r="A671" s="2">
        <v>1</v>
      </c>
      <c r="B671" s="4">
        <v>40</v>
      </c>
      <c r="C671" s="4">
        <v>29.8</v>
      </c>
      <c r="D671" s="4">
        <v>1</v>
      </c>
      <c r="E671" s="4" t="s">
        <v>8</v>
      </c>
      <c r="F671" s="4" t="s">
        <v>12</v>
      </c>
      <c r="G671" s="4" t="s">
        <v>13</v>
      </c>
      <c r="H671" s="4">
        <v>4165.8651047938265</v>
      </c>
      <c r="I671" s="4">
        <v>3967.4905759941221</v>
      </c>
      <c r="J671" s="2">
        <f>VLOOKUP(A671,Planilha1!A:M,13,0)</f>
        <v>6326.3485212104815</v>
      </c>
      <c r="K671" s="10">
        <f t="shared" si="20"/>
        <v>2160.483416416655</v>
      </c>
      <c r="L671" s="10">
        <f t="shared" si="21"/>
        <v>-198.37452879970442</v>
      </c>
    </row>
    <row r="672" spans="1:12" x14ac:dyDescent="0.25">
      <c r="A672" s="2">
        <v>3</v>
      </c>
      <c r="B672" s="4">
        <v>30</v>
      </c>
      <c r="C672" s="4">
        <v>31.6</v>
      </c>
      <c r="D672" s="4">
        <v>3</v>
      </c>
      <c r="E672" s="4" t="s">
        <v>11</v>
      </c>
      <c r="F672" s="4" t="s">
        <v>12</v>
      </c>
      <c r="G672" s="4" t="s">
        <v>13</v>
      </c>
      <c r="H672" s="4">
        <v>1539.8009993466717</v>
      </c>
      <c r="I672" s="4">
        <v>2053.0679991288957</v>
      </c>
      <c r="J672" s="2">
        <f>VLOOKUP(A672,Planilha1!A:M,13,0)</f>
        <v>3049.3550806113421</v>
      </c>
      <c r="K672" s="10">
        <f t="shared" si="20"/>
        <v>1509.5540812646705</v>
      </c>
      <c r="L672" s="10">
        <f t="shared" si="21"/>
        <v>513.26699978222405</v>
      </c>
    </row>
    <row r="673" spans="1:12" x14ac:dyDescent="0.25">
      <c r="A673" s="2">
        <v>0</v>
      </c>
      <c r="B673" s="4">
        <v>29</v>
      </c>
      <c r="C673" s="4">
        <v>20.100000000000001</v>
      </c>
      <c r="D673" s="4">
        <v>0</v>
      </c>
      <c r="E673" s="4" t="s">
        <v>8</v>
      </c>
      <c r="F673" s="4" t="s">
        <v>12</v>
      </c>
      <c r="G673" s="4" t="s">
        <v>15</v>
      </c>
      <c r="H673" s="4">
        <v>1506.2785878603386</v>
      </c>
      <c r="I673" s="4">
        <v>1772.0924563062813</v>
      </c>
      <c r="J673" s="2">
        <f>VLOOKUP(A673,Planilha1!A:M,13,0)</f>
        <v>2511.8220480829059</v>
      </c>
      <c r="K673" s="10">
        <f t="shared" si="20"/>
        <v>1005.5434602225673</v>
      </c>
      <c r="L673" s="10">
        <f t="shared" si="21"/>
        <v>265.81386844594272</v>
      </c>
    </row>
    <row r="674" spans="1:12" x14ac:dyDescent="0.25">
      <c r="A674" s="2">
        <v>0</v>
      </c>
      <c r="B674" s="4">
        <v>36</v>
      </c>
      <c r="C674" s="4">
        <v>22.7</v>
      </c>
      <c r="D674" s="4">
        <v>0</v>
      </c>
      <c r="E674" s="4" t="s">
        <v>11</v>
      </c>
      <c r="F674" s="4" t="s">
        <v>12</v>
      </c>
      <c r="G674" s="4" t="s">
        <v>13</v>
      </c>
      <c r="H674" s="4">
        <v>2197.0328811895147</v>
      </c>
      <c r="I674" s="4">
        <v>2584.7445661053121</v>
      </c>
      <c r="J674" s="2">
        <f>VLOOKUP(A674,Planilha1!A:M,13,0)</f>
        <v>2511.8220480829059</v>
      </c>
      <c r="K674" s="10">
        <f t="shared" si="20"/>
        <v>314.78916689339121</v>
      </c>
      <c r="L674" s="10">
        <f t="shared" si="21"/>
        <v>387.71168491579738</v>
      </c>
    </row>
    <row r="675" spans="1:12" x14ac:dyDescent="0.25">
      <c r="A675" s="2">
        <v>1</v>
      </c>
      <c r="B675" s="4">
        <v>41</v>
      </c>
      <c r="C675" s="4">
        <v>31</v>
      </c>
      <c r="D675" s="4">
        <v>0</v>
      </c>
      <c r="E675" s="4" t="s">
        <v>8</v>
      </c>
      <c r="F675" s="4" t="s">
        <v>12</v>
      </c>
      <c r="G675" s="4" t="s">
        <v>13</v>
      </c>
      <c r="H675" s="4">
        <v>5445.1691794785202</v>
      </c>
      <c r="I675" s="4">
        <v>5185.8754090271632</v>
      </c>
      <c r="J675" s="2">
        <f>VLOOKUP(A675,Planilha1!A:M,13,0)</f>
        <v>6326.3485212104815</v>
      </c>
      <c r="K675" s="10">
        <f t="shared" si="20"/>
        <v>881.17934173196136</v>
      </c>
      <c r="L675" s="10">
        <f t="shared" si="21"/>
        <v>-259.29377045135698</v>
      </c>
    </row>
    <row r="676" spans="1:12" x14ac:dyDescent="0.25">
      <c r="A676" s="2">
        <v>2</v>
      </c>
      <c r="B676" s="4">
        <v>44</v>
      </c>
      <c r="C676" s="4">
        <v>43.9</v>
      </c>
      <c r="D676" s="4">
        <v>2</v>
      </c>
      <c r="E676" s="4" t="s">
        <v>8</v>
      </c>
      <c r="F676" s="4" t="s">
        <v>9</v>
      </c>
      <c r="G676" s="4" t="s">
        <v>13</v>
      </c>
      <c r="H676" s="4">
        <v>2625.3795750677555</v>
      </c>
      <c r="I676" s="4">
        <v>3500.5061000903406</v>
      </c>
      <c r="J676" s="2">
        <f>VLOOKUP(A676,Planilha1!A:M,13,0)</f>
        <v>3220.2324129890262</v>
      </c>
      <c r="K676" s="10">
        <f t="shared" si="20"/>
        <v>594.85283792127075</v>
      </c>
      <c r="L676" s="10">
        <f t="shared" si="21"/>
        <v>875.12652502258516</v>
      </c>
    </row>
    <row r="677" spans="1:12" x14ac:dyDescent="0.25">
      <c r="A677" s="2">
        <v>0</v>
      </c>
      <c r="B677" s="4">
        <v>45</v>
      </c>
      <c r="C677" s="4">
        <v>21.4</v>
      </c>
      <c r="D677" s="4">
        <v>0</v>
      </c>
      <c r="E677" s="4" t="s">
        <v>11</v>
      </c>
      <c r="F677" s="4" t="s">
        <v>12</v>
      </c>
      <c r="G677" s="4" t="s">
        <v>14</v>
      </c>
      <c r="H677" s="4">
        <v>1656.8186750326204</v>
      </c>
      <c r="I677" s="4">
        <v>1949.1984412148483</v>
      </c>
      <c r="J677" s="2">
        <f>VLOOKUP(A677,Planilha1!A:M,13,0)</f>
        <v>2511.8220480829059</v>
      </c>
      <c r="K677" s="10">
        <f t="shared" si="20"/>
        <v>855.00337305028552</v>
      </c>
      <c r="L677" s="10">
        <f t="shared" si="21"/>
        <v>292.37976618222797</v>
      </c>
    </row>
    <row r="678" spans="1:12" x14ac:dyDescent="0.25">
      <c r="A678" s="2">
        <v>3</v>
      </c>
      <c r="B678" s="4">
        <v>55</v>
      </c>
      <c r="C678" s="4">
        <v>40.799999999999997</v>
      </c>
      <c r="D678" s="4">
        <v>3</v>
      </c>
      <c r="E678" s="4" t="s">
        <v>8</v>
      </c>
      <c r="F678" s="4" t="s">
        <v>12</v>
      </c>
      <c r="G678" s="4" t="s">
        <v>13</v>
      </c>
      <c r="H678" s="4">
        <v>2626.6702309839743</v>
      </c>
      <c r="I678" s="4">
        <v>3502.2269746452989</v>
      </c>
      <c r="J678" s="2">
        <f>VLOOKUP(A678,Planilha1!A:M,13,0)</f>
        <v>3049.3550806113421</v>
      </c>
      <c r="K678" s="10">
        <f t="shared" si="20"/>
        <v>422.68484962736784</v>
      </c>
      <c r="L678" s="10">
        <f t="shared" si="21"/>
        <v>875.55674366132462</v>
      </c>
    </row>
    <row r="679" spans="1:12" x14ac:dyDescent="0.25">
      <c r="A679" s="2">
        <v>2</v>
      </c>
      <c r="B679" s="4">
        <v>60</v>
      </c>
      <c r="C679" s="4">
        <v>31.4</v>
      </c>
      <c r="D679" s="4">
        <v>3</v>
      </c>
      <c r="E679" s="4" t="s">
        <v>11</v>
      </c>
      <c r="F679" s="4" t="s">
        <v>9</v>
      </c>
      <c r="G679" s="4" t="s">
        <v>14</v>
      </c>
      <c r="H679" s="4">
        <v>1974.0543804972513</v>
      </c>
      <c r="I679" s="4">
        <v>2632.0725073296685</v>
      </c>
      <c r="J679" s="2">
        <f>VLOOKUP(A679,Planilha1!A:M,13,0)</f>
        <v>3220.2324129890262</v>
      </c>
      <c r="K679" s="10">
        <f t="shared" si="20"/>
        <v>1246.178032491775</v>
      </c>
      <c r="L679" s="10">
        <f t="shared" si="21"/>
        <v>658.01812683241724</v>
      </c>
    </row>
    <row r="680" spans="1:12" x14ac:dyDescent="0.25">
      <c r="A680" s="2">
        <v>3</v>
      </c>
      <c r="B680" s="4">
        <v>56</v>
      </c>
      <c r="C680" s="4">
        <v>36.1</v>
      </c>
      <c r="D680" s="4">
        <v>3</v>
      </c>
      <c r="E680" s="4" t="s">
        <v>11</v>
      </c>
      <c r="F680" s="4" t="s">
        <v>12</v>
      </c>
      <c r="G680" s="4" t="s">
        <v>10</v>
      </c>
      <c r="H680" s="4">
        <v>3316.4730945056453</v>
      </c>
      <c r="I680" s="4">
        <v>4421.9641260075268</v>
      </c>
      <c r="J680" s="2">
        <f>VLOOKUP(A680,Planilha1!A:M,13,0)</f>
        <v>3049.3550806113421</v>
      </c>
      <c r="K680" s="10">
        <f t="shared" si="20"/>
        <v>-267.1180138943032</v>
      </c>
      <c r="L680" s="10">
        <f t="shared" si="21"/>
        <v>1105.4910315018815</v>
      </c>
    </row>
    <row r="681" spans="1:12" x14ac:dyDescent="0.25">
      <c r="A681" s="2">
        <v>3</v>
      </c>
      <c r="B681" s="4">
        <v>49</v>
      </c>
      <c r="C681" s="4">
        <v>23.2</v>
      </c>
      <c r="D681" s="4">
        <v>2</v>
      </c>
      <c r="E681" s="4" t="s">
        <v>8</v>
      </c>
      <c r="F681" s="4" t="s">
        <v>12</v>
      </c>
      <c r="G681" s="4" t="s">
        <v>14</v>
      </c>
      <c r="H681" s="4">
        <v>1372.8948754845981</v>
      </c>
      <c r="I681" s="4">
        <v>1830.5265006461307</v>
      </c>
      <c r="J681" s="2">
        <f>VLOOKUP(A681,Planilha1!A:M,13,0)</f>
        <v>3049.3550806113421</v>
      </c>
      <c r="K681" s="10">
        <f t="shared" si="20"/>
        <v>1676.4602051267441</v>
      </c>
      <c r="L681" s="10">
        <f t="shared" si="21"/>
        <v>457.63162516153261</v>
      </c>
    </row>
    <row r="682" spans="1:12" x14ac:dyDescent="0.25">
      <c r="A682" s="2">
        <v>0</v>
      </c>
      <c r="B682" s="4">
        <v>21</v>
      </c>
      <c r="C682" s="4">
        <v>23.4</v>
      </c>
      <c r="D682" s="4">
        <v>1</v>
      </c>
      <c r="E682" s="4" t="s">
        <v>8</v>
      </c>
      <c r="F682" s="4" t="s">
        <v>12</v>
      </c>
      <c r="G682" s="4" t="s">
        <v>10</v>
      </c>
      <c r="H682" s="4">
        <v>1568.6906554465752</v>
      </c>
      <c r="I682" s="4">
        <v>1845.5184181724421</v>
      </c>
      <c r="J682" s="2">
        <f>VLOOKUP(A682,Planilha1!A:M,13,0)</f>
        <v>2511.8220480829059</v>
      </c>
      <c r="K682" s="10">
        <f t="shared" si="20"/>
        <v>943.1313926363307</v>
      </c>
      <c r="L682" s="10">
        <f t="shared" si="21"/>
        <v>276.82776272586693</v>
      </c>
    </row>
    <row r="683" spans="1:12" x14ac:dyDescent="0.25">
      <c r="A683" s="2">
        <v>0</v>
      </c>
      <c r="B683" s="4">
        <v>19</v>
      </c>
      <c r="C683" s="4">
        <v>22.3</v>
      </c>
      <c r="D683" s="4">
        <v>0</v>
      </c>
      <c r="E683" s="4" t="s">
        <v>11</v>
      </c>
      <c r="F683" s="4" t="s">
        <v>12</v>
      </c>
      <c r="G683" s="4" t="s">
        <v>10</v>
      </c>
      <c r="H683" s="4">
        <v>1733.5486286636458</v>
      </c>
      <c r="I683" s="4">
        <v>2039.4689748984076</v>
      </c>
      <c r="J683" s="2">
        <f>VLOOKUP(A683,Planilha1!A:M,13,0)</f>
        <v>2511.8220480829059</v>
      </c>
      <c r="K683" s="10">
        <f t="shared" si="20"/>
        <v>778.27341941926011</v>
      </c>
      <c r="L683" s="10">
        <f t="shared" si="21"/>
        <v>305.92034623476184</v>
      </c>
    </row>
    <row r="684" spans="1:12" x14ac:dyDescent="0.25">
      <c r="A684" s="2">
        <v>2</v>
      </c>
      <c r="B684" s="4">
        <v>39</v>
      </c>
      <c r="C684" s="4">
        <v>35.299999999999997</v>
      </c>
      <c r="D684" s="4">
        <v>2</v>
      </c>
      <c r="E684" s="4" t="s">
        <v>11</v>
      </c>
      <c r="F684" s="4" t="s">
        <v>9</v>
      </c>
      <c r="G684" s="4" t="s">
        <v>10</v>
      </c>
      <c r="H684" s="4">
        <v>2153.5483816852593</v>
      </c>
      <c r="I684" s="4">
        <v>2871.3978422470122</v>
      </c>
      <c r="J684" s="2">
        <f>VLOOKUP(A684,Planilha1!A:M,13,0)</f>
        <v>3220.2324129890262</v>
      </c>
      <c r="K684" s="10">
        <f t="shared" si="20"/>
        <v>1066.6840313037669</v>
      </c>
      <c r="L684" s="10">
        <f t="shared" si="21"/>
        <v>717.84946056175295</v>
      </c>
    </row>
    <row r="685" spans="1:12" x14ac:dyDescent="0.25">
      <c r="A685" s="2">
        <v>1</v>
      </c>
      <c r="B685" s="4">
        <v>53</v>
      </c>
      <c r="C685" s="4">
        <v>24.3</v>
      </c>
      <c r="D685" s="4">
        <v>0</v>
      </c>
      <c r="E685" s="4" t="s">
        <v>11</v>
      </c>
      <c r="F685" s="4" t="s">
        <v>12</v>
      </c>
      <c r="G685" s="4" t="s">
        <v>14</v>
      </c>
      <c r="H685" s="4">
        <v>5393.7170944179979</v>
      </c>
      <c r="I685" s="4">
        <v>5136.8734232552379</v>
      </c>
      <c r="J685" s="2">
        <f>VLOOKUP(A685,Planilha1!A:M,13,0)</f>
        <v>6326.3485212104815</v>
      </c>
      <c r="K685" s="10">
        <f t="shared" si="20"/>
        <v>932.63142679248358</v>
      </c>
      <c r="L685" s="10">
        <f t="shared" si="21"/>
        <v>-256.84367116276007</v>
      </c>
    </row>
    <row r="686" spans="1:12" x14ac:dyDescent="0.25">
      <c r="A686" s="2">
        <v>0</v>
      </c>
      <c r="B686" s="4">
        <v>33</v>
      </c>
      <c r="C686" s="4">
        <v>20.100000000000001</v>
      </c>
      <c r="D686" s="4">
        <v>1</v>
      </c>
      <c r="E686" s="4" t="s">
        <v>8</v>
      </c>
      <c r="F686" s="4" t="s">
        <v>12</v>
      </c>
      <c r="G686" s="4" t="s">
        <v>10</v>
      </c>
      <c r="H686" s="4">
        <v>2131.3221780323274</v>
      </c>
      <c r="I686" s="4">
        <v>2507.4378565086213</v>
      </c>
      <c r="J686" s="2">
        <f>VLOOKUP(A686,Planilha1!A:M,13,0)</f>
        <v>2511.8220480829059</v>
      </c>
      <c r="K686" s="10">
        <f t="shared" si="20"/>
        <v>380.49987005057847</v>
      </c>
      <c r="L686" s="10">
        <f t="shared" si="21"/>
        <v>376.11567847629385</v>
      </c>
    </row>
    <row r="687" spans="1:12" x14ac:dyDescent="0.25">
      <c r="A687" s="2">
        <v>3</v>
      </c>
      <c r="B687" s="4">
        <v>53</v>
      </c>
      <c r="C687" s="4">
        <v>26.4</v>
      </c>
      <c r="D687" s="4">
        <v>2</v>
      </c>
      <c r="E687" s="4" t="s">
        <v>11</v>
      </c>
      <c r="F687" s="4" t="s">
        <v>12</v>
      </c>
      <c r="G687" s="4" t="s">
        <v>15</v>
      </c>
      <c r="H687" s="4">
        <v>1588.7215779880826</v>
      </c>
      <c r="I687" s="4">
        <v>2118.2954373174434</v>
      </c>
      <c r="J687" s="2">
        <f>VLOOKUP(A687,Planilha1!A:M,13,0)</f>
        <v>3049.3550806113421</v>
      </c>
      <c r="K687" s="10">
        <f t="shared" si="20"/>
        <v>1460.6335026232596</v>
      </c>
      <c r="L687" s="10">
        <f t="shared" si="21"/>
        <v>529.57385932936086</v>
      </c>
    </row>
    <row r="688" spans="1:12" x14ac:dyDescent="0.25">
      <c r="A688" s="2">
        <v>3</v>
      </c>
      <c r="B688" s="4">
        <v>42</v>
      </c>
      <c r="C688" s="4">
        <v>26.1</v>
      </c>
      <c r="D688" s="4">
        <v>2</v>
      </c>
      <c r="E688" s="4" t="s">
        <v>11</v>
      </c>
      <c r="F688" s="4" t="s">
        <v>12</v>
      </c>
      <c r="G688" s="4" t="s">
        <v>15</v>
      </c>
      <c r="H688" s="4">
        <v>2680.6926280047969</v>
      </c>
      <c r="I688" s="4">
        <v>3574.2568373397294</v>
      </c>
      <c r="J688" s="2">
        <f>VLOOKUP(A688,Planilha1!A:M,13,0)</f>
        <v>3049.3550806113421</v>
      </c>
      <c r="K688" s="10">
        <f t="shared" si="20"/>
        <v>368.66245260654523</v>
      </c>
      <c r="L688" s="10">
        <f t="shared" si="21"/>
        <v>893.56420933493246</v>
      </c>
    </row>
    <row r="689" spans="1:12" x14ac:dyDescent="0.25">
      <c r="A689" s="2">
        <v>1</v>
      </c>
      <c r="B689" s="4">
        <v>40</v>
      </c>
      <c r="C689" s="4">
        <v>41.7</v>
      </c>
      <c r="D689" s="4">
        <v>0</v>
      </c>
      <c r="E689" s="4" t="s">
        <v>11</v>
      </c>
      <c r="F689" s="4" t="s">
        <v>12</v>
      </c>
      <c r="G689" s="4" t="s">
        <v>13</v>
      </c>
      <c r="H689" s="4">
        <v>4801.3123979522143</v>
      </c>
      <c r="I689" s="4">
        <v>4572.6784742402051</v>
      </c>
      <c r="J689" s="2">
        <f>VLOOKUP(A689,Planilha1!A:M,13,0)</f>
        <v>6326.3485212104815</v>
      </c>
      <c r="K689" s="10">
        <f t="shared" si="20"/>
        <v>1525.0361232582673</v>
      </c>
      <c r="L689" s="10">
        <f t="shared" si="21"/>
        <v>-228.63392371200916</v>
      </c>
    </row>
    <row r="690" spans="1:12" x14ac:dyDescent="0.25">
      <c r="A690" s="2">
        <v>1</v>
      </c>
      <c r="B690" s="4">
        <v>47</v>
      </c>
      <c r="C690" s="4">
        <v>24.1</v>
      </c>
      <c r="D690" s="4">
        <v>1</v>
      </c>
      <c r="E690" s="4" t="s">
        <v>8</v>
      </c>
      <c r="F690" s="4" t="s">
        <v>12</v>
      </c>
      <c r="G690" s="4" t="s">
        <v>10</v>
      </c>
      <c r="H690" s="4">
        <v>4333.6408516638166</v>
      </c>
      <c r="I690" s="4">
        <v>4127.277001584589</v>
      </c>
      <c r="J690" s="2">
        <f>VLOOKUP(A690,Planilha1!A:M,13,0)</f>
        <v>6326.3485212104815</v>
      </c>
      <c r="K690" s="10">
        <f t="shared" si="20"/>
        <v>1992.7076695466649</v>
      </c>
      <c r="L690" s="10">
        <f t="shared" si="21"/>
        <v>-206.36385007922763</v>
      </c>
    </row>
    <row r="691" spans="1:12" x14ac:dyDescent="0.25">
      <c r="A691" s="2">
        <v>2</v>
      </c>
      <c r="B691" s="4">
        <v>27</v>
      </c>
      <c r="C691" s="4">
        <v>24.3</v>
      </c>
      <c r="D691" s="4">
        <v>1</v>
      </c>
      <c r="E691" s="4" t="s">
        <v>11</v>
      </c>
      <c r="F691" s="4" t="s">
        <v>9</v>
      </c>
      <c r="G691" s="4" t="s">
        <v>13</v>
      </c>
      <c r="H691" s="4">
        <v>1778.0966831928718</v>
      </c>
      <c r="I691" s="4">
        <v>2091.8784508151439</v>
      </c>
      <c r="J691" s="2">
        <f>VLOOKUP(A691,Planilha1!A:M,13,0)</f>
        <v>3220.2324129890262</v>
      </c>
      <c r="K691" s="10">
        <f t="shared" si="20"/>
        <v>1442.1357297961545</v>
      </c>
      <c r="L691" s="10">
        <f t="shared" si="21"/>
        <v>313.78176762227213</v>
      </c>
    </row>
    <row r="692" spans="1:12" x14ac:dyDescent="0.25">
      <c r="A692" s="2">
        <v>0</v>
      </c>
      <c r="B692" s="4">
        <v>21</v>
      </c>
      <c r="C692" s="4">
        <v>22.4</v>
      </c>
      <c r="D692" s="4">
        <v>0</v>
      </c>
      <c r="E692" s="4" t="s">
        <v>11</v>
      </c>
      <c r="F692" s="4" t="s">
        <v>12</v>
      </c>
      <c r="G692" s="4" t="s">
        <v>15</v>
      </c>
      <c r="H692" s="4">
        <v>1719.8347165531095</v>
      </c>
      <c r="I692" s="4">
        <v>2023.3349606507177</v>
      </c>
      <c r="J692" s="2">
        <f>VLOOKUP(A692,Planilha1!A:M,13,0)</f>
        <v>2511.8220480829059</v>
      </c>
      <c r="K692" s="10">
        <f t="shared" si="20"/>
        <v>791.98733152979639</v>
      </c>
      <c r="L692" s="10">
        <f t="shared" si="21"/>
        <v>303.50024409760817</v>
      </c>
    </row>
    <row r="693" spans="1:12" x14ac:dyDescent="0.25">
      <c r="A693" s="2">
        <v>1</v>
      </c>
      <c r="B693" s="4">
        <v>47</v>
      </c>
      <c r="C693" s="4">
        <v>36.200000000000003</v>
      </c>
      <c r="D693" s="4">
        <v>1</v>
      </c>
      <c r="E693" s="4" t="s">
        <v>11</v>
      </c>
      <c r="F693" s="4" t="s">
        <v>12</v>
      </c>
      <c r="G693" s="4" t="s">
        <v>10</v>
      </c>
      <c r="H693" s="4">
        <v>5549.128996876545</v>
      </c>
      <c r="I693" s="4">
        <v>5284.884758930044</v>
      </c>
      <c r="J693" s="2">
        <f>VLOOKUP(A693,Planilha1!A:M,13,0)</f>
        <v>6326.3485212104815</v>
      </c>
      <c r="K693" s="10">
        <f t="shared" si="20"/>
        <v>777.21952433393653</v>
      </c>
      <c r="L693" s="10">
        <f t="shared" si="21"/>
        <v>-264.24423794650102</v>
      </c>
    </row>
    <row r="694" spans="1:12" x14ac:dyDescent="0.25">
      <c r="A694" s="2">
        <v>0</v>
      </c>
      <c r="B694" s="4">
        <v>20</v>
      </c>
      <c r="C694" s="4">
        <v>25.7</v>
      </c>
      <c r="D694" s="4">
        <v>1</v>
      </c>
      <c r="E694" s="4" t="s">
        <v>11</v>
      </c>
      <c r="F694" s="4" t="s">
        <v>12</v>
      </c>
      <c r="G694" s="4" t="s">
        <v>14</v>
      </c>
      <c r="H694" s="4">
        <v>1976.1836805077407</v>
      </c>
      <c r="I694" s="4">
        <v>2324.921977067931</v>
      </c>
      <c r="J694" s="2">
        <f>VLOOKUP(A694,Planilha1!A:M,13,0)</f>
        <v>2511.8220480829059</v>
      </c>
      <c r="K694" s="10">
        <f t="shared" si="20"/>
        <v>535.63836757516515</v>
      </c>
      <c r="L694" s="10">
        <f t="shared" si="21"/>
        <v>348.73829656019029</v>
      </c>
    </row>
    <row r="695" spans="1:12" x14ac:dyDescent="0.25">
      <c r="A695" s="2">
        <v>0</v>
      </c>
      <c r="B695" s="4">
        <v>24</v>
      </c>
      <c r="C695" s="4">
        <v>24.1</v>
      </c>
      <c r="D695" s="4">
        <v>0</v>
      </c>
      <c r="E695" s="4" t="s">
        <v>11</v>
      </c>
      <c r="F695" s="4" t="s">
        <v>12</v>
      </c>
      <c r="G695" s="4" t="s">
        <v>14</v>
      </c>
      <c r="H695" s="4">
        <v>2502.8804673913419</v>
      </c>
      <c r="I695" s="4">
        <v>2944.5652557545209</v>
      </c>
      <c r="J695" s="2">
        <f>VLOOKUP(A695,Planilha1!A:M,13,0)</f>
        <v>2511.8220480829059</v>
      </c>
      <c r="K695" s="10">
        <f t="shared" si="20"/>
        <v>8.9415806915640133</v>
      </c>
      <c r="L695" s="10">
        <f t="shared" si="21"/>
        <v>441.684788363179</v>
      </c>
    </row>
    <row r="696" spans="1:12" x14ac:dyDescent="0.25">
      <c r="A696" s="2">
        <v>0</v>
      </c>
      <c r="B696" s="4">
        <v>27</v>
      </c>
      <c r="C696" s="4">
        <v>24.6</v>
      </c>
      <c r="D696" s="4">
        <v>1</v>
      </c>
      <c r="E696" s="4" t="s">
        <v>8</v>
      </c>
      <c r="F696" s="4" t="s">
        <v>12</v>
      </c>
      <c r="G696" s="4" t="s">
        <v>10</v>
      </c>
      <c r="H696" s="4">
        <v>1862.8719127689994</v>
      </c>
      <c r="I696" s="4">
        <v>2191.6140150223528</v>
      </c>
      <c r="J696" s="2">
        <f>VLOOKUP(A696,Planilha1!A:M,13,0)</f>
        <v>2511.8220480829059</v>
      </c>
      <c r="K696" s="10">
        <f t="shared" si="20"/>
        <v>648.95013531390646</v>
      </c>
      <c r="L696" s="10">
        <f t="shared" si="21"/>
        <v>328.74210225335332</v>
      </c>
    </row>
    <row r="697" spans="1:12" x14ac:dyDescent="0.25">
      <c r="A697" s="2">
        <v>0</v>
      </c>
      <c r="B697" s="4">
        <v>26</v>
      </c>
      <c r="C697" s="4">
        <v>21.9</v>
      </c>
      <c r="D697" s="4">
        <v>0</v>
      </c>
      <c r="E697" s="4" t="s">
        <v>8</v>
      </c>
      <c r="F697" s="4" t="s">
        <v>12</v>
      </c>
      <c r="G697" s="4" t="s">
        <v>14</v>
      </c>
      <c r="H697" s="4">
        <v>2143.9692832497576</v>
      </c>
      <c r="I697" s="4">
        <v>2522.3168038232452</v>
      </c>
      <c r="J697" s="2">
        <f>VLOOKUP(A697,Planilha1!A:M,13,0)</f>
        <v>2511.8220480829059</v>
      </c>
      <c r="K697" s="10">
        <f t="shared" si="20"/>
        <v>367.85276483314829</v>
      </c>
      <c r="L697" s="10">
        <f t="shared" si="21"/>
        <v>378.3475205734876</v>
      </c>
    </row>
    <row r="698" spans="1:12" x14ac:dyDescent="0.25">
      <c r="A698" s="2">
        <v>3</v>
      </c>
      <c r="B698" s="4">
        <v>53</v>
      </c>
      <c r="C698" s="4">
        <v>32.299999999999997</v>
      </c>
      <c r="D698" s="4">
        <v>2</v>
      </c>
      <c r="E698" s="4" t="s">
        <v>8</v>
      </c>
      <c r="F698" s="4" t="s">
        <v>12</v>
      </c>
      <c r="G698" s="4" t="s">
        <v>15</v>
      </c>
      <c r="H698" s="4">
        <v>1795.503762657514</v>
      </c>
      <c r="I698" s="4">
        <v>2394.0050168766852</v>
      </c>
      <c r="J698" s="2">
        <f>VLOOKUP(A698,Planilha1!A:M,13,0)</f>
        <v>3049.3550806113421</v>
      </c>
      <c r="K698" s="10">
        <f t="shared" si="20"/>
        <v>1253.8513179538281</v>
      </c>
      <c r="L698" s="10">
        <f t="shared" si="21"/>
        <v>598.50125421917119</v>
      </c>
    </row>
    <row r="699" spans="1:12" x14ac:dyDescent="0.25">
      <c r="A699" s="2">
        <v>2</v>
      </c>
      <c r="B699" s="4">
        <v>41</v>
      </c>
      <c r="C699" s="4">
        <v>35.799999999999997</v>
      </c>
      <c r="D699" s="4">
        <v>1</v>
      </c>
      <c r="E699" s="4" t="s">
        <v>11</v>
      </c>
      <c r="F699" s="4" t="s">
        <v>9</v>
      </c>
      <c r="G699" s="4" t="s">
        <v>13</v>
      </c>
      <c r="H699" s="4">
        <v>3519.8327009752484</v>
      </c>
      <c r="I699" s="4">
        <v>3352.2216199764289</v>
      </c>
      <c r="J699" s="2">
        <f>VLOOKUP(A699,Planilha1!A:M,13,0)</f>
        <v>3220.2324129890262</v>
      </c>
      <c r="K699" s="10">
        <f t="shared" si="20"/>
        <v>-299.60028798622216</v>
      </c>
      <c r="L699" s="10">
        <f t="shared" si="21"/>
        <v>-167.61108099881949</v>
      </c>
    </row>
    <row r="700" spans="1:12" x14ac:dyDescent="0.25">
      <c r="A700" s="2">
        <v>1</v>
      </c>
      <c r="B700" s="4">
        <v>56</v>
      </c>
      <c r="C700" s="4">
        <v>33.700000000000003</v>
      </c>
      <c r="D700" s="4">
        <v>0</v>
      </c>
      <c r="E700" s="4" t="s">
        <v>11</v>
      </c>
      <c r="F700" s="4" t="s">
        <v>12</v>
      </c>
      <c r="G700" s="4" t="s">
        <v>14</v>
      </c>
      <c r="H700" s="4">
        <v>4460.7292746880157</v>
      </c>
      <c r="I700" s="4">
        <v>4248.3135949409689</v>
      </c>
      <c r="J700" s="2">
        <f>VLOOKUP(A700,Planilha1!A:M,13,0)</f>
        <v>6326.3485212104815</v>
      </c>
      <c r="K700" s="10">
        <f t="shared" si="20"/>
        <v>1865.6192465224658</v>
      </c>
      <c r="L700" s="10">
        <f t="shared" si="21"/>
        <v>-212.41567974704685</v>
      </c>
    </row>
    <row r="701" spans="1:12" x14ac:dyDescent="0.25">
      <c r="A701" s="2">
        <v>3</v>
      </c>
      <c r="B701" s="4">
        <v>23</v>
      </c>
      <c r="C701" s="4">
        <v>39.299999999999997</v>
      </c>
      <c r="D701" s="4">
        <v>2</v>
      </c>
      <c r="E701" s="4" t="s">
        <v>8</v>
      </c>
      <c r="F701" s="4" t="s">
        <v>12</v>
      </c>
      <c r="G701" s="4" t="s">
        <v>13</v>
      </c>
      <c r="H701" s="4">
        <v>1789.3747302487723</v>
      </c>
      <c r="I701" s="4">
        <v>2385.8329736650298</v>
      </c>
      <c r="J701" s="2">
        <f>VLOOKUP(A701,Planilha1!A:M,13,0)</f>
        <v>3049.3550806113421</v>
      </c>
      <c r="K701" s="10">
        <f t="shared" si="20"/>
        <v>1259.9803503625699</v>
      </c>
      <c r="L701" s="10">
        <f t="shared" si="21"/>
        <v>596.45824341625757</v>
      </c>
    </row>
    <row r="702" spans="1:12" x14ac:dyDescent="0.25">
      <c r="A702" s="2">
        <v>0</v>
      </c>
      <c r="B702" s="4">
        <v>21</v>
      </c>
      <c r="C702" s="4">
        <v>21.7</v>
      </c>
      <c r="D702" s="4">
        <v>0</v>
      </c>
      <c r="E702" s="4" t="s">
        <v>8</v>
      </c>
      <c r="F702" s="4" t="s">
        <v>12</v>
      </c>
      <c r="G702" s="4" t="s">
        <v>13</v>
      </c>
      <c r="H702" s="4">
        <v>1640.5119781039971</v>
      </c>
      <c r="I702" s="4">
        <v>1930.0140918870563</v>
      </c>
      <c r="J702" s="2">
        <f>VLOOKUP(A702,Planilha1!A:M,13,0)</f>
        <v>2511.8220480829059</v>
      </c>
      <c r="K702" s="10">
        <f t="shared" si="20"/>
        <v>871.31006997890881</v>
      </c>
      <c r="L702" s="10">
        <f t="shared" si="21"/>
        <v>289.50211378305926</v>
      </c>
    </row>
    <row r="703" spans="1:12" x14ac:dyDescent="0.25">
      <c r="A703" s="2">
        <v>1</v>
      </c>
      <c r="B703" s="4">
        <v>50</v>
      </c>
      <c r="C703" s="4">
        <v>44.7</v>
      </c>
      <c r="D703" s="4">
        <v>0</v>
      </c>
      <c r="E703" s="4" t="s">
        <v>8</v>
      </c>
      <c r="F703" s="4" t="s">
        <v>12</v>
      </c>
      <c r="G703" s="4" t="s">
        <v>15</v>
      </c>
      <c r="H703" s="4">
        <v>4163.8235839957306</v>
      </c>
      <c r="I703" s="4">
        <v>3965.5462704721258</v>
      </c>
      <c r="J703" s="2">
        <f>VLOOKUP(A703,Planilha1!A:M,13,0)</f>
        <v>6326.3485212104815</v>
      </c>
      <c r="K703" s="10">
        <f t="shared" si="20"/>
        <v>2162.5249372147509</v>
      </c>
      <c r="L703" s="10">
        <f t="shared" si="21"/>
        <v>-198.27731352360479</v>
      </c>
    </row>
    <row r="704" spans="1:12" x14ac:dyDescent="0.25">
      <c r="A704" s="2">
        <v>1</v>
      </c>
      <c r="B704" s="4">
        <v>53</v>
      </c>
      <c r="C704" s="4">
        <v>41.5</v>
      </c>
      <c r="D704" s="4">
        <v>0</v>
      </c>
      <c r="E704" s="4" t="s">
        <v>11</v>
      </c>
      <c r="F704" s="4" t="s">
        <v>12</v>
      </c>
      <c r="G704" s="4" t="s">
        <v>13</v>
      </c>
      <c r="H704" s="4">
        <v>4497.6567662132493</v>
      </c>
      <c r="I704" s="4">
        <v>4283.4826344888106</v>
      </c>
      <c r="J704" s="2">
        <f>VLOOKUP(A704,Planilha1!A:M,13,0)</f>
        <v>6326.3485212104815</v>
      </c>
      <c r="K704" s="10">
        <f t="shared" si="20"/>
        <v>1828.6917549972322</v>
      </c>
      <c r="L704" s="10">
        <f t="shared" si="21"/>
        <v>-214.17413172443867</v>
      </c>
    </row>
    <row r="705" spans="1:12" x14ac:dyDescent="0.25">
      <c r="A705" s="2">
        <v>0</v>
      </c>
      <c r="B705" s="4">
        <v>34</v>
      </c>
      <c r="C705" s="4">
        <v>25.7</v>
      </c>
      <c r="D705" s="4">
        <v>1</v>
      </c>
      <c r="E705" s="4" t="s">
        <v>8</v>
      </c>
      <c r="F705" s="4" t="s">
        <v>12</v>
      </c>
      <c r="G705" s="4" t="s">
        <v>14</v>
      </c>
      <c r="H705" s="4">
        <v>1606.8778026496902</v>
      </c>
      <c r="I705" s="4">
        <v>1890.4444737055187</v>
      </c>
      <c r="J705" s="2">
        <f>VLOOKUP(A705,Planilha1!A:M,13,0)</f>
        <v>2511.8220480829059</v>
      </c>
      <c r="K705" s="10">
        <f t="shared" si="20"/>
        <v>904.94424543321566</v>
      </c>
      <c r="L705" s="10">
        <f t="shared" si="21"/>
        <v>283.56667105582846</v>
      </c>
    </row>
    <row r="706" spans="1:12" x14ac:dyDescent="0.25">
      <c r="A706" s="2">
        <v>1</v>
      </c>
      <c r="B706" s="4">
        <v>47</v>
      </c>
      <c r="C706" s="4">
        <v>29.5</v>
      </c>
      <c r="D706" s="4">
        <v>1</v>
      </c>
      <c r="E706" s="4" t="s">
        <v>8</v>
      </c>
      <c r="F706" s="4" t="s">
        <v>12</v>
      </c>
      <c r="G706" s="4" t="s">
        <v>14</v>
      </c>
      <c r="H706" s="4">
        <v>4189.2044934699879</v>
      </c>
      <c r="I706" s="4">
        <v>3989.7185652095141</v>
      </c>
      <c r="J706" s="2">
        <f>VLOOKUP(A706,Planilha1!A:M,13,0)</f>
        <v>6326.3485212104815</v>
      </c>
      <c r="K706" s="10">
        <f t="shared" si="20"/>
        <v>2137.1440277404936</v>
      </c>
      <c r="L706" s="10">
        <f t="shared" si="21"/>
        <v>-199.48592826047388</v>
      </c>
    </row>
    <row r="707" spans="1:12" x14ac:dyDescent="0.25">
      <c r="A707" s="2">
        <v>3</v>
      </c>
      <c r="B707" s="4">
        <v>33</v>
      </c>
      <c r="C707" s="4">
        <v>32.9</v>
      </c>
      <c r="D707" s="4">
        <v>2</v>
      </c>
      <c r="E707" s="4" t="s">
        <v>8</v>
      </c>
      <c r="F707" s="4" t="s">
        <v>12</v>
      </c>
      <c r="G707" s="4" t="s">
        <v>10</v>
      </c>
      <c r="H707" s="4">
        <v>2200.010687671368</v>
      </c>
      <c r="I707" s="4">
        <v>2933.3475835618242</v>
      </c>
      <c r="J707" s="2">
        <f>VLOOKUP(A707,Planilha1!A:M,13,0)</f>
        <v>3049.3550806113421</v>
      </c>
      <c r="K707" s="10">
        <f t="shared" ref="K707:K770" si="22">J707-H707</f>
        <v>849.34439293997411</v>
      </c>
      <c r="L707" s="10">
        <f t="shared" ref="L707:L770" si="23">I707-H707</f>
        <v>733.33689589045616</v>
      </c>
    </row>
    <row r="708" spans="1:12" x14ac:dyDescent="0.25">
      <c r="A708" s="2">
        <v>2</v>
      </c>
      <c r="B708" s="4">
        <v>51</v>
      </c>
      <c r="C708" s="4">
        <v>38.1</v>
      </c>
      <c r="D708" s="4">
        <v>0</v>
      </c>
      <c r="E708" s="4" t="s">
        <v>8</v>
      </c>
      <c r="F708" s="4" t="s">
        <v>9</v>
      </c>
      <c r="G708" s="4" t="s">
        <v>13</v>
      </c>
      <c r="H708" s="4">
        <v>4278.056851346133</v>
      </c>
      <c r="I708" s="4">
        <v>4074.3398584248903</v>
      </c>
      <c r="J708" s="2">
        <f>VLOOKUP(A708,Planilha1!A:M,13,0)</f>
        <v>3220.2324129890262</v>
      </c>
      <c r="K708" s="10">
        <f t="shared" si="22"/>
        <v>-1057.8244383571068</v>
      </c>
      <c r="L708" s="10">
        <f t="shared" si="23"/>
        <v>-203.71699292124276</v>
      </c>
    </row>
    <row r="709" spans="1:12" x14ac:dyDescent="0.25">
      <c r="A709" s="2">
        <v>3</v>
      </c>
      <c r="B709" s="4">
        <v>49</v>
      </c>
      <c r="C709" s="4">
        <v>28.7</v>
      </c>
      <c r="D709" s="4">
        <v>3</v>
      </c>
      <c r="E709" s="4" t="s">
        <v>11</v>
      </c>
      <c r="F709" s="4" t="s">
        <v>12</v>
      </c>
      <c r="G709" s="4" t="s">
        <v>14</v>
      </c>
      <c r="H709" s="4">
        <v>1450.7490575151578</v>
      </c>
      <c r="I709" s="4">
        <v>1934.3320766868771</v>
      </c>
      <c r="J709" s="2">
        <f>VLOOKUP(A709,Planilha1!A:M,13,0)</f>
        <v>3049.3550806113421</v>
      </c>
      <c r="K709" s="10">
        <f t="shared" si="22"/>
        <v>1598.6060230961843</v>
      </c>
      <c r="L709" s="10">
        <f t="shared" si="23"/>
        <v>483.58301917171934</v>
      </c>
    </row>
    <row r="710" spans="1:12" x14ac:dyDescent="0.25">
      <c r="A710" s="2">
        <v>3</v>
      </c>
      <c r="B710" s="4">
        <v>31</v>
      </c>
      <c r="C710" s="4">
        <v>30.5</v>
      </c>
      <c r="D710" s="4">
        <v>3</v>
      </c>
      <c r="E710" s="4" t="s">
        <v>8</v>
      </c>
      <c r="F710" s="4" t="s">
        <v>12</v>
      </c>
      <c r="G710" s="4" t="s">
        <v>15</v>
      </c>
      <c r="H710" s="4">
        <v>1569.524979178686</v>
      </c>
      <c r="I710" s="4">
        <v>2092.6999722382479</v>
      </c>
      <c r="J710" s="2">
        <f>VLOOKUP(A710,Planilha1!A:M,13,0)</f>
        <v>3049.3550806113421</v>
      </c>
      <c r="K710" s="10">
        <f t="shared" si="22"/>
        <v>1479.8301014326562</v>
      </c>
      <c r="L710" s="10">
        <f t="shared" si="23"/>
        <v>523.17499305956198</v>
      </c>
    </row>
    <row r="711" spans="1:12" x14ac:dyDescent="0.25">
      <c r="A711" s="2">
        <v>0</v>
      </c>
      <c r="B711" s="4">
        <v>36</v>
      </c>
      <c r="C711" s="4">
        <v>20.7</v>
      </c>
      <c r="D711" s="4">
        <v>0</v>
      </c>
      <c r="E711" s="4" t="s">
        <v>8</v>
      </c>
      <c r="F711" s="4" t="s">
        <v>12</v>
      </c>
      <c r="G711" s="4" t="s">
        <v>15</v>
      </c>
      <c r="H711" s="4">
        <v>2089.8829794621702</v>
      </c>
      <c r="I711" s="4">
        <v>2458.6858581907895</v>
      </c>
      <c r="J711" s="2">
        <f>VLOOKUP(A711,Planilha1!A:M,13,0)</f>
        <v>2511.8220480829059</v>
      </c>
      <c r="K711" s="10">
        <f t="shared" si="22"/>
        <v>421.93906862073572</v>
      </c>
      <c r="L711" s="10">
        <f t="shared" si="23"/>
        <v>368.80287872861936</v>
      </c>
    </row>
    <row r="712" spans="1:12" x14ac:dyDescent="0.25">
      <c r="A712" s="2">
        <v>0</v>
      </c>
      <c r="B712" s="4">
        <v>18</v>
      </c>
      <c r="C712" s="4">
        <v>23.6</v>
      </c>
      <c r="D712" s="4">
        <v>1</v>
      </c>
      <c r="E712" s="4" t="s">
        <v>11</v>
      </c>
      <c r="F712" s="4" t="s">
        <v>12</v>
      </c>
      <c r="G712" s="4" t="s">
        <v>13</v>
      </c>
      <c r="H712" s="4">
        <v>1858.371402112014</v>
      </c>
      <c r="I712" s="4">
        <v>2186.3192966023703</v>
      </c>
      <c r="J712" s="2">
        <f>VLOOKUP(A712,Planilha1!A:M,13,0)</f>
        <v>2511.8220480829059</v>
      </c>
      <c r="K712" s="10">
        <f t="shared" si="22"/>
        <v>653.45064597089186</v>
      </c>
      <c r="L712" s="10">
        <f t="shared" si="23"/>
        <v>327.94789449035625</v>
      </c>
    </row>
    <row r="713" spans="1:12" x14ac:dyDescent="0.25">
      <c r="A713" s="2">
        <v>3</v>
      </c>
      <c r="B713" s="4">
        <v>50</v>
      </c>
      <c r="C713" s="4">
        <v>23.5</v>
      </c>
      <c r="D713" s="4">
        <v>2</v>
      </c>
      <c r="E713" s="4" t="s">
        <v>8</v>
      </c>
      <c r="F713" s="4" t="s">
        <v>12</v>
      </c>
      <c r="G713" s="4" t="s">
        <v>13</v>
      </c>
      <c r="H713" s="4">
        <v>1356.7024095042059</v>
      </c>
      <c r="I713" s="4">
        <v>1808.9365460056079</v>
      </c>
      <c r="J713" s="2">
        <f>VLOOKUP(A713,Planilha1!A:M,13,0)</f>
        <v>3049.3550806113421</v>
      </c>
      <c r="K713" s="10">
        <f t="shared" si="22"/>
        <v>1692.6526711071363</v>
      </c>
      <c r="L713" s="10">
        <f t="shared" si="23"/>
        <v>452.23413650140196</v>
      </c>
    </row>
    <row r="714" spans="1:12" x14ac:dyDescent="0.25">
      <c r="A714" s="2">
        <v>3</v>
      </c>
      <c r="B714" s="4">
        <v>43</v>
      </c>
      <c r="C714" s="4">
        <v>30.7</v>
      </c>
      <c r="D714" s="4">
        <v>2</v>
      </c>
      <c r="E714" s="4" t="s">
        <v>8</v>
      </c>
      <c r="F714" s="4" t="s">
        <v>12</v>
      </c>
      <c r="G714" s="4" t="s">
        <v>14</v>
      </c>
      <c r="H714" s="4">
        <v>2738.1214575643467</v>
      </c>
      <c r="I714" s="4">
        <v>3650.8286100857954</v>
      </c>
      <c r="J714" s="2">
        <f>VLOOKUP(A714,Planilha1!A:M,13,0)</f>
        <v>3049.3550806113421</v>
      </c>
      <c r="K714" s="10">
        <f t="shared" si="22"/>
        <v>311.23362304699549</v>
      </c>
      <c r="L714" s="10">
        <f t="shared" si="23"/>
        <v>912.70715252144873</v>
      </c>
    </row>
    <row r="715" spans="1:12" x14ac:dyDescent="0.25">
      <c r="A715" s="2">
        <v>0</v>
      </c>
      <c r="B715" s="4">
        <v>20</v>
      </c>
      <c r="C715" s="4">
        <v>24.9</v>
      </c>
      <c r="D715" s="4">
        <v>0</v>
      </c>
      <c r="E715" s="4" t="s">
        <v>11</v>
      </c>
      <c r="F715" s="4" t="s">
        <v>12</v>
      </c>
      <c r="G715" s="4" t="s">
        <v>15</v>
      </c>
      <c r="H715" s="4">
        <v>1416.8325760929586</v>
      </c>
      <c r="I715" s="4">
        <v>1666.861854227011</v>
      </c>
      <c r="J715" s="2">
        <f>VLOOKUP(A715,Planilha1!A:M,13,0)</f>
        <v>2511.8220480829059</v>
      </c>
      <c r="K715" s="10">
        <f t="shared" si="22"/>
        <v>1094.9894719899473</v>
      </c>
      <c r="L715" s="10">
        <f t="shared" si="23"/>
        <v>250.02927813405245</v>
      </c>
    </row>
    <row r="716" spans="1:12" x14ac:dyDescent="0.25">
      <c r="A716" s="2">
        <v>0</v>
      </c>
      <c r="B716" s="4">
        <v>24</v>
      </c>
      <c r="C716" s="4">
        <v>24.7</v>
      </c>
      <c r="D716" s="4">
        <v>0</v>
      </c>
      <c r="E716" s="4" t="s">
        <v>8</v>
      </c>
      <c r="F716" s="4" t="s">
        <v>12</v>
      </c>
      <c r="G716" s="4" t="s">
        <v>10</v>
      </c>
      <c r="H716" s="4">
        <v>1529.1623492442079</v>
      </c>
      <c r="I716" s="4">
        <v>1799.0145285225981</v>
      </c>
      <c r="J716" s="2">
        <f>VLOOKUP(A716,Planilha1!A:M,13,0)</f>
        <v>2511.8220480829059</v>
      </c>
      <c r="K716" s="10">
        <f t="shared" si="22"/>
        <v>982.65969883869798</v>
      </c>
      <c r="L716" s="10">
        <f t="shared" si="23"/>
        <v>269.85217927839017</v>
      </c>
    </row>
    <row r="717" spans="1:12" x14ac:dyDescent="0.25">
      <c r="A717" s="2">
        <v>1</v>
      </c>
      <c r="B717" s="4">
        <v>60</v>
      </c>
      <c r="C717" s="4">
        <v>28.9</v>
      </c>
      <c r="D717" s="4">
        <v>0</v>
      </c>
      <c r="E717" s="4" t="s">
        <v>11</v>
      </c>
      <c r="F717" s="4" t="s">
        <v>12</v>
      </c>
      <c r="G717" s="4" t="s">
        <v>10</v>
      </c>
      <c r="H717" s="4">
        <v>4686.0400046710856</v>
      </c>
      <c r="I717" s="4">
        <v>4462.8952425438929</v>
      </c>
      <c r="J717" s="2">
        <f>VLOOKUP(A717,Planilha1!A:M,13,0)</f>
        <v>6326.3485212104815</v>
      </c>
      <c r="K717" s="10">
        <f t="shared" si="22"/>
        <v>1640.3085165393959</v>
      </c>
      <c r="L717" s="10">
        <f t="shared" si="23"/>
        <v>-223.14476212719273</v>
      </c>
    </row>
    <row r="718" spans="1:12" x14ac:dyDescent="0.25">
      <c r="A718" s="2">
        <v>1</v>
      </c>
      <c r="B718" s="4">
        <v>49</v>
      </c>
      <c r="C718" s="4">
        <v>22.6</v>
      </c>
      <c r="D718" s="4">
        <v>1</v>
      </c>
      <c r="E718" s="4" t="s">
        <v>8</v>
      </c>
      <c r="F718" s="4" t="s">
        <v>12</v>
      </c>
      <c r="G718" s="4" t="s">
        <v>14</v>
      </c>
      <c r="H718" s="4">
        <v>4431.1477681958677</v>
      </c>
      <c r="I718" s="4">
        <v>4220.1407316151144</v>
      </c>
      <c r="J718" s="2">
        <f>VLOOKUP(A718,Planilha1!A:M,13,0)</f>
        <v>6326.3485212104815</v>
      </c>
      <c r="K718" s="10">
        <f t="shared" si="22"/>
        <v>1895.2007530146138</v>
      </c>
      <c r="L718" s="10">
        <f t="shared" si="23"/>
        <v>-211.00703658075327</v>
      </c>
    </row>
    <row r="719" spans="1:12" x14ac:dyDescent="0.25">
      <c r="A719" s="2">
        <v>1</v>
      </c>
      <c r="B719" s="4">
        <v>60</v>
      </c>
      <c r="C719" s="4">
        <v>24.3</v>
      </c>
      <c r="D719" s="4">
        <v>1</v>
      </c>
      <c r="E719" s="4" t="s">
        <v>11</v>
      </c>
      <c r="F719" s="4" t="s">
        <v>12</v>
      </c>
      <c r="G719" s="4" t="s">
        <v>14</v>
      </c>
      <c r="H719" s="4">
        <v>5772.64545638038</v>
      </c>
      <c r="I719" s="4">
        <v>5497.7575775051255</v>
      </c>
      <c r="J719" s="2">
        <f>VLOOKUP(A719,Planilha1!A:M,13,0)</f>
        <v>6326.3485212104815</v>
      </c>
      <c r="K719" s="10">
        <f t="shared" si="22"/>
        <v>553.70306483010154</v>
      </c>
      <c r="L719" s="10">
        <f t="shared" si="23"/>
        <v>-274.8878788752545</v>
      </c>
    </row>
    <row r="720" spans="1:12" x14ac:dyDescent="0.25">
      <c r="A720" s="2">
        <v>3</v>
      </c>
      <c r="B720" s="4">
        <v>51</v>
      </c>
      <c r="C720" s="4">
        <v>36.700000000000003</v>
      </c>
      <c r="D720" s="4">
        <v>2</v>
      </c>
      <c r="E720" s="4" t="s">
        <v>8</v>
      </c>
      <c r="F720" s="4" t="s">
        <v>12</v>
      </c>
      <c r="G720" s="4" t="s">
        <v>14</v>
      </c>
      <c r="H720" s="4">
        <v>1744.2329418216532</v>
      </c>
      <c r="I720" s="4">
        <v>2325.6439224288711</v>
      </c>
      <c r="J720" s="2">
        <f>VLOOKUP(A720,Planilha1!A:M,13,0)</f>
        <v>3049.3550806113421</v>
      </c>
      <c r="K720" s="10">
        <f t="shared" si="22"/>
        <v>1305.122138789689</v>
      </c>
      <c r="L720" s="10">
        <f t="shared" si="23"/>
        <v>581.41098060721788</v>
      </c>
    </row>
    <row r="721" spans="1:12" x14ac:dyDescent="0.25">
      <c r="A721" s="2">
        <v>1</v>
      </c>
      <c r="B721" s="4">
        <v>58</v>
      </c>
      <c r="C721" s="4">
        <v>33.4</v>
      </c>
      <c r="D721" s="4">
        <v>0</v>
      </c>
      <c r="E721" s="4" t="s">
        <v>8</v>
      </c>
      <c r="F721" s="4" t="s">
        <v>12</v>
      </c>
      <c r="G721" s="4" t="s">
        <v>14</v>
      </c>
      <c r="H721" s="4">
        <v>4084.3045777992415</v>
      </c>
      <c r="I721" s="4">
        <v>3889.8138836183266</v>
      </c>
      <c r="J721" s="2">
        <f>VLOOKUP(A721,Planilha1!A:M,13,0)</f>
        <v>6326.3485212104815</v>
      </c>
      <c r="K721" s="10">
        <f t="shared" si="22"/>
        <v>2242.04394341124</v>
      </c>
      <c r="L721" s="10">
        <f t="shared" si="23"/>
        <v>-194.49069418091494</v>
      </c>
    </row>
    <row r="722" spans="1:12" x14ac:dyDescent="0.25">
      <c r="A722" s="2">
        <v>1</v>
      </c>
      <c r="B722" s="4">
        <v>51</v>
      </c>
      <c r="C722" s="4">
        <v>40.700000000000003</v>
      </c>
      <c r="D722" s="4">
        <v>0</v>
      </c>
      <c r="E722" s="4" t="s">
        <v>8</v>
      </c>
      <c r="F722" s="4" t="s">
        <v>12</v>
      </c>
      <c r="G722" s="4" t="s">
        <v>15</v>
      </c>
      <c r="H722" s="4">
        <v>4343.2417250182152</v>
      </c>
      <c r="I722" s="4">
        <v>4136.42069049354</v>
      </c>
      <c r="J722" s="2">
        <f>VLOOKUP(A722,Planilha1!A:M,13,0)</f>
        <v>6326.3485212104815</v>
      </c>
      <c r="K722" s="10">
        <f t="shared" si="22"/>
        <v>1983.1067961922663</v>
      </c>
      <c r="L722" s="10">
        <f t="shared" si="23"/>
        <v>-206.82103452467527</v>
      </c>
    </row>
    <row r="723" spans="1:12" x14ac:dyDescent="0.25">
      <c r="A723" s="2">
        <v>3</v>
      </c>
      <c r="B723" s="4">
        <v>53</v>
      </c>
      <c r="C723" s="4">
        <v>36.6</v>
      </c>
      <c r="D723" s="4">
        <v>3</v>
      </c>
      <c r="E723" s="4" t="s">
        <v>11</v>
      </c>
      <c r="F723" s="4" t="s">
        <v>12</v>
      </c>
      <c r="G723" s="4" t="s">
        <v>10</v>
      </c>
      <c r="H723" s="4">
        <v>2149.4087099726353</v>
      </c>
      <c r="I723" s="4">
        <v>2865.8782799635137</v>
      </c>
      <c r="J723" s="2">
        <f>VLOOKUP(A723,Planilha1!A:M,13,0)</f>
        <v>3049.3550806113421</v>
      </c>
      <c r="K723" s="10">
        <f t="shared" si="22"/>
        <v>899.94637063870687</v>
      </c>
      <c r="L723" s="10">
        <f t="shared" si="23"/>
        <v>716.46956999087843</v>
      </c>
    </row>
    <row r="724" spans="1:12" x14ac:dyDescent="0.25">
      <c r="A724" s="2">
        <v>1</v>
      </c>
      <c r="B724" s="4">
        <v>62</v>
      </c>
      <c r="C724" s="4">
        <v>37.4</v>
      </c>
      <c r="D724" s="4">
        <v>0</v>
      </c>
      <c r="E724" s="4" t="s">
        <v>11</v>
      </c>
      <c r="F724" s="4" t="s">
        <v>12</v>
      </c>
      <c r="G724" s="4" t="s">
        <v>10</v>
      </c>
      <c r="H724" s="4">
        <v>5428.8187484649889</v>
      </c>
      <c r="I724" s="4">
        <v>5170.3035699666571</v>
      </c>
      <c r="J724" s="2">
        <f>VLOOKUP(A724,Planilha1!A:M,13,0)</f>
        <v>6326.3485212104815</v>
      </c>
      <c r="K724" s="10">
        <f t="shared" si="22"/>
        <v>897.52977274549266</v>
      </c>
      <c r="L724" s="10">
        <f t="shared" si="23"/>
        <v>-258.51517849833181</v>
      </c>
    </row>
    <row r="725" spans="1:12" x14ac:dyDescent="0.25">
      <c r="A725" s="2">
        <v>0</v>
      </c>
      <c r="B725" s="4">
        <v>19</v>
      </c>
      <c r="C725" s="4">
        <v>20.3</v>
      </c>
      <c r="D725" s="4">
        <v>0</v>
      </c>
      <c r="E725" s="4" t="s">
        <v>11</v>
      </c>
      <c r="F725" s="4" t="s">
        <v>12</v>
      </c>
      <c r="G725" s="4" t="s">
        <v>10</v>
      </c>
      <c r="H725" s="4">
        <v>1908.0254265847589</v>
      </c>
      <c r="I725" s="4">
        <v>2244.7357959820702</v>
      </c>
      <c r="J725" s="2">
        <f>VLOOKUP(A725,Planilha1!A:M,13,0)</f>
        <v>2511.8220480829059</v>
      </c>
      <c r="K725" s="10">
        <f t="shared" si="22"/>
        <v>603.79662149814703</v>
      </c>
      <c r="L725" s="10">
        <f t="shared" si="23"/>
        <v>336.7103693973113</v>
      </c>
    </row>
    <row r="726" spans="1:12" x14ac:dyDescent="0.25">
      <c r="A726" s="2">
        <v>1</v>
      </c>
      <c r="B726" s="4">
        <v>50</v>
      </c>
      <c r="C726" s="4">
        <v>27.1</v>
      </c>
      <c r="D726" s="4">
        <v>1</v>
      </c>
      <c r="E726" s="4" t="s">
        <v>8</v>
      </c>
      <c r="F726" s="4" t="s">
        <v>12</v>
      </c>
      <c r="G726" s="4" t="s">
        <v>15</v>
      </c>
      <c r="H726" s="4">
        <v>3716.9760093547197</v>
      </c>
      <c r="I726" s="4">
        <v>3539.9771517664012</v>
      </c>
      <c r="J726" s="2">
        <f>VLOOKUP(A726,Planilha1!A:M,13,0)</f>
        <v>6326.3485212104815</v>
      </c>
      <c r="K726" s="10">
        <f t="shared" si="22"/>
        <v>2609.3725118557618</v>
      </c>
      <c r="L726" s="10">
        <f t="shared" si="23"/>
        <v>-176.99885758831851</v>
      </c>
    </row>
    <row r="727" spans="1:12" x14ac:dyDescent="0.25">
      <c r="A727" s="2">
        <v>2</v>
      </c>
      <c r="B727" s="4">
        <v>30</v>
      </c>
      <c r="C727" s="4">
        <v>39.1</v>
      </c>
      <c r="D727" s="4">
        <v>3</v>
      </c>
      <c r="E727" s="4" t="s">
        <v>8</v>
      </c>
      <c r="F727" s="4" t="s">
        <v>9</v>
      </c>
      <c r="G727" s="4" t="s">
        <v>13</v>
      </c>
      <c r="H727" s="4">
        <v>1001.1721086308917</v>
      </c>
      <c r="I727" s="4">
        <v>1334.896144841189</v>
      </c>
      <c r="J727" s="2">
        <f>VLOOKUP(A727,Planilha1!A:M,13,0)</f>
        <v>3220.2324129890262</v>
      </c>
      <c r="K727" s="10">
        <f t="shared" si="22"/>
        <v>2219.0603043581345</v>
      </c>
      <c r="L727" s="10">
        <f t="shared" si="23"/>
        <v>333.7240362102973</v>
      </c>
    </row>
    <row r="728" spans="1:12" x14ac:dyDescent="0.25">
      <c r="A728" s="2">
        <v>1</v>
      </c>
      <c r="B728" s="4">
        <v>41</v>
      </c>
      <c r="C728" s="4">
        <v>28.4</v>
      </c>
      <c r="D728" s="4">
        <v>1</v>
      </c>
      <c r="E728" s="4" t="s">
        <v>11</v>
      </c>
      <c r="F728" s="4" t="s">
        <v>12</v>
      </c>
      <c r="G728" s="4" t="s">
        <v>14</v>
      </c>
      <c r="H728" s="4">
        <v>4845.275820060122</v>
      </c>
      <c r="I728" s="4">
        <v>4614.5484000572596</v>
      </c>
      <c r="J728" s="2">
        <f>VLOOKUP(A728,Planilha1!A:M,13,0)</f>
        <v>6326.3485212104815</v>
      </c>
      <c r="K728" s="10">
        <f t="shared" si="22"/>
        <v>1481.0727011503595</v>
      </c>
      <c r="L728" s="10">
        <f t="shared" si="23"/>
        <v>-230.72742000286235</v>
      </c>
    </row>
    <row r="729" spans="1:12" x14ac:dyDescent="0.25">
      <c r="A729" s="2">
        <v>2</v>
      </c>
      <c r="B729" s="4">
        <v>29</v>
      </c>
      <c r="C729" s="4">
        <v>25.8</v>
      </c>
      <c r="D729" s="4">
        <v>1</v>
      </c>
      <c r="E729" s="4" t="s">
        <v>8</v>
      </c>
      <c r="F729" s="4" t="s">
        <v>9</v>
      </c>
      <c r="G729" s="4" t="s">
        <v>15</v>
      </c>
      <c r="H729" s="4">
        <v>1489.6187021532407</v>
      </c>
      <c r="I729" s="4">
        <v>1752.4925907685192</v>
      </c>
      <c r="J729" s="2">
        <f>VLOOKUP(A729,Planilha1!A:M,13,0)</f>
        <v>3220.2324129890262</v>
      </c>
      <c r="K729" s="10">
        <f t="shared" si="22"/>
        <v>1730.6137108357855</v>
      </c>
      <c r="L729" s="10">
        <f t="shared" si="23"/>
        <v>262.87388861527847</v>
      </c>
    </row>
    <row r="730" spans="1:12" x14ac:dyDescent="0.25">
      <c r="A730" s="2">
        <v>0</v>
      </c>
      <c r="B730" s="4">
        <v>18</v>
      </c>
      <c r="C730" s="4">
        <v>21.3</v>
      </c>
      <c r="D730" s="4">
        <v>0</v>
      </c>
      <c r="E730" s="4" t="s">
        <v>8</v>
      </c>
      <c r="F730" s="4" t="s">
        <v>12</v>
      </c>
      <c r="G730" s="4" t="s">
        <v>15</v>
      </c>
      <c r="H730" s="4">
        <v>1446.5103100575025</v>
      </c>
      <c r="I730" s="4">
        <v>1701.7768353617685</v>
      </c>
      <c r="J730" s="2">
        <f>VLOOKUP(A730,Planilha1!A:M,13,0)</f>
        <v>2511.8220480829059</v>
      </c>
      <c r="K730" s="10">
        <f t="shared" si="22"/>
        <v>1065.3117380254034</v>
      </c>
      <c r="L730" s="10">
        <f t="shared" si="23"/>
        <v>255.266525304266</v>
      </c>
    </row>
    <row r="731" spans="1:12" x14ac:dyDescent="0.25">
      <c r="A731" s="2">
        <v>1</v>
      </c>
      <c r="B731" s="4">
        <v>41</v>
      </c>
      <c r="C731" s="4">
        <v>36.1</v>
      </c>
      <c r="D731" s="4">
        <v>1</v>
      </c>
      <c r="E731" s="4" t="s">
        <v>8</v>
      </c>
      <c r="F731" s="4" t="s">
        <v>12</v>
      </c>
      <c r="G731" s="4" t="s">
        <v>13</v>
      </c>
      <c r="H731" s="4">
        <v>5462.6846974138707</v>
      </c>
      <c r="I731" s="4">
        <v>5202.5568546798786</v>
      </c>
      <c r="J731" s="2">
        <f>VLOOKUP(A731,Planilha1!A:M,13,0)</f>
        <v>6326.3485212104815</v>
      </c>
      <c r="K731" s="10">
        <f t="shared" si="22"/>
        <v>863.66382379661081</v>
      </c>
      <c r="L731" s="10">
        <f t="shared" si="23"/>
        <v>-260.12784273399211</v>
      </c>
    </row>
    <row r="732" spans="1:12" x14ac:dyDescent="0.25">
      <c r="A732" s="2">
        <v>2</v>
      </c>
      <c r="B732" s="4">
        <v>35</v>
      </c>
      <c r="C732" s="4">
        <v>24.4</v>
      </c>
      <c r="D732" s="4">
        <v>3</v>
      </c>
      <c r="E732" s="4" t="s">
        <v>11</v>
      </c>
      <c r="F732" s="4" t="s">
        <v>9</v>
      </c>
      <c r="G732" s="4" t="s">
        <v>13</v>
      </c>
      <c r="H732" s="4">
        <v>1804.8348359676656</v>
      </c>
      <c r="I732" s="4">
        <v>2406.4464479568874</v>
      </c>
      <c r="J732" s="2">
        <f>VLOOKUP(A732,Planilha1!A:M,13,0)</f>
        <v>3220.2324129890262</v>
      </c>
      <c r="K732" s="10">
        <f t="shared" si="22"/>
        <v>1415.3975770213606</v>
      </c>
      <c r="L732" s="10">
        <f t="shared" si="23"/>
        <v>601.61161198922173</v>
      </c>
    </row>
    <row r="733" spans="1:12" x14ac:dyDescent="0.25">
      <c r="A733" s="2">
        <v>1</v>
      </c>
      <c r="B733" s="4">
        <v>53</v>
      </c>
      <c r="C733" s="4">
        <v>21.4</v>
      </c>
      <c r="D733" s="4">
        <v>1</v>
      </c>
      <c r="E733" s="4" t="s">
        <v>11</v>
      </c>
      <c r="F733" s="4" t="s">
        <v>12</v>
      </c>
      <c r="G733" s="4" t="s">
        <v>10</v>
      </c>
      <c r="H733" s="4">
        <v>4485.5883071018307</v>
      </c>
      <c r="I733" s="4">
        <v>4271.9888639065066</v>
      </c>
      <c r="J733" s="2">
        <f>VLOOKUP(A733,Planilha1!A:M,13,0)</f>
        <v>6326.3485212104815</v>
      </c>
      <c r="K733" s="10">
        <f t="shared" si="22"/>
        <v>1840.7602141086509</v>
      </c>
      <c r="L733" s="10">
        <f t="shared" si="23"/>
        <v>-213.59944319532406</v>
      </c>
    </row>
    <row r="734" spans="1:12" x14ac:dyDescent="0.25">
      <c r="A734" s="2">
        <v>3</v>
      </c>
      <c r="B734" s="4">
        <v>24</v>
      </c>
      <c r="C734" s="4">
        <v>30.1</v>
      </c>
      <c r="D734" s="4">
        <v>3</v>
      </c>
      <c r="E734" s="4" t="s">
        <v>8</v>
      </c>
      <c r="F734" s="4" t="s">
        <v>12</v>
      </c>
      <c r="G734" s="4" t="s">
        <v>10</v>
      </c>
      <c r="H734" s="4">
        <v>1263.2067313797938</v>
      </c>
      <c r="I734" s="4">
        <v>1684.275641839725</v>
      </c>
      <c r="J734" s="2">
        <f>VLOOKUP(A734,Planilha1!A:M,13,0)</f>
        <v>3049.3550806113421</v>
      </c>
      <c r="K734" s="10">
        <f t="shared" si="22"/>
        <v>1786.1483492315483</v>
      </c>
      <c r="L734" s="10">
        <f t="shared" si="23"/>
        <v>421.0689104599312</v>
      </c>
    </row>
    <row r="735" spans="1:12" x14ac:dyDescent="0.25">
      <c r="A735" s="2">
        <v>1</v>
      </c>
      <c r="B735" s="4">
        <v>48</v>
      </c>
      <c r="C735" s="4">
        <v>27.3</v>
      </c>
      <c r="D735" s="4">
        <v>1</v>
      </c>
      <c r="E735" s="4" t="s">
        <v>8</v>
      </c>
      <c r="F735" s="4" t="s">
        <v>12</v>
      </c>
      <c r="G735" s="4" t="s">
        <v>15</v>
      </c>
      <c r="H735" s="4">
        <v>4537.9094703209739</v>
      </c>
      <c r="I735" s="4">
        <v>4321.8185431628344</v>
      </c>
      <c r="J735" s="2">
        <f>VLOOKUP(A735,Planilha1!A:M,13,0)</f>
        <v>6326.3485212104815</v>
      </c>
      <c r="K735" s="10">
        <f t="shared" si="22"/>
        <v>1788.4390508895076</v>
      </c>
      <c r="L735" s="10">
        <f t="shared" si="23"/>
        <v>-216.09092715813949</v>
      </c>
    </row>
    <row r="736" spans="1:12" x14ac:dyDescent="0.25">
      <c r="A736" s="2">
        <v>3</v>
      </c>
      <c r="B736" s="4">
        <v>59</v>
      </c>
      <c r="C736" s="4">
        <v>32.1</v>
      </c>
      <c r="D736" s="4">
        <v>3</v>
      </c>
      <c r="E736" s="4" t="s">
        <v>8</v>
      </c>
      <c r="F736" s="4" t="s">
        <v>12</v>
      </c>
      <c r="G736" s="4" t="s">
        <v>10</v>
      </c>
      <c r="H736" s="4">
        <v>3100.9670746886186</v>
      </c>
      <c r="I736" s="4">
        <v>4134.6227662514912</v>
      </c>
      <c r="J736" s="2">
        <f>VLOOKUP(A736,Planilha1!A:M,13,0)</f>
        <v>3049.3550806113421</v>
      </c>
      <c r="K736" s="10">
        <f t="shared" si="22"/>
        <v>-51.611994077276449</v>
      </c>
      <c r="L736" s="10">
        <f t="shared" si="23"/>
        <v>1033.6556915628726</v>
      </c>
    </row>
    <row r="737" spans="1:12" x14ac:dyDescent="0.25">
      <c r="A737" s="2">
        <v>1</v>
      </c>
      <c r="B737" s="4">
        <v>49</v>
      </c>
      <c r="C737" s="4">
        <v>34.799999999999997</v>
      </c>
      <c r="D737" s="4">
        <v>1</v>
      </c>
      <c r="E737" s="4" t="s">
        <v>8</v>
      </c>
      <c r="F737" s="4" t="s">
        <v>12</v>
      </c>
      <c r="G737" s="4" t="s">
        <v>14</v>
      </c>
      <c r="H737" s="4">
        <v>4370.807173862182</v>
      </c>
      <c r="I737" s="4">
        <v>4162.673498916366</v>
      </c>
      <c r="J737" s="2">
        <f>VLOOKUP(A737,Planilha1!A:M,13,0)</f>
        <v>6326.3485212104815</v>
      </c>
      <c r="K737" s="10">
        <f t="shared" si="22"/>
        <v>1955.5413473482995</v>
      </c>
      <c r="L737" s="10">
        <f t="shared" si="23"/>
        <v>-208.13367494581598</v>
      </c>
    </row>
    <row r="738" spans="1:12" x14ac:dyDescent="0.25">
      <c r="A738" s="2">
        <v>2</v>
      </c>
      <c r="B738" s="4">
        <v>37</v>
      </c>
      <c r="C738" s="4">
        <v>38.4</v>
      </c>
      <c r="D738" s="4">
        <v>0</v>
      </c>
      <c r="E738" s="4" t="s">
        <v>8</v>
      </c>
      <c r="F738" s="4" t="s">
        <v>9</v>
      </c>
      <c r="G738" s="4" t="s">
        <v>13</v>
      </c>
      <c r="H738" s="4">
        <v>3646.5645154746621</v>
      </c>
      <c r="I738" s="4">
        <v>3472.9185861663464</v>
      </c>
      <c r="J738" s="2">
        <f>VLOOKUP(A738,Planilha1!A:M,13,0)</f>
        <v>3220.2324129890262</v>
      </c>
      <c r="K738" s="10">
        <f t="shared" si="22"/>
        <v>-426.33210248563591</v>
      </c>
      <c r="L738" s="10">
        <f t="shared" si="23"/>
        <v>-173.64592930831577</v>
      </c>
    </row>
    <row r="739" spans="1:12" x14ac:dyDescent="0.25">
      <c r="A739" s="2">
        <v>0</v>
      </c>
      <c r="B739" s="4">
        <v>26</v>
      </c>
      <c r="C739" s="4">
        <v>22</v>
      </c>
      <c r="D739" s="4">
        <v>2</v>
      </c>
      <c r="E739" s="4" t="s">
        <v>11</v>
      </c>
      <c r="F739" s="4" t="s">
        <v>12</v>
      </c>
      <c r="G739" s="4" t="s">
        <v>10</v>
      </c>
      <c r="H739" s="4">
        <v>1881.4081981886784</v>
      </c>
      <c r="I739" s="4">
        <v>2213.42140963374</v>
      </c>
      <c r="J739" s="2">
        <f>VLOOKUP(A739,Planilha1!A:M,13,0)</f>
        <v>2511.8220480829059</v>
      </c>
      <c r="K739" s="10">
        <f t="shared" si="22"/>
        <v>630.4138498942275</v>
      </c>
      <c r="L739" s="10">
        <f t="shared" si="23"/>
        <v>332.01321144506164</v>
      </c>
    </row>
    <row r="740" spans="1:12" x14ac:dyDescent="0.25">
      <c r="A740" s="2">
        <v>2</v>
      </c>
      <c r="B740" s="4">
        <v>23</v>
      </c>
      <c r="C740" s="4">
        <v>31.7</v>
      </c>
      <c r="D740" s="4">
        <v>3</v>
      </c>
      <c r="E740" s="4" t="s">
        <v>11</v>
      </c>
      <c r="F740" s="4" t="s">
        <v>9</v>
      </c>
      <c r="G740" s="4" t="s">
        <v>15</v>
      </c>
      <c r="H740" s="4">
        <v>1280.1785586382352</v>
      </c>
      <c r="I740" s="4">
        <v>1706.9047448509803</v>
      </c>
      <c r="J740" s="2">
        <f>VLOOKUP(A740,Planilha1!A:M,13,0)</f>
        <v>3220.2324129890262</v>
      </c>
      <c r="K740" s="10">
        <f t="shared" si="22"/>
        <v>1940.053854350791</v>
      </c>
      <c r="L740" s="10">
        <f t="shared" si="23"/>
        <v>426.72618621274501</v>
      </c>
    </row>
    <row r="741" spans="1:12" x14ac:dyDescent="0.25">
      <c r="A741" s="2">
        <v>2</v>
      </c>
      <c r="B741" s="4">
        <v>29</v>
      </c>
      <c r="C741" s="4">
        <v>35.5</v>
      </c>
      <c r="D741" s="4">
        <v>2</v>
      </c>
      <c r="E741" s="4" t="s">
        <v>11</v>
      </c>
      <c r="F741" s="4" t="s">
        <v>9</v>
      </c>
      <c r="G741" s="4" t="s">
        <v>10</v>
      </c>
      <c r="H741" s="4">
        <v>1229.3068026720543</v>
      </c>
      <c r="I741" s="4">
        <v>1639.0757368960726</v>
      </c>
      <c r="J741" s="2">
        <f>VLOOKUP(A741,Planilha1!A:M,13,0)</f>
        <v>3220.2324129890262</v>
      </c>
      <c r="K741" s="10">
        <f t="shared" si="22"/>
        <v>1990.9256103169719</v>
      </c>
      <c r="L741" s="10">
        <f t="shared" si="23"/>
        <v>409.76893422401827</v>
      </c>
    </row>
    <row r="742" spans="1:12" x14ac:dyDescent="0.25">
      <c r="A742" s="2">
        <v>3</v>
      </c>
      <c r="B742" s="4">
        <v>45</v>
      </c>
      <c r="C742" s="4">
        <v>24</v>
      </c>
      <c r="D742" s="4">
        <v>2</v>
      </c>
      <c r="E742" s="4" t="s">
        <v>11</v>
      </c>
      <c r="F742" s="4" t="s">
        <v>12</v>
      </c>
      <c r="G742" s="4" t="s">
        <v>15</v>
      </c>
      <c r="H742" s="4">
        <v>2781.8547318212841</v>
      </c>
      <c r="I742" s="4">
        <v>3709.1396424283789</v>
      </c>
      <c r="J742" s="2">
        <f>VLOOKUP(A742,Planilha1!A:M,13,0)</f>
        <v>3049.3550806113421</v>
      </c>
      <c r="K742" s="10">
        <f t="shared" si="22"/>
        <v>267.50034879005807</v>
      </c>
      <c r="L742" s="10">
        <f t="shared" si="23"/>
        <v>927.28491060709484</v>
      </c>
    </row>
    <row r="743" spans="1:12" x14ac:dyDescent="0.25">
      <c r="A743" s="2">
        <v>2</v>
      </c>
      <c r="B743" s="4">
        <v>27</v>
      </c>
      <c r="C743" s="4">
        <v>21.1</v>
      </c>
      <c r="D743" s="4">
        <v>0</v>
      </c>
      <c r="E743" s="4" t="s">
        <v>11</v>
      </c>
      <c r="F743" s="4" t="s">
        <v>9</v>
      </c>
      <c r="G743" s="4" t="s">
        <v>13</v>
      </c>
      <c r="H743" s="4">
        <v>1816.3421034989656</v>
      </c>
      <c r="I743" s="4">
        <v>2136.8730629399606</v>
      </c>
      <c r="J743" s="2">
        <f>VLOOKUP(A743,Planilha1!A:M,13,0)</f>
        <v>3220.2324129890262</v>
      </c>
      <c r="K743" s="10">
        <f t="shared" si="22"/>
        <v>1403.8903094900606</v>
      </c>
      <c r="L743" s="10">
        <f t="shared" si="23"/>
        <v>320.53095944099505</v>
      </c>
    </row>
    <row r="744" spans="1:12" x14ac:dyDescent="0.25">
      <c r="A744" s="2">
        <v>2</v>
      </c>
      <c r="B744" s="4">
        <v>53</v>
      </c>
      <c r="C744" s="4">
        <v>34.1</v>
      </c>
      <c r="D744" s="4">
        <v>0</v>
      </c>
      <c r="E744" s="4" t="s">
        <v>11</v>
      </c>
      <c r="F744" s="4" t="s">
        <v>9</v>
      </c>
      <c r="G744" s="4" t="s">
        <v>15</v>
      </c>
      <c r="H744" s="4">
        <v>5605.6567974427153</v>
      </c>
      <c r="I744" s="4">
        <v>5338.7207594692545</v>
      </c>
      <c r="J744" s="2">
        <f>VLOOKUP(A744,Planilha1!A:M,13,0)</f>
        <v>3220.2324129890262</v>
      </c>
      <c r="K744" s="10">
        <f t="shared" si="22"/>
        <v>-2385.4243844536891</v>
      </c>
      <c r="L744" s="10">
        <f t="shared" si="23"/>
        <v>-266.93603797346077</v>
      </c>
    </row>
    <row r="745" spans="1:12" x14ac:dyDescent="0.25">
      <c r="A745" s="2">
        <v>0</v>
      </c>
      <c r="B745" s="4">
        <v>31</v>
      </c>
      <c r="C745" s="4">
        <v>22.2</v>
      </c>
      <c r="D745" s="4">
        <v>0</v>
      </c>
      <c r="E745" s="4" t="s">
        <v>8</v>
      </c>
      <c r="F745" s="4" t="s">
        <v>12</v>
      </c>
      <c r="G745" s="4" t="s">
        <v>13</v>
      </c>
      <c r="H745" s="4">
        <v>1732.4722159552559</v>
      </c>
      <c r="I745" s="4">
        <v>2038.2026070061843</v>
      </c>
      <c r="J745" s="2">
        <f>VLOOKUP(A745,Planilha1!A:M,13,0)</f>
        <v>2511.8220480829059</v>
      </c>
      <c r="K745" s="10">
        <f t="shared" si="22"/>
        <v>779.34983212764996</v>
      </c>
      <c r="L745" s="10">
        <f t="shared" si="23"/>
        <v>305.73039105092835</v>
      </c>
    </row>
    <row r="746" spans="1:12" x14ac:dyDescent="0.25">
      <c r="A746" s="2">
        <v>1</v>
      </c>
      <c r="B746" s="4">
        <v>50</v>
      </c>
      <c r="C746" s="4">
        <v>26.4</v>
      </c>
      <c r="D746" s="4">
        <v>0</v>
      </c>
      <c r="E746" s="4" t="s">
        <v>11</v>
      </c>
      <c r="F746" s="4" t="s">
        <v>12</v>
      </c>
      <c r="G746" s="4" t="s">
        <v>14</v>
      </c>
      <c r="H746" s="4">
        <v>3879.9764251812826</v>
      </c>
      <c r="I746" s="4">
        <v>3695.2156430297946</v>
      </c>
      <c r="J746" s="2">
        <f>VLOOKUP(A746,Planilha1!A:M,13,0)</f>
        <v>6326.3485212104815</v>
      </c>
      <c r="K746" s="10">
        <f t="shared" si="22"/>
        <v>2446.3720960291989</v>
      </c>
      <c r="L746" s="10">
        <f t="shared" si="23"/>
        <v>-184.760782151488</v>
      </c>
    </row>
    <row r="747" spans="1:12" x14ac:dyDescent="0.25">
      <c r="A747" s="2">
        <v>1</v>
      </c>
      <c r="B747" s="4">
        <v>50</v>
      </c>
      <c r="C747" s="4">
        <v>30.1</v>
      </c>
      <c r="D747" s="4">
        <v>1</v>
      </c>
      <c r="E747" s="4" t="s">
        <v>8</v>
      </c>
      <c r="F747" s="4" t="s">
        <v>12</v>
      </c>
      <c r="G747" s="4" t="s">
        <v>14</v>
      </c>
      <c r="H747" s="4">
        <v>4482.774978619369</v>
      </c>
      <c r="I747" s="4">
        <v>4269.3095034470198</v>
      </c>
      <c r="J747" s="2">
        <f>VLOOKUP(A747,Planilha1!A:M,13,0)</f>
        <v>6326.3485212104815</v>
      </c>
      <c r="K747" s="10">
        <f t="shared" si="22"/>
        <v>1843.5735425911125</v>
      </c>
      <c r="L747" s="10">
        <f t="shared" si="23"/>
        <v>-213.46547517234922</v>
      </c>
    </row>
    <row r="748" spans="1:12" x14ac:dyDescent="0.25">
      <c r="A748" s="2">
        <v>3</v>
      </c>
      <c r="B748" s="4">
        <v>34</v>
      </c>
      <c r="C748" s="4">
        <v>27</v>
      </c>
      <c r="D748" s="4">
        <v>2</v>
      </c>
      <c r="E748" s="4" t="s">
        <v>11</v>
      </c>
      <c r="F748" s="4" t="s">
        <v>12</v>
      </c>
      <c r="G748" s="4" t="s">
        <v>10</v>
      </c>
      <c r="H748" s="4">
        <v>1367.6810237023021</v>
      </c>
      <c r="I748" s="4">
        <v>1823.5746982697362</v>
      </c>
      <c r="J748" s="2">
        <f>VLOOKUP(A748,Planilha1!A:M,13,0)</f>
        <v>3049.3550806113421</v>
      </c>
      <c r="K748" s="10">
        <f t="shared" si="22"/>
        <v>1681.67405690904</v>
      </c>
      <c r="L748" s="10">
        <f t="shared" si="23"/>
        <v>455.89367456743412</v>
      </c>
    </row>
    <row r="749" spans="1:12" x14ac:dyDescent="0.25">
      <c r="A749" s="2">
        <v>0</v>
      </c>
      <c r="B749" s="4">
        <v>19</v>
      </c>
      <c r="C749" s="4">
        <v>20.3</v>
      </c>
      <c r="D749" s="4">
        <v>0</v>
      </c>
      <c r="E749" s="4" t="s">
        <v>11</v>
      </c>
      <c r="F749" s="4" t="s">
        <v>12</v>
      </c>
      <c r="G749" s="4" t="s">
        <v>14</v>
      </c>
      <c r="H749" s="4">
        <v>1871.6553689676475</v>
      </c>
      <c r="I749" s="4">
        <v>2201.9474929031157</v>
      </c>
      <c r="J749" s="2">
        <f>VLOOKUP(A749,Planilha1!A:M,13,0)</f>
        <v>2511.8220480829059</v>
      </c>
      <c r="K749" s="10">
        <f t="shared" si="22"/>
        <v>640.16667911525838</v>
      </c>
      <c r="L749" s="10">
        <f t="shared" si="23"/>
        <v>330.29212393546823</v>
      </c>
    </row>
    <row r="750" spans="1:12" x14ac:dyDescent="0.25">
      <c r="A750" s="2">
        <v>1</v>
      </c>
      <c r="B750" s="4">
        <v>47</v>
      </c>
      <c r="C750" s="4">
        <v>36</v>
      </c>
      <c r="D750" s="4">
        <v>1</v>
      </c>
      <c r="E750" s="4" t="s">
        <v>8</v>
      </c>
      <c r="F750" s="4" t="s">
        <v>12</v>
      </c>
      <c r="G750" s="4" t="s">
        <v>10</v>
      </c>
      <c r="H750" s="4">
        <v>4353.5865362729028</v>
      </c>
      <c r="I750" s="4">
        <v>4146.2728916884807</v>
      </c>
      <c r="J750" s="2">
        <f>VLOOKUP(A750,Planilha1!A:M,13,0)</f>
        <v>6326.3485212104815</v>
      </c>
      <c r="K750" s="10">
        <f t="shared" si="22"/>
        <v>1972.7619849375787</v>
      </c>
      <c r="L750" s="10">
        <f t="shared" si="23"/>
        <v>-207.31364458442204</v>
      </c>
    </row>
    <row r="751" spans="1:12" x14ac:dyDescent="0.25">
      <c r="A751" s="2">
        <v>0</v>
      </c>
      <c r="B751" s="4">
        <v>28</v>
      </c>
      <c r="C751" s="4">
        <v>25</v>
      </c>
      <c r="D751" s="4">
        <v>0</v>
      </c>
      <c r="E751" s="4" t="s">
        <v>11</v>
      </c>
      <c r="F751" s="4" t="s">
        <v>12</v>
      </c>
      <c r="G751" s="4" t="s">
        <v>14</v>
      </c>
      <c r="H751" s="4">
        <v>1564.2266080215329</v>
      </c>
      <c r="I751" s="4">
        <v>1840.2665976723924</v>
      </c>
      <c r="J751" s="2">
        <f>VLOOKUP(A751,Planilha1!A:M,13,0)</f>
        <v>2511.8220480829059</v>
      </c>
      <c r="K751" s="10">
        <f t="shared" si="22"/>
        <v>947.59544006137298</v>
      </c>
      <c r="L751" s="10">
        <f t="shared" si="23"/>
        <v>276.03998965085952</v>
      </c>
    </row>
    <row r="752" spans="1:12" x14ac:dyDescent="0.25">
      <c r="A752" s="2">
        <v>2</v>
      </c>
      <c r="B752" s="4">
        <v>37</v>
      </c>
      <c r="C752" s="4">
        <v>21.5</v>
      </c>
      <c r="D752" s="4">
        <v>0</v>
      </c>
      <c r="E752" s="4" t="s">
        <v>8</v>
      </c>
      <c r="F752" s="4" t="s">
        <v>9</v>
      </c>
      <c r="G752" s="4" t="s">
        <v>13</v>
      </c>
      <c r="H752" s="4">
        <v>1457.7126063778892</v>
      </c>
      <c r="I752" s="4">
        <v>1714.9560075033999</v>
      </c>
      <c r="J752" s="2">
        <f>VLOOKUP(A752,Planilha1!A:M,13,0)</f>
        <v>3220.2324129890262</v>
      </c>
      <c r="K752" s="10">
        <f t="shared" si="22"/>
        <v>1762.519806611137</v>
      </c>
      <c r="L752" s="10">
        <f t="shared" si="23"/>
        <v>257.24340112551067</v>
      </c>
    </row>
    <row r="753" spans="1:12" x14ac:dyDescent="0.25">
      <c r="A753" s="2">
        <v>0</v>
      </c>
      <c r="B753" s="4">
        <v>21</v>
      </c>
      <c r="C753" s="4">
        <v>23.1</v>
      </c>
      <c r="D753" s="4">
        <v>0</v>
      </c>
      <c r="E753" s="4" t="s">
        <v>11</v>
      </c>
      <c r="F753" s="4" t="s">
        <v>12</v>
      </c>
      <c r="G753" s="4" t="s">
        <v>14</v>
      </c>
      <c r="H753" s="4">
        <v>1926.652757401579</v>
      </c>
      <c r="I753" s="4">
        <v>2266.6503028253878</v>
      </c>
      <c r="J753" s="2">
        <f>VLOOKUP(A753,Planilha1!A:M,13,0)</f>
        <v>2511.8220480829059</v>
      </c>
      <c r="K753" s="10">
        <f t="shared" si="22"/>
        <v>585.16929068132686</v>
      </c>
      <c r="L753" s="10">
        <f t="shared" si="23"/>
        <v>339.99754542380879</v>
      </c>
    </row>
    <row r="754" spans="1:12" x14ac:dyDescent="0.25">
      <c r="A754" s="2">
        <v>1</v>
      </c>
      <c r="B754" s="4">
        <v>64</v>
      </c>
      <c r="C754" s="4">
        <v>37.9</v>
      </c>
      <c r="D754" s="4">
        <v>0</v>
      </c>
      <c r="E754" s="4" t="s">
        <v>11</v>
      </c>
      <c r="F754" s="4" t="s">
        <v>12</v>
      </c>
      <c r="G754" s="4" t="s">
        <v>14</v>
      </c>
      <c r="H754" s="4">
        <v>4323.2052131565233</v>
      </c>
      <c r="I754" s="4">
        <v>4117.338298244309</v>
      </c>
      <c r="J754" s="2">
        <f>VLOOKUP(A754,Planilha1!A:M,13,0)</f>
        <v>6326.3485212104815</v>
      </c>
      <c r="K754" s="10">
        <f t="shared" si="22"/>
        <v>2003.1433080539582</v>
      </c>
      <c r="L754" s="10">
        <f t="shared" si="23"/>
        <v>-205.86691491221427</v>
      </c>
    </row>
    <row r="755" spans="1:12" x14ac:dyDescent="0.25">
      <c r="A755" s="2">
        <v>1</v>
      </c>
      <c r="B755" s="4">
        <v>58</v>
      </c>
      <c r="C755" s="4">
        <v>22.8</v>
      </c>
      <c r="D755" s="4">
        <v>0</v>
      </c>
      <c r="E755" s="4" t="s">
        <v>8</v>
      </c>
      <c r="F755" s="4" t="s">
        <v>12</v>
      </c>
      <c r="G755" s="4" t="s">
        <v>13</v>
      </c>
      <c r="H755" s="4">
        <v>4990.179555062452</v>
      </c>
      <c r="I755" s="4">
        <v>4752.5519572023359</v>
      </c>
      <c r="J755" s="2">
        <f>VLOOKUP(A755,Planilha1!A:M,13,0)</f>
        <v>6326.3485212104815</v>
      </c>
      <c r="K755" s="10">
        <f t="shared" si="22"/>
        <v>1336.1689661480295</v>
      </c>
      <c r="L755" s="10">
        <f t="shared" si="23"/>
        <v>-237.62759786011611</v>
      </c>
    </row>
    <row r="756" spans="1:12" x14ac:dyDescent="0.25">
      <c r="A756" s="2">
        <v>3</v>
      </c>
      <c r="B756" s="4">
        <v>24</v>
      </c>
      <c r="C756" s="4">
        <v>33.6</v>
      </c>
      <c r="D756" s="4">
        <v>4</v>
      </c>
      <c r="E756" s="4" t="s">
        <v>11</v>
      </c>
      <c r="F756" s="4" t="s">
        <v>12</v>
      </c>
      <c r="G756" s="4" t="s">
        <v>15</v>
      </c>
      <c r="H756" s="4">
        <v>2750.3158371419149</v>
      </c>
      <c r="I756" s="4">
        <v>3667.0877828558864</v>
      </c>
      <c r="J756" s="2">
        <f>VLOOKUP(A756,Planilha1!A:M,13,0)</f>
        <v>3049.3550806113421</v>
      </c>
      <c r="K756" s="10">
        <f t="shared" si="22"/>
        <v>299.03924346942722</v>
      </c>
      <c r="L756" s="10">
        <f t="shared" si="23"/>
        <v>916.77194571397149</v>
      </c>
    </row>
    <row r="757" spans="1:12" x14ac:dyDescent="0.25">
      <c r="A757" s="2">
        <v>3</v>
      </c>
      <c r="B757" s="4">
        <v>31</v>
      </c>
      <c r="C757" s="4">
        <v>27.6</v>
      </c>
      <c r="D757" s="4">
        <v>2</v>
      </c>
      <c r="E757" s="4" t="s">
        <v>11</v>
      </c>
      <c r="F757" s="4" t="s">
        <v>12</v>
      </c>
      <c r="G757" s="4" t="s">
        <v>15</v>
      </c>
      <c r="H757" s="4">
        <v>2088.17914387884</v>
      </c>
      <c r="I757" s="4">
        <v>2784.2388585051199</v>
      </c>
      <c r="J757" s="2">
        <f>VLOOKUP(A757,Planilha1!A:M,13,0)</f>
        <v>3049.3550806113421</v>
      </c>
      <c r="K757" s="10">
        <f t="shared" si="22"/>
        <v>961.17593673250212</v>
      </c>
      <c r="L757" s="10">
        <f t="shared" si="23"/>
        <v>696.05971462627986</v>
      </c>
    </row>
    <row r="758" spans="1:12" x14ac:dyDescent="0.25">
      <c r="A758" s="2">
        <v>3</v>
      </c>
      <c r="B758" s="4">
        <v>39</v>
      </c>
      <c r="C758" s="4">
        <v>22.8</v>
      </c>
      <c r="D758" s="4">
        <v>3</v>
      </c>
      <c r="E758" s="4" t="s">
        <v>8</v>
      </c>
      <c r="F758" s="4" t="s">
        <v>12</v>
      </c>
      <c r="G758" s="4" t="s">
        <v>15</v>
      </c>
      <c r="H758" s="4">
        <v>1129.0478258045537</v>
      </c>
      <c r="I758" s="4">
        <v>1505.3971010727382</v>
      </c>
      <c r="J758" s="2">
        <f>VLOOKUP(A758,Planilha1!A:M,13,0)</f>
        <v>3049.3550806113421</v>
      </c>
      <c r="K758" s="10">
        <f t="shared" si="22"/>
        <v>1920.3072548067885</v>
      </c>
      <c r="L758" s="10">
        <f t="shared" si="23"/>
        <v>376.34927526818456</v>
      </c>
    </row>
    <row r="759" spans="1:12" x14ac:dyDescent="0.25">
      <c r="A759" s="2">
        <v>2</v>
      </c>
      <c r="B759" s="4">
        <v>47</v>
      </c>
      <c r="C759" s="4">
        <v>27.8</v>
      </c>
      <c r="D759" s="4">
        <v>0</v>
      </c>
      <c r="E759" s="4" t="s">
        <v>8</v>
      </c>
      <c r="F759" s="4" t="s">
        <v>9</v>
      </c>
      <c r="G759" s="4" t="s">
        <v>13</v>
      </c>
      <c r="H759" s="4">
        <v>4988.2291675704491</v>
      </c>
      <c r="I759" s="4">
        <v>4750.694445305191</v>
      </c>
      <c r="J759" s="2">
        <f>VLOOKUP(A759,Planilha1!A:M,13,0)</f>
        <v>3220.2324129890262</v>
      </c>
      <c r="K759" s="10">
        <f t="shared" si="22"/>
        <v>-1767.9967545814229</v>
      </c>
      <c r="L759" s="10">
        <f t="shared" si="23"/>
        <v>-237.5347222652581</v>
      </c>
    </row>
    <row r="760" spans="1:12" x14ac:dyDescent="0.25">
      <c r="A760" s="2">
        <v>3</v>
      </c>
      <c r="B760" s="4">
        <v>30</v>
      </c>
      <c r="C760" s="4">
        <v>37.4</v>
      </c>
      <c r="D760" s="4">
        <v>3</v>
      </c>
      <c r="E760" s="4" t="s">
        <v>11</v>
      </c>
      <c r="F760" s="4" t="s">
        <v>12</v>
      </c>
      <c r="G760" s="4" t="s">
        <v>15</v>
      </c>
      <c r="H760" s="4">
        <v>2610.4979877837227</v>
      </c>
      <c r="I760" s="4">
        <v>3480.6639837116304</v>
      </c>
      <c r="J760" s="2">
        <f>VLOOKUP(A760,Planilha1!A:M,13,0)</f>
        <v>3049.3550806113421</v>
      </c>
      <c r="K760" s="10">
        <f t="shared" si="22"/>
        <v>438.85709282761945</v>
      </c>
      <c r="L760" s="10">
        <f t="shared" si="23"/>
        <v>870.16599592790772</v>
      </c>
    </row>
    <row r="761" spans="1:12" x14ac:dyDescent="0.25">
      <c r="A761" s="2">
        <v>2</v>
      </c>
      <c r="B761" s="4">
        <v>18</v>
      </c>
      <c r="C761" s="4">
        <v>21.3</v>
      </c>
      <c r="D761" s="4">
        <v>0</v>
      </c>
      <c r="E761" s="4" t="s">
        <v>11</v>
      </c>
      <c r="F761" s="4" t="s">
        <v>9</v>
      </c>
      <c r="G761" s="4" t="s">
        <v>13</v>
      </c>
      <c r="H761" s="4">
        <v>1474.1566884627209</v>
      </c>
      <c r="I761" s="4">
        <v>1734.3019864267312</v>
      </c>
      <c r="J761" s="2">
        <f>VLOOKUP(A761,Planilha1!A:M,13,0)</f>
        <v>3220.2324129890262</v>
      </c>
      <c r="K761" s="10">
        <f t="shared" si="22"/>
        <v>1746.0757245263053</v>
      </c>
      <c r="L761" s="10">
        <f t="shared" si="23"/>
        <v>260.1452979640103</v>
      </c>
    </row>
    <row r="762" spans="1:12" x14ac:dyDescent="0.25">
      <c r="A762" s="2">
        <v>3</v>
      </c>
      <c r="B762" s="4">
        <v>22</v>
      </c>
      <c r="C762" s="4">
        <v>34.6</v>
      </c>
      <c r="D762" s="4">
        <v>2</v>
      </c>
      <c r="E762" s="4" t="s">
        <v>8</v>
      </c>
      <c r="F762" s="4" t="s">
        <v>12</v>
      </c>
      <c r="G762" s="4" t="s">
        <v>15</v>
      </c>
      <c r="H762" s="4">
        <v>1574.484226616356</v>
      </c>
      <c r="I762" s="4">
        <v>2099.3123021551414</v>
      </c>
      <c r="J762" s="2">
        <f>VLOOKUP(A762,Planilha1!A:M,13,0)</f>
        <v>3049.3550806113421</v>
      </c>
      <c r="K762" s="10">
        <f t="shared" si="22"/>
        <v>1474.8708539949862</v>
      </c>
      <c r="L762" s="10">
        <f t="shared" si="23"/>
        <v>524.82807553878547</v>
      </c>
    </row>
    <row r="763" spans="1:12" x14ac:dyDescent="0.25">
      <c r="A763" s="2">
        <v>0</v>
      </c>
      <c r="B763" s="4">
        <v>23</v>
      </c>
      <c r="C763" s="4">
        <v>24.1</v>
      </c>
      <c r="D763" s="4">
        <v>1</v>
      </c>
      <c r="E763" s="4" t="s">
        <v>11</v>
      </c>
      <c r="F763" s="4" t="s">
        <v>12</v>
      </c>
      <c r="G763" s="4" t="s">
        <v>10</v>
      </c>
      <c r="H763" s="4">
        <v>2031.6833008417404</v>
      </c>
      <c r="I763" s="4">
        <v>2390.2156480491076</v>
      </c>
      <c r="J763" s="2">
        <f>VLOOKUP(A763,Planilha1!A:M,13,0)</f>
        <v>2511.8220480829059</v>
      </c>
      <c r="K763" s="10">
        <f t="shared" si="22"/>
        <v>480.13874724116545</v>
      </c>
      <c r="L763" s="10">
        <f t="shared" si="23"/>
        <v>358.53234720736714</v>
      </c>
    </row>
    <row r="764" spans="1:12" x14ac:dyDescent="0.25">
      <c r="A764" s="2">
        <v>2</v>
      </c>
      <c r="B764" s="4">
        <v>33</v>
      </c>
      <c r="C764" s="4">
        <v>21.9</v>
      </c>
      <c r="D764" s="4">
        <v>1</v>
      </c>
      <c r="E764" s="4" t="s">
        <v>11</v>
      </c>
      <c r="F764" s="4" t="s">
        <v>9</v>
      </c>
      <c r="G764" s="4" t="s">
        <v>10</v>
      </c>
      <c r="H764" s="4">
        <v>1500.3572417650253</v>
      </c>
      <c r="I764" s="4">
        <v>1765.1261667823833</v>
      </c>
      <c r="J764" s="2">
        <f>VLOOKUP(A764,Planilha1!A:M,13,0)</f>
        <v>3220.2324129890262</v>
      </c>
      <c r="K764" s="10">
        <f t="shared" si="22"/>
        <v>1719.875171224001</v>
      </c>
      <c r="L764" s="10">
        <f t="shared" si="23"/>
        <v>264.76892501735801</v>
      </c>
    </row>
    <row r="765" spans="1:12" x14ac:dyDescent="0.25">
      <c r="A765" s="2">
        <v>0</v>
      </c>
      <c r="B765" s="4">
        <v>27</v>
      </c>
      <c r="C765" s="4">
        <v>21.9</v>
      </c>
      <c r="D765" s="4">
        <v>0</v>
      </c>
      <c r="E765" s="4" t="s">
        <v>11</v>
      </c>
      <c r="F765" s="4" t="s">
        <v>12</v>
      </c>
      <c r="G765" s="4" t="s">
        <v>15</v>
      </c>
      <c r="H765" s="4">
        <v>1740.8095722120206</v>
      </c>
      <c r="I765" s="4">
        <v>2048.0112614259074</v>
      </c>
      <c r="J765" s="2">
        <f>VLOOKUP(A765,Planilha1!A:M,13,0)</f>
        <v>2511.8220480829059</v>
      </c>
      <c r="K765" s="10">
        <f t="shared" si="22"/>
        <v>771.01247587088528</v>
      </c>
      <c r="L765" s="10">
        <f t="shared" si="23"/>
        <v>307.20168921388677</v>
      </c>
    </row>
    <row r="766" spans="1:12" x14ac:dyDescent="0.25">
      <c r="A766" s="2">
        <v>3</v>
      </c>
      <c r="B766" s="4">
        <v>45</v>
      </c>
      <c r="C766" s="4">
        <v>25.2</v>
      </c>
      <c r="D766" s="4">
        <v>2</v>
      </c>
      <c r="E766" s="4" t="s">
        <v>8</v>
      </c>
      <c r="F766" s="4" t="s">
        <v>12</v>
      </c>
      <c r="G766" s="4" t="s">
        <v>15</v>
      </c>
      <c r="H766" s="4">
        <v>2889.1997512189168</v>
      </c>
      <c r="I766" s="4">
        <v>3852.2663349585559</v>
      </c>
      <c r="J766" s="2">
        <f>VLOOKUP(A766,Planilha1!A:M,13,0)</f>
        <v>3049.3550806113421</v>
      </c>
      <c r="K766" s="10">
        <f t="shared" si="22"/>
        <v>160.1553293924253</v>
      </c>
      <c r="L766" s="10">
        <f t="shared" si="23"/>
        <v>963.0665837396391</v>
      </c>
    </row>
    <row r="767" spans="1:12" x14ac:dyDescent="0.25">
      <c r="A767" s="2">
        <v>1</v>
      </c>
      <c r="B767" s="4">
        <v>57</v>
      </c>
      <c r="C767" s="4">
        <v>31.8</v>
      </c>
      <c r="D767" s="4">
        <v>0</v>
      </c>
      <c r="E767" s="4" t="s">
        <v>8</v>
      </c>
      <c r="F767" s="4" t="s">
        <v>12</v>
      </c>
      <c r="G767" s="4" t="s">
        <v>14</v>
      </c>
      <c r="H767" s="4">
        <v>4814.8722420659387</v>
      </c>
      <c r="I767" s="4">
        <v>4585.5926114913727</v>
      </c>
      <c r="J767" s="2">
        <f>VLOOKUP(A767,Planilha1!A:M,13,0)</f>
        <v>6326.3485212104815</v>
      </c>
      <c r="K767" s="10">
        <f t="shared" si="22"/>
        <v>1511.4762791445428</v>
      </c>
      <c r="L767" s="10">
        <f t="shared" si="23"/>
        <v>-229.279630574566</v>
      </c>
    </row>
    <row r="768" spans="1:12" x14ac:dyDescent="0.25">
      <c r="A768" s="2">
        <v>1</v>
      </c>
      <c r="B768" s="4">
        <v>47</v>
      </c>
      <c r="C768" s="4">
        <v>32.299999999999997</v>
      </c>
      <c r="D768" s="4">
        <v>1</v>
      </c>
      <c r="E768" s="4" t="s">
        <v>11</v>
      </c>
      <c r="F768" s="4" t="s">
        <v>12</v>
      </c>
      <c r="G768" s="4" t="s">
        <v>10</v>
      </c>
      <c r="H768" s="4">
        <v>5468.6803694736582</v>
      </c>
      <c r="I768" s="4">
        <v>5208.2670185463421</v>
      </c>
      <c r="J768" s="2">
        <f>VLOOKUP(A768,Planilha1!A:M,13,0)</f>
        <v>6326.3485212104815</v>
      </c>
      <c r="K768" s="10">
        <f t="shared" si="22"/>
        <v>857.66815173682335</v>
      </c>
      <c r="L768" s="10">
        <f t="shared" si="23"/>
        <v>-260.41335092731606</v>
      </c>
    </row>
    <row r="769" spans="1:12" x14ac:dyDescent="0.25">
      <c r="A769" s="2">
        <v>1</v>
      </c>
      <c r="B769" s="4">
        <v>42</v>
      </c>
      <c r="C769" s="4">
        <v>29</v>
      </c>
      <c r="D769" s="4">
        <v>1</v>
      </c>
      <c r="E769" s="4" t="s">
        <v>8</v>
      </c>
      <c r="F769" s="4" t="s">
        <v>12</v>
      </c>
      <c r="G769" s="4" t="s">
        <v>10</v>
      </c>
      <c r="H769" s="4">
        <v>3399.0760554097501</v>
      </c>
      <c r="I769" s="4">
        <v>3237.2152908664302</v>
      </c>
      <c r="J769" s="2">
        <f>VLOOKUP(A769,Planilha1!A:M,13,0)</f>
        <v>6326.3485212104815</v>
      </c>
      <c r="K769" s="10">
        <f t="shared" si="22"/>
        <v>2927.2724658007314</v>
      </c>
      <c r="L769" s="10">
        <f t="shared" si="23"/>
        <v>-161.86076454331987</v>
      </c>
    </row>
    <row r="770" spans="1:12" x14ac:dyDescent="0.25">
      <c r="A770" s="2">
        <v>1</v>
      </c>
      <c r="B770" s="4">
        <v>64</v>
      </c>
      <c r="C770" s="4">
        <v>39.700000000000003</v>
      </c>
      <c r="D770" s="4">
        <v>0</v>
      </c>
      <c r="E770" s="4" t="s">
        <v>8</v>
      </c>
      <c r="F770" s="4" t="s">
        <v>12</v>
      </c>
      <c r="G770" s="4" t="s">
        <v>10</v>
      </c>
      <c r="H770" s="4">
        <v>6495.0878525316093</v>
      </c>
      <c r="I770" s="4">
        <v>6185.7979547920095</v>
      </c>
      <c r="J770" s="2">
        <f>VLOOKUP(A770,Planilha1!A:M,13,0)</f>
        <v>6326.3485212104815</v>
      </c>
      <c r="K770" s="10">
        <f t="shared" si="22"/>
        <v>-168.73933132112779</v>
      </c>
      <c r="L770" s="10">
        <f t="shared" si="23"/>
        <v>-309.28989773959984</v>
      </c>
    </row>
    <row r="771" spans="1:12" x14ac:dyDescent="0.25">
      <c r="A771" s="2">
        <v>0</v>
      </c>
      <c r="B771" s="4">
        <v>38</v>
      </c>
      <c r="C771" s="4">
        <v>19.5</v>
      </c>
      <c r="D771" s="4">
        <v>2</v>
      </c>
      <c r="E771" s="4" t="s">
        <v>8</v>
      </c>
      <c r="F771" s="4" t="s">
        <v>12</v>
      </c>
      <c r="G771" s="4" t="s">
        <v>14</v>
      </c>
      <c r="H771" s="4">
        <v>1709.7623033936761</v>
      </c>
      <c r="I771" s="4">
        <v>2011.4850628160902</v>
      </c>
      <c r="J771" s="2">
        <f>VLOOKUP(A771,Planilha1!A:M,13,0)</f>
        <v>2511.8220480829059</v>
      </c>
      <c r="K771" s="10">
        <f t="shared" ref="K771:K834" si="24">J771-H771</f>
        <v>802.05974468922977</v>
      </c>
      <c r="L771" s="10">
        <f t="shared" ref="L771:L834" si="25">I771-H771</f>
        <v>301.72275942241413</v>
      </c>
    </row>
    <row r="772" spans="1:12" x14ac:dyDescent="0.25">
      <c r="A772" s="2">
        <v>3</v>
      </c>
      <c r="B772" s="4">
        <v>61</v>
      </c>
      <c r="C772" s="4">
        <v>36.1</v>
      </c>
      <c r="D772" s="4">
        <v>3</v>
      </c>
      <c r="E772" s="4" t="s">
        <v>11</v>
      </c>
      <c r="F772" s="4" t="s">
        <v>12</v>
      </c>
      <c r="G772" s="4" t="s">
        <v>10</v>
      </c>
      <c r="H772" s="4">
        <v>2668.454822471911</v>
      </c>
      <c r="I772" s="4">
        <v>3557.9397632958817</v>
      </c>
      <c r="J772" s="2">
        <f>VLOOKUP(A772,Planilha1!A:M,13,0)</f>
        <v>3049.3550806113421</v>
      </c>
      <c r="K772" s="10">
        <f t="shared" si="24"/>
        <v>380.90025813943112</v>
      </c>
      <c r="L772" s="10">
        <f t="shared" si="25"/>
        <v>889.48494082397065</v>
      </c>
    </row>
    <row r="773" spans="1:12" x14ac:dyDescent="0.25">
      <c r="A773" s="2">
        <v>3</v>
      </c>
      <c r="B773" s="4">
        <v>53</v>
      </c>
      <c r="C773" s="4">
        <v>26.7</v>
      </c>
      <c r="D773" s="4">
        <v>2</v>
      </c>
      <c r="E773" s="4" t="s">
        <v>8</v>
      </c>
      <c r="F773" s="4" t="s">
        <v>12</v>
      </c>
      <c r="G773" s="4" t="s">
        <v>10</v>
      </c>
      <c r="H773" s="4">
        <v>2399.9870748427811</v>
      </c>
      <c r="I773" s="4">
        <v>3199.9827664570416</v>
      </c>
      <c r="J773" s="2">
        <f>VLOOKUP(A773,Planilha1!A:M,13,0)</f>
        <v>3049.3550806113421</v>
      </c>
      <c r="K773" s="10">
        <f t="shared" si="24"/>
        <v>649.36800576856103</v>
      </c>
      <c r="L773" s="10">
        <f t="shared" si="25"/>
        <v>799.99569161426052</v>
      </c>
    </row>
    <row r="774" spans="1:12" x14ac:dyDescent="0.25">
      <c r="A774" s="2">
        <v>1</v>
      </c>
      <c r="B774" s="4">
        <v>44</v>
      </c>
      <c r="C774" s="4">
        <v>36.5</v>
      </c>
      <c r="D774" s="4">
        <v>0</v>
      </c>
      <c r="E774" s="4" t="s">
        <v>8</v>
      </c>
      <c r="F774" s="4" t="s">
        <v>12</v>
      </c>
      <c r="G774" s="4" t="s">
        <v>15</v>
      </c>
      <c r="H774" s="4">
        <v>5069.4360813530302</v>
      </c>
      <c r="I774" s="4">
        <v>4828.0343631933638</v>
      </c>
      <c r="J774" s="2">
        <f>VLOOKUP(A774,Planilha1!A:M,13,0)</f>
        <v>6326.3485212104815</v>
      </c>
      <c r="K774" s="10">
        <f t="shared" si="24"/>
        <v>1256.9124398574513</v>
      </c>
      <c r="L774" s="10">
        <f t="shared" si="25"/>
        <v>-241.40171815966642</v>
      </c>
    </row>
    <row r="775" spans="1:12" x14ac:dyDescent="0.25">
      <c r="A775" s="2">
        <v>2</v>
      </c>
      <c r="B775" s="4">
        <v>19</v>
      </c>
      <c r="C775" s="4">
        <v>22.3</v>
      </c>
      <c r="D775" s="4">
        <v>0</v>
      </c>
      <c r="E775" s="4" t="s">
        <v>8</v>
      </c>
      <c r="F775" s="4" t="s">
        <v>9</v>
      </c>
      <c r="G775" s="4" t="s">
        <v>14</v>
      </c>
      <c r="H775" s="4">
        <v>2018.4312350383047</v>
      </c>
      <c r="I775" s="4">
        <v>2374.6249823980061</v>
      </c>
      <c r="J775" s="2">
        <f>VLOOKUP(A775,Planilha1!A:M,13,0)</f>
        <v>3220.2324129890262</v>
      </c>
      <c r="K775" s="10">
        <f t="shared" si="24"/>
        <v>1201.8011779507215</v>
      </c>
      <c r="L775" s="10">
        <f t="shared" si="25"/>
        <v>356.19374735970132</v>
      </c>
    </row>
    <row r="776" spans="1:12" x14ac:dyDescent="0.25">
      <c r="A776" s="2">
        <v>3</v>
      </c>
      <c r="B776" s="4">
        <v>41</v>
      </c>
      <c r="C776" s="4">
        <v>34.200000000000003</v>
      </c>
      <c r="D776" s="4">
        <v>2</v>
      </c>
      <c r="E776" s="4" t="s">
        <v>11</v>
      </c>
      <c r="F776" s="4" t="s">
        <v>12</v>
      </c>
      <c r="G776" s="4" t="s">
        <v>14</v>
      </c>
      <c r="H776" s="4">
        <v>1616.0464852943023</v>
      </c>
      <c r="I776" s="4">
        <v>2154.7286470590698</v>
      </c>
      <c r="J776" s="2">
        <f>VLOOKUP(A776,Planilha1!A:M,13,0)</f>
        <v>3049.3550806113421</v>
      </c>
      <c r="K776" s="10">
        <f t="shared" si="24"/>
        <v>1433.3085953170398</v>
      </c>
      <c r="L776" s="10">
        <f t="shared" si="25"/>
        <v>538.68216176476744</v>
      </c>
    </row>
    <row r="777" spans="1:12" x14ac:dyDescent="0.25">
      <c r="A777" s="2">
        <v>3</v>
      </c>
      <c r="B777" s="4">
        <v>51</v>
      </c>
      <c r="C777" s="4">
        <v>33.299999999999997</v>
      </c>
      <c r="D777" s="4">
        <v>3</v>
      </c>
      <c r="E777" s="4" t="s">
        <v>11</v>
      </c>
      <c r="F777" s="4" t="s">
        <v>12</v>
      </c>
      <c r="G777" s="4" t="s">
        <v>13</v>
      </c>
      <c r="H777" s="4">
        <v>3074.0465714851707</v>
      </c>
      <c r="I777" s="4">
        <v>4098.7287619802273</v>
      </c>
      <c r="J777" s="2">
        <f>VLOOKUP(A777,Planilha1!A:M,13,0)</f>
        <v>3049.3550806113421</v>
      </c>
      <c r="K777" s="10">
        <f t="shared" si="24"/>
        <v>-24.69149087382857</v>
      </c>
      <c r="L777" s="10">
        <f t="shared" si="25"/>
        <v>1024.6821904950566</v>
      </c>
    </row>
    <row r="778" spans="1:12" x14ac:dyDescent="0.25">
      <c r="A778" s="2">
        <v>3</v>
      </c>
      <c r="B778" s="4">
        <v>40</v>
      </c>
      <c r="C778" s="4">
        <v>32.299999999999997</v>
      </c>
      <c r="D778" s="4">
        <v>2</v>
      </c>
      <c r="E778" s="4" t="s">
        <v>11</v>
      </c>
      <c r="F778" s="4" t="s">
        <v>12</v>
      </c>
      <c r="G778" s="4" t="s">
        <v>14</v>
      </c>
      <c r="H778" s="4">
        <v>1669.7217289093003</v>
      </c>
      <c r="I778" s="4">
        <v>2226.2956385457337</v>
      </c>
      <c r="J778" s="2">
        <f>VLOOKUP(A778,Planilha1!A:M,13,0)</f>
        <v>3049.3550806113421</v>
      </c>
      <c r="K778" s="10">
        <f t="shared" si="24"/>
        <v>1379.6333517020419</v>
      </c>
      <c r="L778" s="10">
        <f t="shared" si="25"/>
        <v>556.57390963643343</v>
      </c>
    </row>
    <row r="779" spans="1:12" x14ac:dyDescent="0.25">
      <c r="A779" s="2">
        <v>1</v>
      </c>
      <c r="B779" s="4">
        <v>45</v>
      </c>
      <c r="C779" s="4">
        <v>39.799999999999997</v>
      </c>
      <c r="D779" s="4">
        <v>0</v>
      </c>
      <c r="E779" s="4" t="s">
        <v>11</v>
      </c>
      <c r="F779" s="4" t="s">
        <v>12</v>
      </c>
      <c r="G779" s="4" t="s">
        <v>15</v>
      </c>
      <c r="H779" s="4">
        <v>6228.8094116795055</v>
      </c>
      <c r="I779" s="4">
        <v>5932.1994396947684</v>
      </c>
      <c r="J779" s="2">
        <f>VLOOKUP(A779,Planilha1!A:M,13,0)</f>
        <v>6326.3485212104815</v>
      </c>
      <c r="K779" s="10">
        <f t="shared" si="24"/>
        <v>97.53910953097602</v>
      </c>
      <c r="L779" s="10">
        <f t="shared" si="25"/>
        <v>-296.60997198473706</v>
      </c>
    </row>
    <row r="780" spans="1:12" x14ac:dyDescent="0.25">
      <c r="A780" s="2">
        <v>3</v>
      </c>
      <c r="B780" s="4">
        <v>35</v>
      </c>
      <c r="C780" s="4">
        <v>34.299999999999997</v>
      </c>
      <c r="D780" s="4">
        <v>3</v>
      </c>
      <c r="E780" s="4" t="s">
        <v>11</v>
      </c>
      <c r="F780" s="4" t="s">
        <v>12</v>
      </c>
      <c r="G780" s="4" t="s">
        <v>13</v>
      </c>
      <c r="H780" s="4">
        <v>1928.3073351369276</v>
      </c>
      <c r="I780" s="4">
        <v>2571.0764468492366</v>
      </c>
      <c r="J780" s="2">
        <f>VLOOKUP(A780,Planilha1!A:M,13,0)</f>
        <v>3049.3550806113421</v>
      </c>
      <c r="K780" s="10">
        <f t="shared" si="24"/>
        <v>1121.0477454744146</v>
      </c>
      <c r="L780" s="10">
        <f t="shared" si="25"/>
        <v>642.76911171230904</v>
      </c>
    </row>
    <row r="781" spans="1:12" x14ac:dyDescent="0.25">
      <c r="A781" s="2">
        <v>1</v>
      </c>
      <c r="B781" s="4">
        <v>53</v>
      </c>
      <c r="C781" s="4">
        <v>28.9</v>
      </c>
      <c r="D781" s="4">
        <v>0</v>
      </c>
      <c r="E781" s="4" t="s">
        <v>11</v>
      </c>
      <c r="F781" s="4" t="s">
        <v>12</v>
      </c>
      <c r="G781" s="4" t="s">
        <v>14</v>
      </c>
      <c r="H781" s="4">
        <v>5342.2285419975551</v>
      </c>
      <c r="I781" s="4">
        <v>5087.8367066643405</v>
      </c>
      <c r="J781" s="2">
        <f>VLOOKUP(A781,Planilha1!A:M,13,0)</f>
        <v>6326.3485212104815</v>
      </c>
      <c r="K781" s="10">
        <f t="shared" si="24"/>
        <v>984.11997921292641</v>
      </c>
      <c r="L781" s="10">
        <f t="shared" si="25"/>
        <v>-254.39183533321466</v>
      </c>
    </row>
    <row r="782" spans="1:12" x14ac:dyDescent="0.25">
      <c r="A782" s="2">
        <v>2</v>
      </c>
      <c r="B782" s="4">
        <v>30</v>
      </c>
      <c r="C782" s="4">
        <v>24.4</v>
      </c>
      <c r="D782" s="4">
        <v>3</v>
      </c>
      <c r="E782" s="4" t="s">
        <v>11</v>
      </c>
      <c r="F782" s="4" t="s">
        <v>9</v>
      </c>
      <c r="G782" s="4" t="s">
        <v>10</v>
      </c>
      <c r="H782" s="4">
        <v>1943.0994167700439</v>
      </c>
      <c r="I782" s="4">
        <v>2590.7992223600586</v>
      </c>
      <c r="J782" s="2">
        <f>VLOOKUP(A782,Planilha1!A:M,13,0)</f>
        <v>3220.2324129890262</v>
      </c>
      <c r="K782" s="10">
        <f t="shared" si="24"/>
        <v>1277.1329962189823</v>
      </c>
      <c r="L782" s="10">
        <f t="shared" si="25"/>
        <v>647.69980559001465</v>
      </c>
    </row>
    <row r="783" spans="1:12" x14ac:dyDescent="0.25">
      <c r="A783" s="2">
        <v>0</v>
      </c>
      <c r="B783" s="4">
        <v>18</v>
      </c>
      <c r="C783" s="4">
        <v>24.9</v>
      </c>
      <c r="D783" s="4">
        <v>0</v>
      </c>
      <c r="E783" s="4" t="s">
        <v>11</v>
      </c>
      <c r="F783" s="4" t="s">
        <v>12</v>
      </c>
      <c r="G783" s="4" t="s">
        <v>13</v>
      </c>
      <c r="H783" s="4">
        <v>1705.2877861420973</v>
      </c>
      <c r="I783" s="4">
        <v>2006.2209248730564</v>
      </c>
      <c r="J783" s="2">
        <f>VLOOKUP(A783,Planilha1!A:M,13,0)</f>
        <v>2511.8220480829059</v>
      </c>
      <c r="K783" s="10">
        <f t="shared" si="24"/>
        <v>806.53426194080862</v>
      </c>
      <c r="L783" s="10">
        <f t="shared" si="25"/>
        <v>300.93313873095917</v>
      </c>
    </row>
    <row r="784" spans="1:12" x14ac:dyDescent="0.25">
      <c r="A784" s="2">
        <v>1</v>
      </c>
      <c r="B784" s="4">
        <v>51</v>
      </c>
      <c r="C784" s="4">
        <v>36</v>
      </c>
      <c r="D784" s="4">
        <v>1</v>
      </c>
      <c r="E784" s="4" t="s">
        <v>11</v>
      </c>
      <c r="F784" s="4" t="s">
        <v>12</v>
      </c>
      <c r="G784" s="4" t="s">
        <v>13</v>
      </c>
      <c r="H784" s="4">
        <v>5651.6943464238502</v>
      </c>
      <c r="I784" s="4">
        <v>5382.5660442131921</v>
      </c>
      <c r="J784" s="2">
        <f>VLOOKUP(A784,Planilha1!A:M,13,0)</f>
        <v>6326.3485212104815</v>
      </c>
      <c r="K784" s="10">
        <f t="shared" si="24"/>
        <v>674.6541747866313</v>
      </c>
      <c r="L784" s="10">
        <f t="shared" si="25"/>
        <v>-269.12830221065815</v>
      </c>
    </row>
    <row r="785" spans="1:12" x14ac:dyDescent="0.25">
      <c r="A785" s="2">
        <v>2</v>
      </c>
      <c r="B785" s="4">
        <v>50</v>
      </c>
      <c r="C785" s="4">
        <v>27.6</v>
      </c>
      <c r="D785" s="4">
        <v>1</v>
      </c>
      <c r="E785" s="4" t="s">
        <v>8</v>
      </c>
      <c r="F785" s="4" t="s">
        <v>9</v>
      </c>
      <c r="G785" s="4" t="s">
        <v>10</v>
      </c>
      <c r="H785" s="4">
        <v>4775.6988960993513</v>
      </c>
      <c r="I785" s="4">
        <v>4548.2846629517635</v>
      </c>
      <c r="J785" s="2">
        <f>VLOOKUP(A785,Planilha1!A:M,13,0)</f>
        <v>3220.2324129890262</v>
      </c>
      <c r="K785" s="10">
        <f t="shared" si="24"/>
        <v>-1555.466483110325</v>
      </c>
      <c r="L785" s="10">
        <f t="shared" si="25"/>
        <v>-227.41423314758777</v>
      </c>
    </row>
    <row r="786" spans="1:12" x14ac:dyDescent="0.25">
      <c r="A786" s="2">
        <v>0</v>
      </c>
      <c r="B786" s="4">
        <v>31</v>
      </c>
      <c r="C786" s="4">
        <v>24.2</v>
      </c>
      <c r="D786" s="4">
        <v>1</v>
      </c>
      <c r="E786" s="4" t="s">
        <v>8</v>
      </c>
      <c r="F786" s="4" t="s">
        <v>12</v>
      </c>
      <c r="G786" s="4" t="s">
        <v>13</v>
      </c>
      <c r="H786" s="4">
        <v>2764.9112152807711</v>
      </c>
      <c r="I786" s="4">
        <v>3252.8367238597316</v>
      </c>
      <c r="J786" s="2">
        <f>VLOOKUP(A786,Planilha1!A:M,13,0)</f>
        <v>2511.8220480829059</v>
      </c>
      <c r="K786" s="10">
        <f t="shared" si="24"/>
        <v>-253.08916719786521</v>
      </c>
      <c r="L786" s="10">
        <f t="shared" si="25"/>
        <v>487.92550857896049</v>
      </c>
    </row>
    <row r="787" spans="1:12" x14ac:dyDescent="0.25">
      <c r="A787" s="2">
        <v>3</v>
      </c>
      <c r="B787" s="4">
        <v>35</v>
      </c>
      <c r="C787" s="4">
        <v>27.7</v>
      </c>
      <c r="D787" s="4">
        <v>3</v>
      </c>
      <c r="E787" s="4" t="s">
        <v>8</v>
      </c>
      <c r="F787" s="4" t="s">
        <v>12</v>
      </c>
      <c r="G787" s="4" t="s">
        <v>10</v>
      </c>
      <c r="H787" s="4">
        <v>1840.5162729186304</v>
      </c>
      <c r="I787" s="4">
        <v>2454.0216972248404</v>
      </c>
      <c r="J787" s="2">
        <f>VLOOKUP(A787,Planilha1!A:M,13,0)</f>
        <v>3049.3550806113421</v>
      </c>
      <c r="K787" s="10">
        <f t="shared" si="24"/>
        <v>1208.8388076927117</v>
      </c>
      <c r="L787" s="10">
        <f t="shared" si="25"/>
        <v>613.50542430620999</v>
      </c>
    </row>
    <row r="788" spans="1:12" x14ac:dyDescent="0.25">
      <c r="A788" s="2">
        <v>1</v>
      </c>
      <c r="B788" s="4">
        <v>60</v>
      </c>
      <c r="C788" s="4">
        <v>37</v>
      </c>
      <c r="D788" s="4">
        <v>0</v>
      </c>
      <c r="E788" s="4" t="s">
        <v>11</v>
      </c>
      <c r="F788" s="4" t="s">
        <v>12</v>
      </c>
      <c r="G788" s="4" t="s">
        <v>15</v>
      </c>
      <c r="H788" s="4">
        <v>4992.5659988205307</v>
      </c>
      <c r="I788" s="4">
        <v>4754.8247607814592</v>
      </c>
      <c r="J788" s="2">
        <f>VLOOKUP(A788,Planilha1!A:M,13,0)</f>
        <v>6326.3485212104815</v>
      </c>
      <c r="K788" s="10">
        <f t="shared" si="24"/>
        <v>1333.7825223899508</v>
      </c>
      <c r="L788" s="10">
        <f t="shared" si="25"/>
        <v>-237.7412380390715</v>
      </c>
    </row>
    <row r="789" spans="1:12" x14ac:dyDescent="0.25">
      <c r="A789" s="2">
        <v>0</v>
      </c>
      <c r="B789" s="4">
        <v>21</v>
      </c>
      <c r="C789" s="4">
        <v>21.3</v>
      </c>
      <c r="D789" s="4">
        <v>0</v>
      </c>
      <c r="E789" s="4" t="s">
        <v>11</v>
      </c>
      <c r="F789" s="4" t="s">
        <v>12</v>
      </c>
      <c r="G789" s="4" t="s">
        <v>14</v>
      </c>
      <c r="H789" s="4">
        <v>2191.0996426422744</v>
      </c>
      <c r="I789" s="4">
        <v>2577.7642854615005</v>
      </c>
      <c r="J789" s="2">
        <f>VLOOKUP(A789,Planilha1!A:M,13,0)</f>
        <v>2511.8220480829059</v>
      </c>
      <c r="K789" s="10">
        <f t="shared" si="24"/>
        <v>320.72240544063152</v>
      </c>
      <c r="L789" s="10">
        <f t="shared" si="25"/>
        <v>386.66464281922617</v>
      </c>
    </row>
    <row r="790" spans="1:12" x14ac:dyDescent="0.25">
      <c r="A790" s="2">
        <v>3</v>
      </c>
      <c r="B790" s="4">
        <v>29</v>
      </c>
      <c r="C790" s="4">
        <v>22.5</v>
      </c>
      <c r="D790" s="4">
        <v>3</v>
      </c>
      <c r="E790" s="4" t="s">
        <v>11</v>
      </c>
      <c r="F790" s="4" t="s">
        <v>12</v>
      </c>
      <c r="G790" s="4" t="s">
        <v>15</v>
      </c>
      <c r="H790" s="4">
        <v>2725.1474061711788</v>
      </c>
      <c r="I790" s="4">
        <v>3633.5298748949049</v>
      </c>
      <c r="J790" s="2">
        <f>VLOOKUP(A790,Planilha1!A:M,13,0)</f>
        <v>3049.3550806113421</v>
      </c>
      <c r="K790" s="10">
        <f t="shared" si="24"/>
        <v>324.20767444016337</v>
      </c>
      <c r="L790" s="10">
        <f t="shared" si="25"/>
        <v>908.38246872372611</v>
      </c>
    </row>
    <row r="791" spans="1:12" x14ac:dyDescent="0.25">
      <c r="A791" s="2">
        <v>1</v>
      </c>
      <c r="B791" s="4">
        <v>62</v>
      </c>
      <c r="C791" s="4">
        <v>29.9</v>
      </c>
      <c r="D791" s="4">
        <v>0</v>
      </c>
      <c r="E791" s="4" t="s">
        <v>8</v>
      </c>
      <c r="F791" s="4" t="s">
        <v>12</v>
      </c>
      <c r="G791" s="4" t="s">
        <v>13</v>
      </c>
      <c r="H791" s="4">
        <v>4651.5814463996512</v>
      </c>
      <c r="I791" s="4">
        <v>4430.0775679996696</v>
      </c>
      <c r="J791" s="2">
        <f>VLOOKUP(A791,Planilha1!A:M,13,0)</f>
        <v>6326.3485212104815</v>
      </c>
      <c r="K791" s="10">
        <f t="shared" si="24"/>
        <v>1674.7670748108303</v>
      </c>
      <c r="L791" s="10">
        <f t="shared" si="25"/>
        <v>-221.50387839998166</v>
      </c>
    </row>
    <row r="792" spans="1:12" x14ac:dyDescent="0.25">
      <c r="A792" s="2">
        <v>1</v>
      </c>
      <c r="B792" s="4">
        <v>39</v>
      </c>
      <c r="C792" s="4">
        <v>41.8</v>
      </c>
      <c r="D792" s="4">
        <v>0</v>
      </c>
      <c r="E792" s="4" t="s">
        <v>8</v>
      </c>
      <c r="F792" s="4" t="s">
        <v>12</v>
      </c>
      <c r="G792" s="4" t="s">
        <v>13</v>
      </c>
      <c r="H792" s="4">
        <v>3799.136737003797</v>
      </c>
      <c r="I792" s="4">
        <v>3618.2254638131412</v>
      </c>
      <c r="J792" s="2">
        <f>VLOOKUP(A792,Planilha1!A:M,13,0)</f>
        <v>6326.3485212104815</v>
      </c>
      <c r="K792" s="10">
        <f t="shared" si="24"/>
        <v>2527.2117842066846</v>
      </c>
      <c r="L792" s="10">
        <f t="shared" si="25"/>
        <v>-180.91127319065572</v>
      </c>
    </row>
    <row r="793" spans="1:12" x14ac:dyDescent="0.25">
      <c r="A793" s="2">
        <v>0</v>
      </c>
      <c r="B793" s="4">
        <v>19</v>
      </c>
      <c r="C793" s="4">
        <v>24.3</v>
      </c>
      <c r="D793" s="4">
        <v>0</v>
      </c>
      <c r="E793" s="4" t="s">
        <v>11</v>
      </c>
      <c r="F793" s="4" t="s">
        <v>12</v>
      </c>
      <c r="G793" s="4" t="s">
        <v>10</v>
      </c>
      <c r="H793" s="4">
        <v>2706.9835700068534</v>
      </c>
      <c r="I793" s="4">
        <v>3184.6865529492406</v>
      </c>
      <c r="J793" s="2">
        <f>VLOOKUP(A793,Planilha1!A:M,13,0)</f>
        <v>2511.8220480829059</v>
      </c>
      <c r="K793" s="10">
        <f t="shared" si="24"/>
        <v>-195.16152192394748</v>
      </c>
      <c r="L793" s="10">
        <f t="shared" si="25"/>
        <v>477.70298294238728</v>
      </c>
    </row>
    <row r="794" spans="1:12" x14ac:dyDescent="0.25">
      <c r="A794" s="2">
        <v>0</v>
      </c>
      <c r="B794" s="4">
        <v>22</v>
      </c>
      <c r="C794" s="4">
        <v>25.4</v>
      </c>
      <c r="D794" s="4">
        <v>0</v>
      </c>
      <c r="E794" s="4" t="s">
        <v>8</v>
      </c>
      <c r="F794" s="4" t="s">
        <v>12</v>
      </c>
      <c r="G794" s="4" t="s">
        <v>15</v>
      </c>
      <c r="H794" s="4">
        <v>1694.755839024687</v>
      </c>
      <c r="I794" s="4">
        <v>1993.8303988525738</v>
      </c>
      <c r="J794" s="2">
        <f>VLOOKUP(A794,Planilha1!A:M,13,0)</f>
        <v>2511.8220480829059</v>
      </c>
      <c r="K794" s="10">
        <f t="shared" si="24"/>
        <v>817.06620905821887</v>
      </c>
      <c r="L794" s="10">
        <f t="shared" si="25"/>
        <v>299.07455982788679</v>
      </c>
    </row>
    <row r="795" spans="1:12" x14ac:dyDescent="0.25">
      <c r="A795" s="2">
        <v>2</v>
      </c>
      <c r="B795" s="4">
        <v>53</v>
      </c>
      <c r="C795" s="4">
        <v>20.9</v>
      </c>
      <c r="D795" s="4">
        <v>0</v>
      </c>
      <c r="E795" s="4" t="s">
        <v>11</v>
      </c>
      <c r="F795" s="4" t="s">
        <v>9</v>
      </c>
      <c r="G795" s="4" t="s">
        <v>13</v>
      </c>
      <c r="H795" s="4">
        <v>4559.9938864329451</v>
      </c>
      <c r="I795" s="4">
        <v>4342.8513204123301</v>
      </c>
      <c r="J795" s="2">
        <f>VLOOKUP(A795,Planilha1!A:M,13,0)</f>
        <v>3220.2324129890262</v>
      </c>
      <c r="K795" s="10">
        <f t="shared" si="24"/>
        <v>-1339.7614734439189</v>
      </c>
      <c r="L795" s="10">
        <f t="shared" si="25"/>
        <v>-217.14256602061505</v>
      </c>
    </row>
    <row r="796" spans="1:12" x14ac:dyDescent="0.25">
      <c r="A796" s="2">
        <v>3</v>
      </c>
      <c r="B796" s="4">
        <v>39</v>
      </c>
      <c r="C796" s="4">
        <v>31.9</v>
      </c>
      <c r="D796" s="4">
        <v>2</v>
      </c>
      <c r="E796" s="4" t="s">
        <v>8</v>
      </c>
      <c r="F796" s="4" t="s">
        <v>12</v>
      </c>
      <c r="G796" s="4" t="s">
        <v>14</v>
      </c>
      <c r="H796" s="4">
        <v>2337.5837116840034</v>
      </c>
      <c r="I796" s="4">
        <v>3116.7782822453378</v>
      </c>
      <c r="J796" s="2">
        <f>VLOOKUP(A796,Planilha1!A:M,13,0)</f>
        <v>3049.3550806113421</v>
      </c>
      <c r="K796" s="10">
        <f t="shared" si="24"/>
        <v>711.7713689273387</v>
      </c>
      <c r="L796" s="10">
        <f t="shared" si="25"/>
        <v>779.19457056133433</v>
      </c>
    </row>
    <row r="797" spans="1:12" x14ac:dyDescent="0.25">
      <c r="A797" s="2">
        <v>2</v>
      </c>
      <c r="B797" s="4">
        <v>27</v>
      </c>
      <c r="C797" s="4">
        <v>21.8</v>
      </c>
      <c r="D797" s="4">
        <v>0</v>
      </c>
      <c r="E797" s="4" t="s">
        <v>11</v>
      </c>
      <c r="F797" s="4" t="s">
        <v>9</v>
      </c>
      <c r="G797" s="4" t="s">
        <v>14</v>
      </c>
      <c r="H797" s="4">
        <v>1748.7514067188097</v>
      </c>
      <c r="I797" s="4">
        <v>2057.3545961397767</v>
      </c>
      <c r="J797" s="2">
        <f>VLOOKUP(A797,Planilha1!A:M,13,0)</f>
        <v>3220.2324129890262</v>
      </c>
      <c r="K797" s="10">
        <f t="shared" si="24"/>
        <v>1471.4810062702165</v>
      </c>
      <c r="L797" s="10">
        <f t="shared" si="25"/>
        <v>308.60318942096706</v>
      </c>
    </row>
    <row r="798" spans="1:12" x14ac:dyDescent="0.25">
      <c r="A798" s="2">
        <v>3</v>
      </c>
      <c r="B798" s="4">
        <v>30</v>
      </c>
      <c r="C798" s="4">
        <v>44.2</v>
      </c>
      <c r="D798" s="4">
        <v>2</v>
      </c>
      <c r="E798" s="4" t="s">
        <v>11</v>
      </c>
      <c r="F798" s="4" t="s">
        <v>12</v>
      </c>
      <c r="G798" s="4" t="s">
        <v>13</v>
      </c>
      <c r="H798" s="4">
        <v>2489.4504886496106</v>
      </c>
      <c r="I798" s="4">
        <v>3319.2673181994805</v>
      </c>
      <c r="J798" s="2">
        <f>VLOOKUP(A798,Planilha1!A:M,13,0)</f>
        <v>3049.3550806113421</v>
      </c>
      <c r="K798" s="10">
        <f t="shared" si="24"/>
        <v>559.90459196173151</v>
      </c>
      <c r="L798" s="10">
        <f t="shared" si="25"/>
        <v>829.81682954986991</v>
      </c>
    </row>
    <row r="799" spans="1:12" x14ac:dyDescent="0.25">
      <c r="A799" s="2">
        <v>0</v>
      </c>
      <c r="B799" s="4">
        <v>30</v>
      </c>
      <c r="C799" s="4">
        <v>25.9</v>
      </c>
      <c r="D799" s="4">
        <v>1</v>
      </c>
      <c r="E799" s="4" t="s">
        <v>8</v>
      </c>
      <c r="F799" s="4" t="s">
        <v>12</v>
      </c>
      <c r="G799" s="4" t="s">
        <v>15</v>
      </c>
      <c r="H799" s="4">
        <v>2050.8913231256138</v>
      </c>
      <c r="I799" s="4">
        <v>2412.8133213242522</v>
      </c>
      <c r="J799" s="2">
        <f>VLOOKUP(A799,Planilha1!A:M,13,0)</f>
        <v>2511.8220480829059</v>
      </c>
      <c r="K799" s="10">
        <f t="shared" si="24"/>
        <v>460.93072495729211</v>
      </c>
      <c r="L799" s="10">
        <f t="shared" si="25"/>
        <v>361.92199819863845</v>
      </c>
    </row>
    <row r="800" spans="1:12" x14ac:dyDescent="0.25">
      <c r="A800" s="2">
        <v>1</v>
      </c>
      <c r="B800" s="4">
        <v>58</v>
      </c>
      <c r="C800" s="4">
        <v>33.1</v>
      </c>
      <c r="D800" s="4">
        <v>0</v>
      </c>
      <c r="E800" s="4" t="s">
        <v>8</v>
      </c>
      <c r="F800" s="4" t="s">
        <v>12</v>
      </c>
      <c r="G800" s="4" t="s">
        <v>10</v>
      </c>
      <c r="H800" s="4">
        <v>4010.879498426908</v>
      </c>
      <c r="I800" s="4">
        <v>3819.885236597057</v>
      </c>
      <c r="J800" s="2">
        <f>VLOOKUP(A800,Planilha1!A:M,13,0)</f>
        <v>6326.3485212104815</v>
      </c>
      <c r="K800" s="10">
        <f t="shared" si="24"/>
        <v>2315.4690227835736</v>
      </c>
      <c r="L800" s="10">
        <f t="shared" si="25"/>
        <v>-190.99426182985098</v>
      </c>
    </row>
    <row r="801" spans="1:12" x14ac:dyDescent="0.25">
      <c r="A801" s="2">
        <v>2</v>
      </c>
      <c r="B801" s="4">
        <v>33</v>
      </c>
      <c r="C801" s="4">
        <v>21.3</v>
      </c>
      <c r="D801" s="4">
        <v>0</v>
      </c>
      <c r="E801" s="4" t="s">
        <v>11</v>
      </c>
      <c r="F801" s="4" t="s">
        <v>9</v>
      </c>
      <c r="G801" s="4" t="s">
        <v>15</v>
      </c>
      <c r="H801" s="4">
        <v>1711.4185196856738</v>
      </c>
      <c r="I801" s="4">
        <v>2013.4335525713818</v>
      </c>
      <c r="J801" s="2">
        <f>VLOOKUP(A801,Planilha1!A:M,13,0)</f>
        <v>3220.2324129890262</v>
      </c>
      <c r="K801" s="10">
        <f t="shared" si="24"/>
        <v>1508.8138933033524</v>
      </c>
      <c r="L801" s="10">
        <f t="shared" si="25"/>
        <v>302.01503288570802</v>
      </c>
    </row>
    <row r="802" spans="1:12" x14ac:dyDescent="0.25">
      <c r="A802" s="2">
        <v>1</v>
      </c>
      <c r="B802" s="4">
        <v>42</v>
      </c>
      <c r="C802" s="4">
        <v>26.2</v>
      </c>
      <c r="D802" s="4">
        <v>1</v>
      </c>
      <c r="E802" s="4" t="s">
        <v>8</v>
      </c>
      <c r="F802" s="4" t="s">
        <v>12</v>
      </c>
      <c r="G802" s="4" t="s">
        <v>13</v>
      </c>
      <c r="H802" s="4">
        <v>1977.5373912611312</v>
      </c>
      <c r="I802" s="4">
        <v>2326.5145779542731</v>
      </c>
      <c r="J802" s="2">
        <f>VLOOKUP(A802,Planilha1!A:M,13,0)</f>
        <v>6326.3485212104815</v>
      </c>
      <c r="K802" s="10">
        <f t="shared" si="24"/>
        <v>4348.8111299493503</v>
      </c>
      <c r="L802" s="10">
        <f t="shared" si="25"/>
        <v>348.9771866931419</v>
      </c>
    </row>
    <row r="803" spans="1:12" x14ac:dyDescent="0.25">
      <c r="A803" s="2">
        <v>1</v>
      </c>
      <c r="B803" s="4">
        <v>64</v>
      </c>
      <c r="C803" s="4">
        <v>36</v>
      </c>
      <c r="D803" s="4">
        <v>0</v>
      </c>
      <c r="E803" s="4" t="s">
        <v>8</v>
      </c>
      <c r="F803" s="4" t="s">
        <v>12</v>
      </c>
      <c r="G803" s="4" t="s">
        <v>13</v>
      </c>
      <c r="H803" s="4">
        <v>4843.3093018663767</v>
      </c>
      <c r="I803" s="4">
        <v>4612.6755255870266</v>
      </c>
      <c r="J803" s="2">
        <f>VLOOKUP(A803,Planilha1!A:M,13,0)</f>
        <v>6326.3485212104815</v>
      </c>
      <c r="K803" s="10">
        <f t="shared" si="24"/>
        <v>1483.0392193441048</v>
      </c>
      <c r="L803" s="10">
        <f t="shared" si="25"/>
        <v>-230.63377627935006</v>
      </c>
    </row>
    <row r="804" spans="1:12" x14ac:dyDescent="0.25">
      <c r="A804" s="2">
        <v>0</v>
      </c>
      <c r="B804" s="4">
        <v>21</v>
      </c>
      <c r="C804" s="4">
        <v>23.4</v>
      </c>
      <c r="D804" s="4">
        <v>1</v>
      </c>
      <c r="E804" s="4" t="s">
        <v>11</v>
      </c>
      <c r="F804" s="4" t="s">
        <v>12</v>
      </c>
      <c r="G804" s="4" t="s">
        <v>10</v>
      </c>
      <c r="H804" s="4">
        <v>1413.541126863593</v>
      </c>
      <c r="I804" s="4">
        <v>1662.9895610159924</v>
      </c>
      <c r="J804" s="2">
        <f>VLOOKUP(A804,Planilha1!A:M,13,0)</f>
        <v>2511.8220480829059</v>
      </c>
      <c r="K804" s="10">
        <f t="shared" si="24"/>
        <v>1098.2809212193129</v>
      </c>
      <c r="L804" s="10">
        <f t="shared" si="25"/>
        <v>249.44843415239939</v>
      </c>
    </row>
    <row r="805" spans="1:12" x14ac:dyDescent="0.25">
      <c r="A805" s="2">
        <v>2</v>
      </c>
      <c r="B805" s="4">
        <v>18</v>
      </c>
      <c r="C805" s="4">
        <v>24.5</v>
      </c>
      <c r="D805" s="4">
        <v>0</v>
      </c>
      <c r="E805" s="4" t="s">
        <v>8</v>
      </c>
      <c r="F805" s="4" t="s">
        <v>9</v>
      </c>
      <c r="G805" s="4" t="s">
        <v>13</v>
      </c>
      <c r="H805" s="4">
        <v>1294.1261489187441</v>
      </c>
      <c r="I805" s="4">
        <v>1522.5013516691115</v>
      </c>
      <c r="J805" s="2">
        <f>VLOOKUP(A805,Planilha1!A:M,13,0)</f>
        <v>3220.2324129890262</v>
      </c>
      <c r="K805" s="10">
        <f t="shared" si="24"/>
        <v>1926.1062640702821</v>
      </c>
      <c r="L805" s="10">
        <f t="shared" si="25"/>
        <v>228.37520275036741</v>
      </c>
    </row>
    <row r="806" spans="1:12" x14ac:dyDescent="0.25">
      <c r="A806" s="2">
        <v>0</v>
      </c>
      <c r="B806" s="4">
        <v>23</v>
      </c>
      <c r="C806" s="4">
        <v>25.6</v>
      </c>
      <c r="D806" s="4">
        <v>0</v>
      </c>
      <c r="E806" s="4" t="s">
        <v>11</v>
      </c>
      <c r="F806" s="4" t="s">
        <v>12</v>
      </c>
      <c r="G806" s="4" t="s">
        <v>13</v>
      </c>
      <c r="H806" s="4">
        <v>1758.6114876228007</v>
      </c>
      <c r="I806" s="4">
        <v>2068.9546913209429</v>
      </c>
      <c r="J806" s="2">
        <f>VLOOKUP(A806,Planilha1!A:M,13,0)</f>
        <v>2511.8220480829059</v>
      </c>
      <c r="K806" s="10">
        <f t="shared" si="24"/>
        <v>753.21056046010517</v>
      </c>
      <c r="L806" s="10">
        <f t="shared" si="25"/>
        <v>310.34320369814213</v>
      </c>
    </row>
    <row r="807" spans="1:12" x14ac:dyDescent="0.25">
      <c r="A807" s="2">
        <v>1</v>
      </c>
      <c r="B807" s="4">
        <v>45</v>
      </c>
      <c r="C807" s="4">
        <v>35.799999999999997</v>
      </c>
      <c r="D807" s="4">
        <v>0</v>
      </c>
      <c r="E807" s="4" t="s">
        <v>8</v>
      </c>
      <c r="F807" s="4" t="s">
        <v>12</v>
      </c>
      <c r="G807" s="4" t="s">
        <v>14</v>
      </c>
      <c r="H807" s="4">
        <v>4340.7993073973093</v>
      </c>
      <c r="I807" s="4">
        <v>4134.0945784736296</v>
      </c>
      <c r="J807" s="2">
        <f>VLOOKUP(A807,Planilha1!A:M,13,0)</f>
        <v>6326.3485212104815</v>
      </c>
      <c r="K807" s="10">
        <f t="shared" si="24"/>
        <v>1985.5492138131722</v>
      </c>
      <c r="L807" s="10">
        <f t="shared" si="25"/>
        <v>-206.7047289236798</v>
      </c>
    </row>
    <row r="808" spans="1:12" x14ac:dyDescent="0.25">
      <c r="A808" s="2">
        <v>1</v>
      </c>
      <c r="B808" s="4">
        <v>40</v>
      </c>
      <c r="C808" s="4">
        <v>41.4</v>
      </c>
      <c r="D808" s="4">
        <v>1</v>
      </c>
      <c r="E808" s="4" t="s">
        <v>8</v>
      </c>
      <c r="F808" s="4" t="s">
        <v>12</v>
      </c>
      <c r="G808" s="4" t="s">
        <v>14</v>
      </c>
      <c r="H808" s="4">
        <v>5278.074346342697</v>
      </c>
      <c r="I808" s="4">
        <v>5026.737472707332</v>
      </c>
      <c r="J808" s="2">
        <f>VLOOKUP(A808,Planilha1!A:M,13,0)</f>
        <v>6326.3485212104815</v>
      </c>
      <c r="K808" s="10">
        <f t="shared" si="24"/>
        <v>1048.2741748677845</v>
      </c>
      <c r="L808" s="10">
        <f t="shared" si="25"/>
        <v>-251.33687363536501</v>
      </c>
    </row>
    <row r="809" spans="1:12" x14ac:dyDescent="0.25">
      <c r="A809" s="2">
        <v>0</v>
      </c>
      <c r="B809" s="4">
        <v>19</v>
      </c>
      <c r="C809" s="4">
        <v>24.5</v>
      </c>
      <c r="D809" s="4">
        <v>0</v>
      </c>
      <c r="E809" s="4" t="s">
        <v>8</v>
      </c>
      <c r="F809" s="4" t="s">
        <v>12</v>
      </c>
      <c r="G809" s="4" t="s">
        <v>14</v>
      </c>
      <c r="H809" s="4">
        <v>1246.494800114094</v>
      </c>
      <c r="I809" s="4">
        <v>1466.4644707224643</v>
      </c>
      <c r="J809" s="2">
        <f>VLOOKUP(A809,Planilha1!A:M,13,0)</f>
        <v>2511.8220480829059</v>
      </c>
      <c r="K809" s="10">
        <f t="shared" si="24"/>
        <v>1265.3272479688119</v>
      </c>
      <c r="L809" s="10">
        <f t="shared" si="25"/>
        <v>219.96967060837028</v>
      </c>
    </row>
    <row r="810" spans="1:12" x14ac:dyDescent="0.25">
      <c r="A810" s="2">
        <v>0</v>
      </c>
      <c r="B810" s="4">
        <v>18</v>
      </c>
      <c r="C810" s="4">
        <v>21.8</v>
      </c>
      <c r="D810" s="4">
        <v>0</v>
      </c>
      <c r="E810" s="4" t="s">
        <v>11</v>
      </c>
      <c r="F810" s="4" t="s">
        <v>12</v>
      </c>
      <c r="G810" s="4" t="s">
        <v>13</v>
      </c>
      <c r="H810" s="4">
        <v>2069.0391995291684</v>
      </c>
      <c r="I810" s="4">
        <v>2434.1637641519637</v>
      </c>
      <c r="J810" s="2">
        <f>VLOOKUP(A810,Planilha1!A:M,13,0)</f>
        <v>2511.8220480829059</v>
      </c>
      <c r="K810" s="10">
        <f t="shared" si="24"/>
        <v>442.78284855373749</v>
      </c>
      <c r="L810" s="10">
        <f t="shared" si="25"/>
        <v>365.12456462279533</v>
      </c>
    </row>
    <row r="811" spans="1:12" x14ac:dyDescent="0.25">
      <c r="A811" s="2">
        <v>0</v>
      </c>
      <c r="B811" s="4">
        <v>25</v>
      </c>
      <c r="C811" s="4">
        <v>21.2</v>
      </c>
      <c r="D811" s="4">
        <v>1</v>
      </c>
      <c r="E811" s="4" t="s">
        <v>11</v>
      </c>
      <c r="F811" s="4" t="s">
        <v>12</v>
      </c>
      <c r="G811" s="4" t="s">
        <v>15</v>
      </c>
      <c r="H811" s="4">
        <v>2621.0680850860972</v>
      </c>
      <c r="I811" s="4">
        <v>3083.6095118659978</v>
      </c>
      <c r="J811" s="2">
        <f>VLOOKUP(A811,Planilha1!A:M,13,0)</f>
        <v>2511.8220480829059</v>
      </c>
      <c r="K811" s="10">
        <f t="shared" si="24"/>
        <v>-109.2460370031913</v>
      </c>
      <c r="L811" s="10">
        <f t="shared" si="25"/>
        <v>462.54142677990058</v>
      </c>
    </row>
    <row r="812" spans="1:12" x14ac:dyDescent="0.25">
      <c r="A812" s="2">
        <v>3</v>
      </c>
      <c r="B812" s="4">
        <v>46</v>
      </c>
      <c r="C812" s="4">
        <v>30.8</v>
      </c>
      <c r="D812" s="4">
        <v>3</v>
      </c>
      <c r="E812" s="4" t="s">
        <v>8</v>
      </c>
      <c r="F812" s="4" t="s">
        <v>12</v>
      </c>
      <c r="G812" s="4" t="s">
        <v>10</v>
      </c>
      <c r="H812" s="4">
        <v>2368.7236299329888</v>
      </c>
      <c r="I812" s="4">
        <v>3158.2981732439853</v>
      </c>
      <c r="J812" s="2">
        <f>VLOOKUP(A812,Planilha1!A:M,13,0)</f>
        <v>3049.3550806113421</v>
      </c>
      <c r="K812" s="10">
        <f t="shared" si="24"/>
        <v>680.6314506783533</v>
      </c>
      <c r="L812" s="10">
        <f t="shared" si="25"/>
        <v>789.57454331099643</v>
      </c>
    </row>
    <row r="813" spans="1:12" x14ac:dyDescent="0.25">
      <c r="A813" s="2">
        <v>3</v>
      </c>
      <c r="B813" s="4">
        <v>33</v>
      </c>
      <c r="C813" s="4">
        <v>42.9</v>
      </c>
      <c r="D813" s="4">
        <v>3</v>
      </c>
      <c r="E813" s="4" t="s">
        <v>8</v>
      </c>
      <c r="F813" s="4" t="s">
        <v>12</v>
      </c>
      <c r="G813" s="4" t="s">
        <v>14</v>
      </c>
      <c r="H813" s="4">
        <v>2291.7366227995203</v>
      </c>
      <c r="I813" s="4">
        <v>3055.6488303993606</v>
      </c>
      <c r="J813" s="2">
        <f>VLOOKUP(A813,Planilha1!A:M,13,0)</f>
        <v>3049.3550806113421</v>
      </c>
      <c r="K813" s="10">
        <f t="shared" si="24"/>
        <v>757.61845781182183</v>
      </c>
      <c r="L813" s="10">
        <f t="shared" si="25"/>
        <v>763.91220759984026</v>
      </c>
    </row>
    <row r="814" spans="1:12" x14ac:dyDescent="0.25">
      <c r="A814" s="2">
        <v>3</v>
      </c>
      <c r="B814" s="4">
        <v>54</v>
      </c>
      <c r="C814" s="4">
        <v>21</v>
      </c>
      <c r="D814" s="4">
        <v>2</v>
      </c>
      <c r="E814" s="4" t="s">
        <v>11</v>
      </c>
      <c r="F814" s="4" t="s">
        <v>12</v>
      </c>
      <c r="G814" s="4" t="s">
        <v>13</v>
      </c>
      <c r="H814" s="4">
        <v>2047.4008059080829</v>
      </c>
      <c r="I814" s="4">
        <v>2729.8677412107772</v>
      </c>
      <c r="J814" s="2">
        <f>VLOOKUP(A814,Planilha1!A:M,13,0)</f>
        <v>3049.3550806113421</v>
      </c>
      <c r="K814" s="10">
        <f t="shared" si="24"/>
        <v>1001.9542747032592</v>
      </c>
      <c r="L814" s="10">
        <f t="shared" si="25"/>
        <v>682.46693530269431</v>
      </c>
    </row>
    <row r="815" spans="1:12" x14ac:dyDescent="0.25">
      <c r="A815" s="2">
        <v>0</v>
      </c>
      <c r="B815" s="4">
        <v>28</v>
      </c>
      <c r="C815" s="4">
        <v>23.1</v>
      </c>
      <c r="D815" s="4">
        <v>2</v>
      </c>
      <c r="E815" s="4" t="s">
        <v>11</v>
      </c>
      <c r="F815" s="4" t="s">
        <v>12</v>
      </c>
      <c r="G815" s="4" t="s">
        <v>15</v>
      </c>
      <c r="H815" s="4">
        <v>1678.4202517246583</v>
      </c>
      <c r="I815" s="4">
        <v>1974.6120608525398</v>
      </c>
      <c r="J815" s="2">
        <f>VLOOKUP(A815,Planilha1!A:M,13,0)</f>
        <v>2511.8220480829059</v>
      </c>
      <c r="K815" s="10">
        <f t="shared" si="24"/>
        <v>833.40179635824757</v>
      </c>
      <c r="L815" s="10">
        <f t="shared" si="25"/>
        <v>296.19180912788147</v>
      </c>
    </row>
    <row r="816" spans="1:12" x14ac:dyDescent="0.25">
      <c r="A816" s="2">
        <v>3</v>
      </c>
      <c r="B816" s="4">
        <v>36</v>
      </c>
      <c r="C816" s="4">
        <v>34.4</v>
      </c>
      <c r="D816" s="4">
        <v>2</v>
      </c>
      <c r="E816" s="4" t="s">
        <v>11</v>
      </c>
      <c r="F816" s="4" t="s">
        <v>12</v>
      </c>
      <c r="G816" s="4" t="s">
        <v>13</v>
      </c>
      <c r="H816" s="4">
        <v>1870.1007234831231</v>
      </c>
      <c r="I816" s="4">
        <v>2493.4676313108307</v>
      </c>
      <c r="J816" s="2">
        <f>VLOOKUP(A816,Planilha1!A:M,13,0)</f>
        <v>3049.3550806113421</v>
      </c>
      <c r="K816" s="10">
        <f t="shared" si="24"/>
        <v>1179.254357128219</v>
      </c>
      <c r="L816" s="10">
        <f t="shared" si="25"/>
        <v>623.36690782770756</v>
      </c>
    </row>
    <row r="817" spans="1:12" x14ac:dyDescent="0.25">
      <c r="A817" s="2">
        <v>0</v>
      </c>
      <c r="B817" s="4">
        <v>20</v>
      </c>
      <c r="C817" s="4">
        <v>21.9</v>
      </c>
      <c r="D817" s="4">
        <v>0</v>
      </c>
      <c r="E817" s="4" t="s">
        <v>8</v>
      </c>
      <c r="F817" s="4" t="s">
        <v>12</v>
      </c>
      <c r="G817" s="4" t="s">
        <v>13</v>
      </c>
      <c r="H817" s="4">
        <v>2194.4546407386038</v>
      </c>
      <c r="I817" s="4">
        <v>2581.711342045417</v>
      </c>
      <c r="J817" s="2">
        <f>VLOOKUP(A817,Planilha1!A:M,13,0)</f>
        <v>2511.8220480829059</v>
      </c>
      <c r="K817" s="10">
        <f t="shared" si="24"/>
        <v>317.36740734430214</v>
      </c>
      <c r="L817" s="10">
        <f t="shared" si="25"/>
        <v>387.25670130681328</v>
      </c>
    </row>
    <row r="818" spans="1:12" x14ac:dyDescent="0.25">
      <c r="A818" s="2">
        <v>0</v>
      </c>
      <c r="B818" s="4">
        <v>24</v>
      </c>
      <c r="C818" s="4">
        <v>20.6</v>
      </c>
      <c r="D818" s="4">
        <v>0</v>
      </c>
      <c r="E818" s="4" t="s">
        <v>8</v>
      </c>
      <c r="F818" s="4" t="s">
        <v>12</v>
      </c>
      <c r="G818" s="4" t="s">
        <v>14</v>
      </c>
      <c r="H818" s="4">
        <v>1986.8006552361007</v>
      </c>
      <c r="I818" s="4">
        <v>2337.4125355718843</v>
      </c>
      <c r="J818" s="2">
        <f>VLOOKUP(A818,Planilha1!A:M,13,0)</f>
        <v>2511.8220480829059</v>
      </c>
      <c r="K818" s="10">
        <f t="shared" si="24"/>
        <v>525.02139284680516</v>
      </c>
      <c r="L818" s="10">
        <f t="shared" si="25"/>
        <v>350.61188033578355</v>
      </c>
    </row>
    <row r="819" spans="1:12" x14ac:dyDescent="0.25">
      <c r="A819" s="2">
        <v>3</v>
      </c>
      <c r="B819" s="4">
        <v>23</v>
      </c>
      <c r="C819" s="4">
        <v>37.1</v>
      </c>
      <c r="D819" s="4">
        <v>3</v>
      </c>
      <c r="E819" s="4" t="s">
        <v>11</v>
      </c>
      <c r="F819" s="4" t="s">
        <v>12</v>
      </c>
      <c r="G819" s="4" t="s">
        <v>10</v>
      </c>
      <c r="H819" s="4">
        <v>2096.6121236747881</v>
      </c>
      <c r="I819" s="4">
        <v>2795.482831566384</v>
      </c>
      <c r="J819" s="2">
        <f>VLOOKUP(A819,Planilha1!A:M,13,0)</f>
        <v>3049.3550806113421</v>
      </c>
      <c r="K819" s="10">
        <f t="shared" si="24"/>
        <v>952.74295693655404</v>
      </c>
      <c r="L819" s="10">
        <f t="shared" si="25"/>
        <v>698.87070789159588</v>
      </c>
    </row>
    <row r="820" spans="1:12" x14ac:dyDescent="0.25">
      <c r="A820" s="2">
        <v>2</v>
      </c>
      <c r="B820" s="4">
        <v>47</v>
      </c>
      <c r="C820" s="4">
        <v>26.1</v>
      </c>
      <c r="D820" s="4">
        <v>1</v>
      </c>
      <c r="E820" s="4" t="s">
        <v>8</v>
      </c>
      <c r="F820" s="4" t="s">
        <v>9</v>
      </c>
      <c r="G820" s="4" t="s">
        <v>15</v>
      </c>
      <c r="H820" s="4">
        <v>3916.536489932088</v>
      </c>
      <c r="I820" s="4">
        <v>3730.0347523162759</v>
      </c>
      <c r="J820" s="2">
        <f>VLOOKUP(A820,Planilha1!A:M,13,0)</f>
        <v>3220.2324129890262</v>
      </c>
      <c r="K820" s="10">
        <f t="shared" si="24"/>
        <v>-696.30407694306177</v>
      </c>
      <c r="L820" s="10">
        <f t="shared" si="25"/>
        <v>-186.50173761581209</v>
      </c>
    </row>
    <row r="821" spans="1:12" x14ac:dyDescent="0.25">
      <c r="A821" s="2">
        <v>2</v>
      </c>
      <c r="B821" s="4">
        <v>33</v>
      </c>
      <c r="C821" s="4">
        <v>23.7</v>
      </c>
      <c r="D821" s="4">
        <v>0</v>
      </c>
      <c r="E821" s="4" t="s">
        <v>8</v>
      </c>
      <c r="F821" s="4" t="s">
        <v>9</v>
      </c>
      <c r="G821" s="4" t="s">
        <v>14</v>
      </c>
      <c r="H821" s="4">
        <v>1590.5343834914638</v>
      </c>
      <c r="I821" s="4">
        <v>1871.2169217546643</v>
      </c>
      <c r="J821" s="2">
        <f>VLOOKUP(A821,Planilha1!A:M,13,0)</f>
        <v>3220.2324129890262</v>
      </c>
      <c r="K821" s="10">
        <f t="shared" si="24"/>
        <v>1629.6980294975624</v>
      </c>
      <c r="L821" s="10">
        <f t="shared" si="25"/>
        <v>280.68253826320051</v>
      </c>
    </row>
    <row r="822" spans="1:12" x14ac:dyDescent="0.25">
      <c r="A822" s="2">
        <v>1</v>
      </c>
      <c r="B822" s="4">
        <v>45</v>
      </c>
      <c r="C822" s="4">
        <v>33.700000000000003</v>
      </c>
      <c r="D822" s="4">
        <v>1</v>
      </c>
      <c r="E822" s="4" t="s">
        <v>11</v>
      </c>
      <c r="F822" s="4" t="s">
        <v>12</v>
      </c>
      <c r="G822" s="4" t="s">
        <v>10</v>
      </c>
      <c r="H822" s="4">
        <v>3696.6833524110552</v>
      </c>
      <c r="I822" s="4">
        <v>3520.6508118200541</v>
      </c>
      <c r="J822" s="2">
        <f>VLOOKUP(A822,Planilha1!A:M,13,0)</f>
        <v>6326.3485212104815</v>
      </c>
      <c r="K822" s="10">
        <f t="shared" si="24"/>
        <v>2629.6651687994263</v>
      </c>
      <c r="L822" s="10">
        <f t="shared" si="25"/>
        <v>-176.03254059100118</v>
      </c>
    </row>
    <row r="823" spans="1:12" x14ac:dyDescent="0.25">
      <c r="A823" s="2">
        <v>0</v>
      </c>
      <c r="B823" s="4">
        <v>26</v>
      </c>
      <c r="C823" s="4">
        <v>25.4</v>
      </c>
      <c r="D823" s="4">
        <v>0</v>
      </c>
      <c r="E823" s="4" t="s">
        <v>11</v>
      </c>
      <c r="F823" s="4" t="s">
        <v>12</v>
      </c>
      <c r="G823" s="4" t="s">
        <v>14</v>
      </c>
      <c r="H823" s="4">
        <v>2057.4544826276929</v>
      </c>
      <c r="I823" s="4">
        <v>2420.5346854443455</v>
      </c>
      <c r="J823" s="2">
        <f>VLOOKUP(A823,Planilha1!A:M,13,0)</f>
        <v>2511.8220480829059</v>
      </c>
      <c r="K823" s="10">
        <f t="shared" si="24"/>
        <v>454.36756545521303</v>
      </c>
      <c r="L823" s="10">
        <f t="shared" si="25"/>
        <v>363.08020281665267</v>
      </c>
    </row>
    <row r="824" spans="1:12" x14ac:dyDescent="0.25">
      <c r="A824" s="2">
        <v>0</v>
      </c>
      <c r="B824" s="4">
        <v>18</v>
      </c>
      <c r="C824" s="4">
        <v>25.2</v>
      </c>
      <c r="D824" s="4">
        <v>0</v>
      </c>
      <c r="E824" s="4" t="s">
        <v>8</v>
      </c>
      <c r="F824" s="4" t="s">
        <v>12</v>
      </c>
      <c r="G824" s="4" t="s">
        <v>13</v>
      </c>
      <c r="H824" s="4">
        <v>1681.7821832741047</v>
      </c>
      <c r="I824" s="4">
        <v>1978.5672744401238</v>
      </c>
      <c r="J824" s="2">
        <f>VLOOKUP(A824,Planilha1!A:M,13,0)</f>
        <v>2511.8220480829059</v>
      </c>
      <c r="K824" s="10">
        <f t="shared" si="24"/>
        <v>830.03986480880121</v>
      </c>
      <c r="L824" s="10">
        <f t="shared" si="25"/>
        <v>296.78509116601913</v>
      </c>
    </row>
    <row r="825" spans="1:12" x14ac:dyDescent="0.25">
      <c r="A825" s="2">
        <v>3</v>
      </c>
      <c r="B825" s="4">
        <v>44</v>
      </c>
      <c r="C825" s="4">
        <v>29.8</v>
      </c>
      <c r="D825" s="4">
        <v>2</v>
      </c>
      <c r="E825" s="4" t="s">
        <v>8</v>
      </c>
      <c r="F825" s="4" t="s">
        <v>12</v>
      </c>
      <c r="G825" s="4" t="s">
        <v>13</v>
      </c>
      <c r="H825" s="4">
        <v>1646.806905566104</v>
      </c>
      <c r="I825" s="4">
        <v>2195.7425407548053</v>
      </c>
      <c r="J825" s="2">
        <f>VLOOKUP(A825,Planilha1!A:M,13,0)</f>
        <v>3049.3550806113421</v>
      </c>
      <c r="K825" s="10">
        <f t="shared" si="24"/>
        <v>1402.5481750452382</v>
      </c>
      <c r="L825" s="10">
        <f t="shared" si="25"/>
        <v>548.93563518870133</v>
      </c>
    </row>
    <row r="826" spans="1:12" x14ac:dyDescent="0.25">
      <c r="A826" s="2">
        <v>1</v>
      </c>
      <c r="B826" s="4">
        <v>60</v>
      </c>
      <c r="C826" s="4">
        <v>24.3</v>
      </c>
      <c r="D826" s="4">
        <v>0</v>
      </c>
      <c r="E826" s="4" t="s">
        <v>11</v>
      </c>
      <c r="F826" s="4" t="s">
        <v>12</v>
      </c>
      <c r="G826" s="4" t="s">
        <v>14</v>
      </c>
      <c r="H826" s="4">
        <v>3920.3701513399542</v>
      </c>
      <c r="I826" s="4">
        <v>3733.6858584190049</v>
      </c>
      <c r="J826" s="2">
        <f>VLOOKUP(A826,Planilha1!A:M,13,0)</f>
        <v>6326.3485212104815</v>
      </c>
      <c r="K826" s="10">
        <f t="shared" si="24"/>
        <v>2405.9783698705273</v>
      </c>
      <c r="L826" s="10">
        <f t="shared" si="25"/>
        <v>-186.68429292094925</v>
      </c>
    </row>
    <row r="827" spans="1:12" x14ac:dyDescent="0.25">
      <c r="A827" s="2">
        <v>1</v>
      </c>
      <c r="B827" s="4">
        <v>64</v>
      </c>
      <c r="C827" s="4">
        <v>31.8</v>
      </c>
      <c r="D827" s="4">
        <v>2</v>
      </c>
      <c r="E827" s="4" t="s">
        <v>8</v>
      </c>
      <c r="F827" s="4" t="s">
        <v>12</v>
      </c>
      <c r="G827" s="4" t="s">
        <v>15</v>
      </c>
      <c r="H827" s="4">
        <v>4034.6292686084598</v>
      </c>
      <c r="I827" s="4">
        <v>3842.5040653413917</v>
      </c>
      <c r="J827" s="2">
        <f>VLOOKUP(A827,Planilha1!A:M,13,0)</f>
        <v>6326.3485212104815</v>
      </c>
      <c r="K827" s="10">
        <f t="shared" si="24"/>
        <v>2291.7192526020217</v>
      </c>
      <c r="L827" s="10">
        <f t="shared" si="25"/>
        <v>-192.12520326706817</v>
      </c>
    </row>
    <row r="828" spans="1:12" x14ac:dyDescent="0.25">
      <c r="A828" s="2">
        <v>2</v>
      </c>
      <c r="B828" s="4">
        <v>56</v>
      </c>
      <c r="C828" s="4">
        <v>31.8</v>
      </c>
      <c r="D828" s="4">
        <v>2</v>
      </c>
      <c r="E828" s="4" t="s">
        <v>11</v>
      </c>
      <c r="F828" s="4" t="s">
        <v>9</v>
      </c>
      <c r="G828" s="4" t="s">
        <v>13</v>
      </c>
      <c r="H828" s="4">
        <v>1575.9378594340019</v>
      </c>
      <c r="I828" s="4">
        <v>2101.250479245336</v>
      </c>
      <c r="J828" s="2">
        <f>VLOOKUP(A828,Planilha1!A:M,13,0)</f>
        <v>3220.2324129890262</v>
      </c>
      <c r="K828" s="10">
        <f t="shared" si="24"/>
        <v>1644.2945535550243</v>
      </c>
      <c r="L828" s="10">
        <f t="shared" si="25"/>
        <v>525.31261981133412</v>
      </c>
    </row>
    <row r="829" spans="1:12" x14ac:dyDescent="0.25">
      <c r="A829" s="2">
        <v>2</v>
      </c>
      <c r="B829" s="4">
        <v>36</v>
      </c>
      <c r="C829" s="4">
        <v>22.6</v>
      </c>
      <c r="D829" s="4">
        <v>1</v>
      </c>
      <c r="E829" s="4" t="s">
        <v>11</v>
      </c>
      <c r="F829" s="4" t="s">
        <v>9</v>
      </c>
      <c r="G829" s="4" t="s">
        <v>15</v>
      </c>
      <c r="H829" s="4">
        <v>1631.0800637001457</v>
      </c>
      <c r="I829" s="4">
        <v>1918.917722000172</v>
      </c>
      <c r="J829" s="2">
        <f>VLOOKUP(A829,Planilha1!A:M,13,0)</f>
        <v>3220.2324129890262</v>
      </c>
      <c r="K829" s="10">
        <f t="shared" si="24"/>
        <v>1589.1523492888805</v>
      </c>
      <c r="L829" s="10">
        <f t="shared" si="25"/>
        <v>287.83765830002631</v>
      </c>
    </row>
    <row r="830" spans="1:12" x14ac:dyDescent="0.25">
      <c r="A830" s="2">
        <v>2</v>
      </c>
      <c r="B830" s="4">
        <v>41</v>
      </c>
      <c r="C830" s="4">
        <v>30.8</v>
      </c>
      <c r="D830" s="4">
        <v>3</v>
      </c>
      <c r="E830" s="4" t="s">
        <v>11</v>
      </c>
      <c r="F830" s="4" t="s">
        <v>9</v>
      </c>
      <c r="G830" s="4" t="s">
        <v>15</v>
      </c>
      <c r="H830" s="4">
        <v>2273.0450592095217</v>
      </c>
      <c r="I830" s="4">
        <v>3030.7267456126956</v>
      </c>
      <c r="J830" s="2">
        <f>VLOOKUP(A830,Planilha1!A:M,13,0)</f>
        <v>3220.2324129890262</v>
      </c>
      <c r="K830" s="10">
        <f t="shared" si="24"/>
        <v>947.18735377950452</v>
      </c>
      <c r="L830" s="10">
        <f t="shared" si="25"/>
        <v>757.6816864031739</v>
      </c>
    </row>
    <row r="831" spans="1:12" x14ac:dyDescent="0.25">
      <c r="A831" s="2">
        <v>0</v>
      </c>
      <c r="B831" s="4">
        <v>39</v>
      </c>
      <c r="C831" s="4">
        <v>22.5</v>
      </c>
      <c r="D831" s="4">
        <v>1</v>
      </c>
      <c r="E831" s="4" t="s">
        <v>11</v>
      </c>
      <c r="F831" s="4" t="s">
        <v>12</v>
      </c>
      <c r="G831" s="4" t="s">
        <v>14</v>
      </c>
      <c r="H831" s="4">
        <v>1604.2335129957773</v>
      </c>
      <c r="I831" s="4">
        <v>1887.3335447009151</v>
      </c>
      <c r="J831" s="2">
        <f>VLOOKUP(A831,Planilha1!A:M,13,0)</f>
        <v>2511.8220480829059</v>
      </c>
      <c r="K831" s="10">
        <f t="shared" si="24"/>
        <v>907.58853508712855</v>
      </c>
      <c r="L831" s="10">
        <f t="shared" si="25"/>
        <v>283.10003170513778</v>
      </c>
    </row>
    <row r="832" spans="1:12" x14ac:dyDescent="0.25">
      <c r="A832" s="2">
        <v>1</v>
      </c>
      <c r="B832" s="4">
        <v>63</v>
      </c>
      <c r="C832" s="4">
        <v>33.1</v>
      </c>
      <c r="D832" s="4">
        <v>0</v>
      </c>
      <c r="E832" s="4" t="s">
        <v>11</v>
      </c>
      <c r="F832" s="4" t="s">
        <v>12</v>
      </c>
      <c r="G832" s="4" t="s">
        <v>10</v>
      </c>
      <c r="H832" s="4">
        <v>4379.9955779969878</v>
      </c>
      <c r="I832" s="4">
        <v>4171.4243599971323</v>
      </c>
      <c r="J832" s="2">
        <f>VLOOKUP(A832,Planilha1!A:M,13,0)</f>
        <v>6326.3485212104815</v>
      </c>
      <c r="K832" s="10">
        <f t="shared" si="24"/>
        <v>1946.3529432134937</v>
      </c>
      <c r="L832" s="10">
        <f t="shared" si="25"/>
        <v>-208.57121799985543</v>
      </c>
    </row>
    <row r="833" spans="1:12" x14ac:dyDescent="0.25">
      <c r="A833" s="2">
        <v>0</v>
      </c>
      <c r="B833" s="4">
        <v>36</v>
      </c>
      <c r="C833" s="4">
        <v>23.8</v>
      </c>
      <c r="D833" s="4">
        <v>0</v>
      </c>
      <c r="E833" s="4" t="s">
        <v>8</v>
      </c>
      <c r="F833" s="4" t="s">
        <v>12</v>
      </c>
      <c r="G833" s="4" t="s">
        <v>14</v>
      </c>
      <c r="H833" s="4">
        <v>2062.3277691084968</v>
      </c>
      <c r="I833" s="4">
        <v>2426.267963657056</v>
      </c>
      <c r="J833" s="2">
        <f>VLOOKUP(A833,Planilha1!A:M,13,0)</f>
        <v>2511.8220480829059</v>
      </c>
      <c r="K833" s="10">
        <f t="shared" si="24"/>
        <v>449.4942789744091</v>
      </c>
      <c r="L833" s="10">
        <f t="shared" si="25"/>
        <v>363.94019454855925</v>
      </c>
    </row>
    <row r="834" spans="1:12" x14ac:dyDescent="0.25">
      <c r="A834" s="2">
        <v>0</v>
      </c>
      <c r="B834" s="4">
        <v>28</v>
      </c>
      <c r="C834" s="4">
        <v>23.8</v>
      </c>
      <c r="D834" s="4">
        <v>2</v>
      </c>
      <c r="E834" s="4" t="s">
        <v>8</v>
      </c>
      <c r="F834" s="4" t="s">
        <v>12</v>
      </c>
      <c r="G834" s="4" t="s">
        <v>14</v>
      </c>
      <c r="H834" s="4">
        <v>2042.1523197155825</v>
      </c>
      <c r="I834" s="4">
        <v>2402.5321408418627</v>
      </c>
      <c r="J834" s="2">
        <f>VLOOKUP(A834,Planilha1!A:M,13,0)</f>
        <v>2511.8220480829059</v>
      </c>
      <c r="K834" s="10">
        <f t="shared" si="24"/>
        <v>469.66972836732339</v>
      </c>
      <c r="L834" s="10">
        <f t="shared" si="25"/>
        <v>360.37982112628015</v>
      </c>
    </row>
    <row r="835" spans="1:12" x14ac:dyDescent="0.25">
      <c r="A835" s="2">
        <v>1</v>
      </c>
      <c r="B835" s="4">
        <v>58</v>
      </c>
      <c r="C835" s="4">
        <v>34.4</v>
      </c>
      <c r="D835" s="4">
        <v>0</v>
      </c>
      <c r="E835" s="4" t="s">
        <v>11</v>
      </c>
      <c r="F835" s="4" t="s">
        <v>12</v>
      </c>
      <c r="G835" s="4" t="s">
        <v>14</v>
      </c>
      <c r="H835" s="4">
        <v>5418.5174088057684</v>
      </c>
      <c r="I835" s="4">
        <v>5160.4927702912091</v>
      </c>
      <c r="J835" s="2">
        <f>VLOOKUP(A835,Planilha1!A:M,13,0)</f>
        <v>6326.3485212104815</v>
      </c>
      <c r="K835" s="10">
        <f t="shared" ref="K835:K898" si="26">J835-H835</f>
        <v>907.83111240471317</v>
      </c>
      <c r="L835" s="10">
        <f t="shared" ref="L835:L898" si="27">I835-H835</f>
        <v>-258.02463851455923</v>
      </c>
    </row>
    <row r="836" spans="1:12" x14ac:dyDescent="0.25">
      <c r="A836" s="2">
        <v>0</v>
      </c>
      <c r="B836" s="4">
        <v>36</v>
      </c>
      <c r="C836" s="4">
        <v>20.6</v>
      </c>
      <c r="D836" s="4">
        <v>1</v>
      </c>
      <c r="E836" s="4" t="s">
        <v>11</v>
      </c>
      <c r="F836" s="4" t="s">
        <v>12</v>
      </c>
      <c r="G836" s="4" t="s">
        <v>14</v>
      </c>
      <c r="H836" s="4">
        <v>2187.8637019245534</v>
      </c>
      <c r="I836" s="4">
        <v>2573.9572963818282</v>
      </c>
      <c r="J836" s="2">
        <f>VLOOKUP(A836,Planilha1!A:M,13,0)</f>
        <v>2511.8220480829059</v>
      </c>
      <c r="K836" s="10">
        <f t="shared" si="26"/>
        <v>323.95834615835247</v>
      </c>
      <c r="L836" s="10">
        <f t="shared" si="27"/>
        <v>386.09359445727478</v>
      </c>
    </row>
    <row r="837" spans="1:12" x14ac:dyDescent="0.25">
      <c r="A837" s="2">
        <v>3</v>
      </c>
      <c r="B837" s="4">
        <v>42</v>
      </c>
      <c r="C837" s="4">
        <v>36</v>
      </c>
      <c r="D837" s="4">
        <v>2</v>
      </c>
      <c r="E837" s="4" t="s">
        <v>11</v>
      </c>
      <c r="F837" s="4" t="s">
        <v>12</v>
      </c>
      <c r="G837" s="4" t="s">
        <v>13</v>
      </c>
      <c r="H837" s="4">
        <v>2013.858034757634</v>
      </c>
      <c r="I837" s="4">
        <v>2685.1440463435119</v>
      </c>
      <c r="J837" s="2">
        <f>VLOOKUP(A837,Planilha1!A:M,13,0)</f>
        <v>3049.3550806113421</v>
      </c>
      <c r="K837" s="10">
        <f t="shared" si="26"/>
        <v>1035.4970458537082</v>
      </c>
      <c r="L837" s="10">
        <f t="shared" si="27"/>
        <v>671.28601158587799</v>
      </c>
    </row>
    <row r="838" spans="1:12" x14ac:dyDescent="0.25">
      <c r="A838" s="2">
        <v>0</v>
      </c>
      <c r="B838" s="4">
        <v>36</v>
      </c>
      <c r="C838" s="4">
        <v>20.7</v>
      </c>
      <c r="D838" s="4">
        <v>0</v>
      </c>
      <c r="E838" s="4" t="s">
        <v>11</v>
      </c>
      <c r="F838" s="4" t="s">
        <v>12</v>
      </c>
      <c r="G838" s="4" t="s">
        <v>10</v>
      </c>
      <c r="H838" s="4">
        <v>1830.9605369283327</v>
      </c>
      <c r="I838" s="4">
        <v>2154.0712199156865</v>
      </c>
      <c r="J838" s="2">
        <f>VLOOKUP(A838,Planilha1!A:M,13,0)</f>
        <v>2511.8220480829059</v>
      </c>
      <c r="K838" s="10">
        <f t="shared" si="26"/>
        <v>680.86151115457324</v>
      </c>
      <c r="L838" s="10">
        <f t="shared" si="27"/>
        <v>323.11068298735381</v>
      </c>
    </row>
    <row r="839" spans="1:12" x14ac:dyDescent="0.25">
      <c r="A839" s="2">
        <v>1</v>
      </c>
      <c r="B839" s="4">
        <v>56</v>
      </c>
      <c r="C839" s="4">
        <v>28.3</v>
      </c>
      <c r="D839" s="4">
        <v>0</v>
      </c>
      <c r="E839" s="4" t="s">
        <v>8</v>
      </c>
      <c r="F839" s="4" t="s">
        <v>12</v>
      </c>
      <c r="G839" s="4" t="s">
        <v>15</v>
      </c>
      <c r="H839" s="4">
        <v>3539.9292980009213</v>
      </c>
      <c r="I839" s="4">
        <v>3371.3612361913556</v>
      </c>
      <c r="J839" s="2">
        <f>VLOOKUP(A839,Planilha1!A:M,13,0)</f>
        <v>6326.3485212104815</v>
      </c>
      <c r="K839" s="10">
        <f t="shared" si="26"/>
        <v>2786.4192232095602</v>
      </c>
      <c r="L839" s="10">
        <f t="shared" si="27"/>
        <v>-168.56806180956573</v>
      </c>
    </row>
    <row r="840" spans="1:12" x14ac:dyDescent="0.25">
      <c r="A840" s="2">
        <v>0</v>
      </c>
      <c r="B840" s="4">
        <v>35</v>
      </c>
      <c r="C840" s="4">
        <v>23.5</v>
      </c>
      <c r="D840" s="4">
        <v>2</v>
      </c>
      <c r="E840" s="4" t="s">
        <v>8</v>
      </c>
      <c r="F840" s="4" t="s">
        <v>12</v>
      </c>
      <c r="G840" s="4" t="s">
        <v>15</v>
      </c>
      <c r="H840" s="4">
        <v>1698.5684468902086</v>
      </c>
      <c r="I840" s="4">
        <v>1998.3158198708345</v>
      </c>
      <c r="J840" s="2">
        <f>VLOOKUP(A840,Planilha1!A:M,13,0)</f>
        <v>2511.8220480829059</v>
      </c>
      <c r="K840" s="10">
        <f t="shared" si="26"/>
        <v>813.25360119269726</v>
      </c>
      <c r="L840" s="10">
        <f t="shared" si="27"/>
        <v>299.74737298062587</v>
      </c>
    </row>
    <row r="841" spans="1:12" x14ac:dyDescent="0.25">
      <c r="A841" s="2">
        <v>1</v>
      </c>
      <c r="B841" s="4">
        <v>59</v>
      </c>
      <c r="C841" s="4">
        <v>31.4</v>
      </c>
      <c r="D841" s="4">
        <v>0</v>
      </c>
      <c r="E841" s="4" t="s">
        <v>8</v>
      </c>
      <c r="F841" s="4" t="s">
        <v>12</v>
      </c>
      <c r="G841" s="4" t="s">
        <v>14</v>
      </c>
      <c r="H841" s="4">
        <v>4036.3519818248192</v>
      </c>
      <c r="I841" s="4">
        <v>3844.1447445950671</v>
      </c>
      <c r="J841" s="2">
        <f>VLOOKUP(A841,Planilha1!A:M,13,0)</f>
        <v>6326.3485212104815</v>
      </c>
      <c r="K841" s="10">
        <f t="shared" si="26"/>
        <v>2289.9965393856623</v>
      </c>
      <c r="L841" s="10">
        <f t="shared" si="27"/>
        <v>-192.20723722975208</v>
      </c>
    </row>
    <row r="842" spans="1:12" x14ac:dyDescent="0.25">
      <c r="A842" s="2">
        <v>0</v>
      </c>
      <c r="B842" s="4">
        <v>21</v>
      </c>
      <c r="C842" s="4">
        <v>23.8</v>
      </c>
      <c r="D842" s="4">
        <v>0</v>
      </c>
      <c r="E842" s="4" t="s">
        <v>11</v>
      </c>
      <c r="F842" s="4" t="s">
        <v>12</v>
      </c>
      <c r="G842" s="4" t="s">
        <v>10</v>
      </c>
      <c r="H842" s="4">
        <v>2038.6328303629705</v>
      </c>
      <c r="I842" s="4">
        <v>2398.3915651329071</v>
      </c>
      <c r="J842" s="2">
        <f>VLOOKUP(A842,Planilha1!A:M,13,0)</f>
        <v>2511.8220480829059</v>
      </c>
      <c r="K842" s="10">
        <f t="shared" si="26"/>
        <v>473.18921771993541</v>
      </c>
      <c r="L842" s="10">
        <f t="shared" si="27"/>
        <v>359.75873476993661</v>
      </c>
    </row>
    <row r="843" spans="1:12" x14ac:dyDescent="0.25">
      <c r="A843" s="2">
        <v>1</v>
      </c>
      <c r="B843" s="4">
        <v>59</v>
      </c>
      <c r="C843" s="4">
        <v>24.7</v>
      </c>
      <c r="D843" s="4">
        <v>0</v>
      </c>
      <c r="E843" s="4" t="s">
        <v>11</v>
      </c>
      <c r="F843" s="4" t="s">
        <v>12</v>
      </c>
      <c r="G843" s="4" t="s">
        <v>15</v>
      </c>
      <c r="H843" s="4">
        <v>4998.1734910599653</v>
      </c>
      <c r="I843" s="4">
        <v>4760.1652295809208</v>
      </c>
      <c r="J843" s="2">
        <f>VLOOKUP(A843,Planilha1!A:M,13,0)</f>
        <v>6326.3485212104815</v>
      </c>
      <c r="K843" s="10">
        <f t="shared" si="26"/>
        <v>1328.1750301505162</v>
      </c>
      <c r="L843" s="10">
        <f t="shared" si="27"/>
        <v>-238.00826147904445</v>
      </c>
    </row>
    <row r="844" spans="1:12" x14ac:dyDescent="0.25">
      <c r="A844" s="2">
        <v>2</v>
      </c>
      <c r="B844" s="4">
        <v>23</v>
      </c>
      <c r="C844" s="4">
        <v>32.799999999999997</v>
      </c>
      <c r="D844" s="4">
        <v>2</v>
      </c>
      <c r="E844" s="4" t="s">
        <v>8</v>
      </c>
      <c r="F844" s="4" t="s">
        <v>9</v>
      </c>
      <c r="G844" s="4" t="s">
        <v>13</v>
      </c>
      <c r="H844" s="4">
        <v>1711.4599844002623</v>
      </c>
      <c r="I844" s="4">
        <v>2281.9466458670163</v>
      </c>
      <c r="J844" s="2">
        <f>VLOOKUP(A844,Planilha1!A:M,13,0)</f>
        <v>3220.2324129890262</v>
      </c>
      <c r="K844" s="10">
        <f t="shared" si="26"/>
        <v>1508.7724285887639</v>
      </c>
      <c r="L844" s="10">
        <f t="shared" si="27"/>
        <v>570.48666146675396</v>
      </c>
    </row>
    <row r="845" spans="1:12" x14ac:dyDescent="0.25">
      <c r="A845" s="2">
        <v>2</v>
      </c>
      <c r="B845" s="4">
        <v>57</v>
      </c>
      <c r="C845" s="4">
        <v>29.8</v>
      </c>
      <c r="D845" s="4">
        <v>0</v>
      </c>
      <c r="E845" s="4" t="s">
        <v>8</v>
      </c>
      <c r="F845" s="4" t="s">
        <v>9</v>
      </c>
      <c r="G845" s="4" t="s">
        <v>13</v>
      </c>
      <c r="H845" s="4">
        <v>4497.7822645139513</v>
      </c>
      <c r="I845" s="4">
        <v>4283.6021566799554</v>
      </c>
      <c r="J845" s="2">
        <f>VLOOKUP(A845,Planilha1!A:M,13,0)</f>
        <v>3220.2324129890262</v>
      </c>
      <c r="K845" s="10">
        <f t="shared" si="26"/>
        <v>-1277.5498515249251</v>
      </c>
      <c r="L845" s="10">
        <f t="shared" si="27"/>
        <v>-214.18010783399586</v>
      </c>
    </row>
    <row r="846" spans="1:12" x14ac:dyDescent="0.25">
      <c r="A846" s="2">
        <v>1</v>
      </c>
      <c r="B846" s="4">
        <v>53</v>
      </c>
      <c r="C846" s="4">
        <v>30.5</v>
      </c>
      <c r="D846" s="4">
        <v>0</v>
      </c>
      <c r="E846" s="4" t="s">
        <v>11</v>
      </c>
      <c r="F846" s="4" t="s">
        <v>12</v>
      </c>
      <c r="G846" s="4" t="s">
        <v>15</v>
      </c>
      <c r="H846" s="4">
        <v>4567.0162453083722</v>
      </c>
      <c r="I846" s="4">
        <v>4349.5392812460695</v>
      </c>
      <c r="J846" s="2">
        <f>VLOOKUP(A846,Planilha1!A:M,13,0)</f>
        <v>6326.3485212104815</v>
      </c>
      <c r="K846" s="10">
        <f t="shared" si="26"/>
        <v>1759.3322759021094</v>
      </c>
      <c r="L846" s="10">
        <f t="shared" si="27"/>
        <v>-217.47696406230261</v>
      </c>
    </row>
    <row r="847" spans="1:12" x14ac:dyDescent="0.25">
      <c r="A847" s="2">
        <v>2</v>
      </c>
      <c r="B847" s="4">
        <v>60</v>
      </c>
      <c r="C847" s="4">
        <v>32.5</v>
      </c>
      <c r="D847" s="4">
        <v>0</v>
      </c>
      <c r="E847" s="4" t="s">
        <v>8</v>
      </c>
      <c r="F847" s="4" t="s">
        <v>9</v>
      </c>
      <c r="G847" s="4" t="s">
        <v>13</v>
      </c>
      <c r="H847" s="4">
        <v>3938.2216220428509</v>
      </c>
      <c r="I847" s="4">
        <v>3750.6872590884309</v>
      </c>
      <c r="J847" s="2">
        <f>VLOOKUP(A847,Planilha1!A:M,13,0)</f>
        <v>3220.2324129890262</v>
      </c>
      <c r="K847" s="10">
        <f t="shared" si="26"/>
        <v>-717.98920905382465</v>
      </c>
      <c r="L847" s="10">
        <f t="shared" si="27"/>
        <v>-187.53436295441998</v>
      </c>
    </row>
    <row r="848" spans="1:12" x14ac:dyDescent="0.25">
      <c r="A848" s="2">
        <v>1</v>
      </c>
      <c r="B848" s="4">
        <v>51</v>
      </c>
      <c r="C848" s="4">
        <v>34.200000000000003</v>
      </c>
      <c r="D848" s="4">
        <v>1</v>
      </c>
      <c r="E848" s="4" t="s">
        <v>8</v>
      </c>
      <c r="F848" s="4" t="s">
        <v>12</v>
      </c>
      <c r="G848" s="4" t="s">
        <v>10</v>
      </c>
      <c r="H848" s="4">
        <v>5811.9153699357894</v>
      </c>
      <c r="I848" s="4">
        <v>5535.1574951769435</v>
      </c>
      <c r="J848" s="2">
        <f>VLOOKUP(A848,Planilha1!A:M,13,0)</f>
        <v>6326.3485212104815</v>
      </c>
      <c r="K848" s="10">
        <f t="shared" si="26"/>
        <v>514.43315127469214</v>
      </c>
      <c r="L848" s="10">
        <f t="shared" si="27"/>
        <v>-276.7578747588459</v>
      </c>
    </row>
    <row r="849" spans="1:12" x14ac:dyDescent="0.25">
      <c r="A849" s="2">
        <v>0</v>
      </c>
      <c r="B849" s="4">
        <v>23</v>
      </c>
      <c r="C849" s="4">
        <v>22.4</v>
      </c>
      <c r="D849" s="4">
        <v>1</v>
      </c>
      <c r="E849" s="4" t="s">
        <v>11</v>
      </c>
      <c r="F849" s="4" t="s">
        <v>12</v>
      </c>
      <c r="G849" s="4" t="s">
        <v>13</v>
      </c>
      <c r="H849" s="4">
        <v>1923.7927542512634</v>
      </c>
      <c r="I849" s="4">
        <v>2263.2855932367811</v>
      </c>
      <c r="J849" s="2">
        <f>VLOOKUP(A849,Planilha1!A:M,13,0)</f>
        <v>2511.8220480829059</v>
      </c>
      <c r="K849" s="10">
        <f t="shared" si="26"/>
        <v>588.02929383164246</v>
      </c>
      <c r="L849" s="10">
        <f t="shared" si="27"/>
        <v>339.49283898551766</v>
      </c>
    </row>
    <row r="850" spans="1:12" x14ac:dyDescent="0.25">
      <c r="A850" s="2">
        <v>0</v>
      </c>
      <c r="B850" s="4">
        <v>27</v>
      </c>
      <c r="C850" s="4">
        <v>22</v>
      </c>
      <c r="D850" s="4">
        <v>0</v>
      </c>
      <c r="E850" s="4" t="s">
        <v>8</v>
      </c>
      <c r="F850" s="4" t="s">
        <v>12</v>
      </c>
      <c r="G850" s="4" t="s">
        <v>10</v>
      </c>
      <c r="H850" s="4">
        <v>1424.1583761179936</v>
      </c>
      <c r="I850" s="4">
        <v>1675.4804424917581</v>
      </c>
      <c r="J850" s="2">
        <f>VLOOKUP(A850,Planilha1!A:M,13,0)</f>
        <v>2511.8220480829059</v>
      </c>
      <c r="K850" s="10">
        <f t="shared" si="26"/>
        <v>1087.6636719649123</v>
      </c>
      <c r="L850" s="10">
        <f t="shared" si="27"/>
        <v>251.32206637376453</v>
      </c>
    </row>
    <row r="851" spans="1:12" x14ac:dyDescent="0.25">
      <c r="A851" s="2">
        <v>1</v>
      </c>
      <c r="B851" s="4">
        <v>55</v>
      </c>
      <c r="C851" s="4">
        <v>32.799999999999997</v>
      </c>
      <c r="D851" s="4">
        <v>0</v>
      </c>
      <c r="E851" s="4" t="s">
        <v>11</v>
      </c>
      <c r="F851" s="4" t="s">
        <v>12</v>
      </c>
      <c r="G851" s="4" t="s">
        <v>14</v>
      </c>
      <c r="H851" s="4">
        <v>4549.3442811583909</v>
      </c>
      <c r="I851" s="4">
        <v>4332.7088391984689</v>
      </c>
      <c r="J851" s="2">
        <f>VLOOKUP(A851,Planilha1!A:M,13,0)</f>
        <v>6326.3485212104815</v>
      </c>
      <c r="K851" s="10">
        <f t="shared" si="26"/>
        <v>1777.0042400520906</v>
      </c>
      <c r="L851" s="10">
        <f t="shared" si="27"/>
        <v>-216.63544195992199</v>
      </c>
    </row>
    <row r="852" spans="1:12" x14ac:dyDescent="0.25">
      <c r="A852" s="2">
        <v>2</v>
      </c>
      <c r="B852" s="4">
        <v>37</v>
      </c>
      <c r="C852" s="4">
        <v>25.6</v>
      </c>
      <c r="D852" s="4">
        <v>0</v>
      </c>
      <c r="E852" s="4" t="s">
        <v>8</v>
      </c>
      <c r="F852" s="4" t="s">
        <v>9</v>
      </c>
      <c r="G852" s="4" t="s">
        <v>15</v>
      </c>
      <c r="H852" s="4">
        <v>1514.7276156504374</v>
      </c>
      <c r="I852" s="4">
        <v>1782.0324890005154</v>
      </c>
      <c r="J852" s="2">
        <f>VLOOKUP(A852,Planilha1!A:M,13,0)</f>
        <v>3220.2324129890262</v>
      </c>
      <c r="K852" s="10">
        <f t="shared" si="26"/>
        <v>1705.5047973385888</v>
      </c>
      <c r="L852" s="10">
        <f t="shared" si="27"/>
        <v>267.30487335007797</v>
      </c>
    </row>
    <row r="853" spans="1:12" x14ac:dyDescent="0.25">
      <c r="A853" s="2">
        <v>1</v>
      </c>
      <c r="B853" s="4">
        <v>61</v>
      </c>
      <c r="C853" s="4">
        <v>32.299999999999997</v>
      </c>
      <c r="D853" s="4">
        <v>2</v>
      </c>
      <c r="E853" s="4" t="s">
        <v>11</v>
      </c>
      <c r="F853" s="4" t="s">
        <v>12</v>
      </c>
      <c r="G853" s="4" t="s">
        <v>14</v>
      </c>
      <c r="H853" s="4">
        <v>5346.5226853580098</v>
      </c>
      <c r="I853" s="4">
        <v>5091.9263670076298</v>
      </c>
      <c r="J853" s="2">
        <f>VLOOKUP(A853,Planilha1!A:M,13,0)</f>
        <v>6326.3485212104815</v>
      </c>
      <c r="K853" s="10">
        <f t="shared" si="26"/>
        <v>979.82583585247176</v>
      </c>
      <c r="L853" s="10">
        <f t="shared" si="27"/>
        <v>-254.59631835037999</v>
      </c>
    </row>
    <row r="854" spans="1:12" x14ac:dyDescent="0.25">
      <c r="A854" s="2">
        <v>2</v>
      </c>
      <c r="B854" s="4">
        <v>46</v>
      </c>
      <c r="C854" s="4">
        <v>35.5</v>
      </c>
      <c r="D854" s="4">
        <v>0</v>
      </c>
      <c r="E854" s="4" t="s">
        <v>8</v>
      </c>
      <c r="F854" s="4" t="s">
        <v>9</v>
      </c>
      <c r="G854" s="4" t="s">
        <v>15</v>
      </c>
      <c r="H854" s="4">
        <v>5053.6322979121223</v>
      </c>
      <c r="I854" s="4">
        <v>4812.9831408686896</v>
      </c>
      <c r="J854" s="2">
        <f>VLOOKUP(A854,Planilha1!A:M,13,0)</f>
        <v>3220.2324129890262</v>
      </c>
      <c r="K854" s="10">
        <f t="shared" si="26"/>
        <v>-1833.3998849230961</v>
      </c>
      <c r="L854" s="10">
        <f t="shared" si="27"/>
        <v>-240.64915704343275</v>
      </c>
    </row>
    <row r="855" spans="1:12" x14ac:dyDescent="0.25">
      <c r="A855" s="2">
        <v>3</v>
      </c>
      <c r="B855" s="4">
        <v>53</v>
      </c>
      <c r="C855" s="4">
        <v>23.8</v>
      </c>
      <c r="D855" s="4">
        <v>2</v>
      </c>
      <c r="E855" s="4" t="s">
        <v>8</v>
      </c>
      <c r="F855" s="4" t="s">
        <v>12</v>
      </c>
      <c r="G855" s="4" t="s">
        <v>15</v>
      </c>
      <c r="H855" s="4">
        <v>1508.0794872593826</v>
      </c>
      <c r="I855" s="4">
        <v>2010.7726496791768</v>
      </c>
      <c r="J855" s="2">
        <f>VLOOKUP(A855,Planilha1!A:M,13,0)</f>
        <v>3049.3550806113421</v>
      </c>
      <c r="K855" s="10">
        <f t="shared" si="26"/>
        <v>1541.2755933519595</v>
      </c>
      <c r="L855" s="10">
        <f t="shared" si="27"/>
        <v>502.69316241979413</v>
      </c>
    </row>
    <row r="856" spans="1:12" x14ac:dyDescent="0.25">
      <c r="A856" s="2">
        <v>2</v>
      </c>
      <c r="B856" s="4">
        <v>49</v>
      </c>
      <c r="C856" s="4">
        <v>23.8</v>
      </c>
      <c r="D856" s="4">
        <v>3</v>
      </c>
      <c r="E856" s="4" t="s">
        <v>8</v>
      </c>
      <c r="F856" s="4" t="s">
        <v>9</v>
      </c>
      <c r="G856" s="4" t="s">
        <v>15</v>
      </c>
      <c r="H856" s="4">
        <v>1842.3743203358079</v>
      </c>
      <c r="I856" s="4">
        <v>2456.4990937810771</v>
      </c>
      <c r="J856" s="2">
        <f>VLOOKUP(A856,Planilha1!A:M,13,0)</f>
        <v>3220.2324129890262</v>
      </c>
      <c r="K856" s="10">
        <f t="shared" si="26"/>
        <v>1377.8580926532184</v>
      </c>
      <c r="L856" s="10">
        <f t="shared" si="27"/>
        <v>614.12477344526928</v>
      </c>
    </row>
    <row r="857" spans="1:12" x14ac:dyDescent="0.25">
      <c r="A857" s="2">
        <v>0</v>
      </c>
      <c r="B857" s="4">
        <v>20</v>
      </c>
      <c r="C857" s="4">
        <v>21.1</v>
      </c>
      <c r="D857" s="4">
        <v>0</v>
      </c>
      <c r="E857" s="4" t="s">
        <v>8</v>
      </c>
      <c r="F857" s="4" t="s">
        <v>12</v>
      </c>
      <c r="G857" s="4" t="s">
        <v>10</v>
      </c>
      <c r="H857" s="4">
        <v>1369.3747432297378</v>
      </c>
      <c r="I857" s="4">
        <v>1611.0291096820451</v>
      </c>
      <c r="J857" s="2">
        <f>VLOOKUP(A857,Planilha1!A:M,13,0)</f>
        <v>2511.8220480829059</v>
      </c>
      <c r="K857" s="10">
        <f t="shared" si="26"/>
        <v>1142.4473048531681</v>
      </c>
      <c r="L857" s="10">
        <f t="shared" si="27"/>
        <v>241.65436645230739</v>
      </c>
    </row>
    <row r="858" spans="1:12" x14ac:dyDescent="0.25">
      <c r="A858" s="2">
        <v>2</v>
      </c>
      <c r="B858" s="4">
        <v>48</v>
      </c>
      <c r="C858" s="4">
        <v>33.1</v>
      </c>
      <c r="D858" s="4">
        <v>0</v>
      </c>
      <c r="E858" s="4" t="s">
        <v>8</v>
      </c>
      <c r="F858" s="4" t="s">
        <v>9</v>
      </c>
      <c r="G858" s="4" t="s">
        <v>13</v>
      </c>
      <c r="H858" s="4">
        <v>3690.4844187887193</v>
      </c>
      <c r="I858" s="4">
        <v>3514.7470655130678</v>
      </c>
      <c r="J858" s="2">
        <f>VLOOKUP(A858,Planilha1!A:M,13,0)</f>
        <v>3220.2324129890262</v>
      </c>
      <c r="K858" s="10">
        <f t="shared" si="26"/>
        <v>-470.25200579969305</v>
      </c>
      <c r="L858" s="10">
        <f t="shared" si="27"/>
        <v>-175.73735327565146</v>
      </c>
    </row>
    <row r="859" spans="1:12" x14ac:dyDescent="0.25">
      <c r="A859" s="2">
        <v>2</v>
      </c>
      <c r="B859" s="4">
        <v>25</v>
      </c>
      <c r="C859" s="4">
        <v>24.2</v>
      </c>
      <c r="D859" s="4">
        <v>0</v>
      </c>
      <c r="E859" s="4" t="s">
        <v>11</v>
      </c>
      <c r="F859" s="4" t="s">
        <v>9</v>
      </c>
      <c r="G859" s="4" t="s">
        <v>14</v>
      </c>
      <c r="H859" s="4">
        <v>1596.8853306185931</v>
      </c>
      <c r="I859" s="4">
        <v>1878.6886242571691</v>
      </c>
      <c r="J859" s="2">
        <f>VLOOKUP(A859,Planilha1!A:M,13,0)</f>
        <v>3220.2324129890262</v>
      </c>
      <c r="K859" s="10">
        <f t="shared" si="26"/>
        <v>1623.3470823704331</v>
      </c>
      <c r="L859" s="10">
        <f t="shared" si="27"/>
        <v>281.80329363857595</v>
      </c>
    </row>
    <row r="860" spans="1:12" x14ac:dyDescent="0.25">
      <c r="A860" s="2">
        <v>0</v>
      </c>
      <c r="B860" s="4">
        <v>25</v>
      </c>
      <c r="C860" s="4">
        <v>22.3</v>
      </c>
      <c r="D860" s="4">
        <v>1</v>
      </c>
      <c r="E860" s="4" t="s">
        <v>8</v>
      </c>
      <c r="F860" s="4" t="s">
        <v>12</v>
      </c>
      <c r="G860" s="4" t="s">
        <v>13</v>
      </c>
      <c r="H860" s="4">
        <v>1440.5201310692673</v>
      </c>
      <c r="I860" s="4">
        <v>1694.7295659638446</v>
      </c>
      <c r="J860" s="2">
        <f>VLOOKUP(A860,Planilha1!A:M,13,0)</f>
        <v>2511.8220480829059</v>
      </c>
      <c r="K860" s="10">
        <f t="shared" si="26"/>
        <v>1071.3019170136386</v>
      </c>
      <c r="L860" s="10">
        <f t="shared" si="27"/>
        <v>254.20943489457727</v>
      </c>
    </row>
    <row r="861" spans="1:12" x14ac:dyDescent="0.25">
      <c r="A861" s="2">
        <v>1</v>
      </c>
      <c r="B861" s="4">
        <v>57</v>
      </c>
      <c r="C861" s="4">
        <v>28.1</v>
      </c>
      <c r="D861" s="4">
        <v>0</v>
      </c>
      <c r="E861" s="4" t="s">
        <v>11</v>
      </c>
      <c r="F861" s="4" t="s">
        <v>12</v>
      </c>
      <c r="G861" s="4" t="s">
        <v>10</v>
      </c>
      <c r="H861" s="4">
        <v>5129.1363047341283</v>
      </c>
      <c r="I861" s="4">
        <v>4884.8917187944098</v>
      </c>
      <c r="J861" s="2">
        <f>VLOOKUP(A861,Planilha1!A:M,13,0)</f>
        <v>6326.3485212104815</v>
      </c>
      <c r="K861" s="10">
        <f t="shared" si="26"/>
        <v>1197.2122164763532</v>
      </c>
      <c r="L861" s="10">
        <f t="shared" si="27"/>
        <v>-244.24458593971849</v>
      </c>
    </row>
    <row r="862" spans="1:12" x14ac:dyDescent="0.25">
      <c r="A862" s="2">
        <v>2</v>
      </c>
      <c r="B862" s="4">
        <v>37</v>
      </c>
      <c r="C862" s="4">
        <v>47.6</v>
      </c>
      <c r="D862" s="4">
        <v>2</v>
      </c>
      <c r="E862" s="4" t="s">
        <v>8</v>
      </c>
      <c r="F862" s="4" t="s">
        <v>9</v>
      </c>
      <c r="G862" s="4" t="s">
        <v>10</v>
      </c>
      <c r="H862" s="4">
        <v>2462.344898371864</v>
      </c>
      <c r="I862" s="4">
        <v>3283.1265311624852</v>
      </c>
      <c r="J862" s="2">
        <f>VLOOKUP(A862,Planilha1!A:M,13,0)</f>
        <v>3220.2324129890262</v>
      </c>
      <c r="K862" s="10">
        <f t="shared" si="26"/>
        <v>757.8875146171622</v>
      </c>
      <c r="L862" s="10">
        <f t="shared" si="27"/>
        <v>820.78163279062119</v>
      </c>
    </row>
    <row r="863" spans="1:12" x14ac:dyDescent="0.25">
      <c r="A863" s="2">
        <v>3</v>
      </c>
      <c r="B863" s="4">
        <v>38</v>
      </c>
      <c r="C863" s="4">
        <v>28</v>
      </c>
      <c r="D863" s="4">
        <v>3</v>
      </c>
      <c r="E863" s="4" t="s">
        <v>8</v>
      </c>
      <c r="F863" s="4" t="s">
        <v>12</v>
      </c>
      <c r="G863" s="4" t="s">
        <v>10</v>
      </c>
      <c r="H863" s="4">
        <v>1350.0074038563214</v>
      </c>
      <c r="I863" s="4">
        <v>1800.0098718084284</v>
      </c>
      <c r="J863" s="2">
        <f>VLOOKUP(A863,Planilha1!A:M,13,0)</f>
        <v>3049.3550806113421</v>
      </c>
      <c r="K863" s="10">
        <f t="shared" si="26"/>
        <v>1699.3476767550208</v>
      </c>
      <c r="L863" s="10">
        <f t="shared" si="27"/>
        <v>450.00246795210705</v>
      </c>
    </row>
    <row r="864" spans="1:12" x14ac:dyDescent="0.25">
      <c r="A864" s="2">
        <v>3</v>
      </c>
      <c r="B864" s="4">
        <v>55</v>
      </c>
      <c r="C864" s="4">
        <v>33.5</v>
      </c>
      <c r="D864" s="4">
        <v>2</v>
      </c>
      <c r="E864" s="4" t="s">
        <v>8</v>
      </c>
      <c r="F864" s="4" t="s">
        <v>12</v>
      </c>
      <c r="G864" s="4" t="s">
        <v>14</v>
      </c>
      <c r="H864" s="4">
        <v>3299.6362597392863</v>
      </c>
      <c r="I864" s="4">
        <v>4399.5150129857147</v>
      </c>
      <c r="J864" s="2">
        <f>VLOOKUP(A864,Planilha1!A:M,13,0)</f>
        <v>3049.3550806113421</v>
      </c>
      <c r="K864" s="10">
        <f t="shared" si="26"/>
        <v>-250.28117912794414</v>
      </c>
      <c r="L864" s="10">
        <f t="shared" si="27"/>
        <v>1099.8787532464285</v>
      </c>
    </row>
    <row r="865" spans="1:12" x14ac:dyDescent="0.25">
      <c r="A865" s="2">
        <v>0</v>
      </c>
      <c r="B865" s="4">
        <v>36</v>
      </c>
      <c r="C865" s="4">
        <v>22.6</v>
      </c>
      <c r="D865" s="4">
        <v>0</v>
      </c>
      <c r="E865" s="4" t="s">
        <v>8</v>
      </c>
      <c r="F865" s="4" t="s">
        <v>12</v>
      </c>
      <c r="G865" s="4" t="s">
        <v>15</v>
      </c>
      <c r="H865" s="4">
        <v>1835.1915673851427</v>
      </c>
      <c r="I865" s="4">
        <v>2159.048902806051</v>
      </c>
      <c r="J865" s="2">
        <f>VLOOKUP(A865,Planilha1!A:M,13,0)</f>
        <v>2511.8220480829059</v>
      </c>
      <c r="K865" s="10">
        <f t="shared" si="26"/>
        <v>676.63048069776323</v>
      </c>
      <c r="L865" s="10">
        <f t="shared" si="27"/>
        <v>323.85733542090838</v>
      </c>
    </row>
    <row r="866" spans="1:12" x14ac:dyDescent="0.25">
      <c r="A866" s="2">
        <v>1</v>
      </c>
      <c r="B866" s="4">
        <v>51</v>
      </c>
      <c r="C866" s="4">
        <v>25.4</v>
      </c>
      <c r="D866" s="4">
        <v>0</v>
      </c>
      <c r="E866" s="4" t="s">
        <v>11</v>
      </c>
      <c r="F866" s="4" t="s">
        <v>12</v>
      </c>
      <c r="G866" s="4" t="s">
        <v>10</v>
      </c>
      <c r="H866" s="4">
        <v>4036.0805310058468</v>
      </c>
      <c r="I866" s="4">
        <v>3843.8862200055696</v>
      </c>
      <c r="J866" s="2">
        <f>VLOOKUP(A866,Planilha1!A:M,13,0)</f>
        <v>6326.3485212104815</v>
      </c>
      <c r="K866" s="10">
        <f t="shared" si="26"/>
        <v>2290.2679902046348</v>
      </c>
      <c r="L866" s="10">
        <f t="shared" si="27"/>
        <v>-192.19431100027714</v>
      </c>
    </row>
    <row r="867" spans="1:12" x14ac:dyDescent="0.25">
      <c r="A867" s="2">
        <v>3</v>
      </c>
      <c r="B867" s="4">
        <v>40</v>
      </c>
      <c r="C867" s="4">
        <v>29.9</v>
      </c>
      <c r="D867" s="4">
        <v>2</v>
      </c>
      <c r="E867" s="4" t="s">
        <v>11</v>
      </c>
      <c r="F867" s="4" t="s">
        <v>12</v>
      </c>
      <c r="G867" s="4" t="s">
        <v>10</v>
      </c>
      <c r="H867" s="4">
        <v>2009.3769112302034</v>
      </c>
      <c r="I867" s="4">
        <v>2679.1692149736045</v>
      </c>
      <c r="J867" s="2">
        <f>VLOOKUP(A867,Planilha1!A:M,13,0)</f>
        <v>3049.3550806113421</v>
      </c>
      <c r="K867" s="10">
        <f t="shared" si="26"/>
        <v>1039.9781693811387</v>
      </c>
      <c r="L867" s="10">
        <f t="shared" si="27"/>
        <v>669.79230374340113</v>
      </c>
    </row>
    <row r="868" spans="1:12" x14ac:dyDescent="0.25">
      <c r="A868" s="2">
        <v>0</v>
      </c>
      <c r="B868" s="4">
        <v>18</v>
      </c>
      <c r="C868" s="4">
        <v>20.399999999999999</v>
      </c>
      <c r="D868" s="4">
        <v>0</v>
      </c>
      <c r="E868" s="4" t="s">
        <v>11</v>
      </c>
      <c r="F868" s="4" t="s">
        <v>12</v>
      </c>
      <c r="G868" s="4" t="s">
        <v>13</v>
      </c>
      <c r="H868" s="4">
        <v>1807.869578843927</v>
      </c>
      <c r="I868" s="4">
        <v>2126.9053868752089</v>
      </c>
      <c r="J868" s="2">
        <f>VLOOKUP(A868,Planilha1!A:M,13,0)</f>
        <v>2511.8220480829059</v>
      </c>
      <c r="K868" s="10">
        <f t="shared" si="26"/>
        <v>703.95246923897889</v>
      </c>
      <c r="L868" s="10">
        <f t="shared" si="27"/>
        <v>319.03580803128193</v>
      </c>
    </row>
    <row r="869" spans="1:12" x14ac:dyDescent="0.25">
      <c r="A869" s="2">
        <v>1</v>
      </c>
      <c r="B869" s="4">
        <v>57</v>
      </c>
      <c r="C869" s="4">
        <v>43.7</v>
      </c>
      <c r="D869" s="4">
        <v>1</v>
      </c>
      <c r="E869" s="4" t="s">
        <v>11</v>
      </c>
      <c r="F869" s="4" t="s">
        <v>12</v>
      </c>
      <c r="G869" s="4" t="s">
        <v>10</v>
      </c>
      <c r="H869" s="4">
        <v>5128.567416257054</v>
      </c>
      <c r="I869" s="4">
        <v>4884.3499202448147</v>
      </c>
      <c r="J869" s="2">
        <f>VLOOKUP(A869,Planilha1!A:M,13,0)</f>
        <v>6326.3485212104815</v>
      </c>
      <c r="K869" s="10">
        <f t="shared" si="26"/>
        <v>1197.7811049534275</v>
      </c>
      <c r="L869" s="10">
        <f t="shared" si="27"/>
        <v>-244.21749601223928</v>
      </c>
    </row>
    <row r="870" spans="1:12" x14ac:dyDescent="0.25">
      <c r="A870" s="2">
        <v>1</v>
      </c>
      <c r="B870" s="4">
        <v>61</v>
      </c>
      <c r="C870" s="4">
        <v>23.7</v>
      </c>
      <c r="D870" s="4">
        <v>0</v>
      </c>
      <c r="E870" s="4" t="s">
        <v>11</v>
      </c>
      <c r="F870" s="4" t="s">
        <v>12</v>
      </c>
      <c r="G870" s="4" t="s">
        <v>15</v>
      </c>
      <c r="H870" s="4">
        <v>4842.2337465853607</v>
      </c>
      <c r="I870" s="4">
        <v>4611.6511872241554</v>
      </c>
      <c r="J870" s="2">
        <f>VLOOKUP(A870,Planilha1!A:M,13,0)</f>
        <v>6326.3485212104815</v>
      </c>
      <c r="K870" s="10">
        <f t="shared" si="26"/>
        <v>1484.1147746251208</v>
      </c>
      <c r="L870" s="10">
        <f t="shared" si="27"/>
        <v>-230.58255936120531</v>
      </c>
    </row>
    <row r="871" spans="1:12" x14ac:dyDescent="0.25">
      <c r="A871" s="2">
        <v>3</v>
      </c>
      <c r="B871" s="4">
        <v>25</v>
      </c>
      <c r="C871" s="4">
        <v>24.3</v>
      </c>
      <c r="D871" s="4">
        <v>3</v>
      </c>
      <c r="E871" s="4" t="s">
        <v>8</v>
      </c>
      <c r="F871" s="4" t="s">
        <v>12</v>
      </c>
      <c r="G871" s="4" t="s">
        <v>10</v>
      </c>
      <c r="H871" s="4">
        <v>1973.8708500897303</v>
      </c>
      <c r="I871" s="4">
        <v>2631.8278001196404</v>
      </c>
      <c r="J871" s="2">
        <f>VLOOKUP(A871,Planilha1!A:M,13,0)</f>
        <v>3049.3550806113421</v>
      </c>
      <c r="K871" s="10">
        <f t="shared" si="26"/>
        <v>1075.4842305216118</v>
      </c>
      <c r="L871" s="10">
        <f t="shared" si="27"/>
        <v>657.9569500299101</v>
      </c>
    </row>
    <row r="872" spans="1:12" x14ac:dyDescent="0.25">
      <c r="A872" s="2">
        <v>1</v>
      </c>
      <c r="B872" s="4">
        <v>50</v>
      </c>
      <c r="C872" s="4">
        <v>36.200000000000003</v>
      </c>
      <c r="D872" s="4">
        <v>0</v>
      </c>
      <c r="E872" s="4" t="s">
        <v>11</v>
      </c>
      <c r="F872" s="4" t="s">
        <v>12</v>
      </c>
      <c r="G872" s="4" t="s">
        <v>10</v>
      </c>
      <c r="H872" s="4">
        <v>4673.2252250430429</v>
      </c>
      <c r="I872" s="4">
        <v>4450.6906905171845</v>
      </c>
      <c r="J872" s="2">
        <f>VLOOKUP(A872,Planilha1!A:M,13,0)</f>
        <v>6326.3485212104815</v>
      </c>
      <c r="K872" s="10">
        <f t="shared" si="26"/>
        <v>1653.1232961674386</v>
      </c>
      <c r="L872" s="10">
        <f t="shared" si="27"/>
        <v>-222.53453452585836</v>
      </c>
    </row>
    <row r="873" spans="1:12" x14ac:dyDescent="0.25">
      <c r="A873" s="2">
        <v>0</v>
      </c>
      <c r="B873" s="4">
        <v>26</v>
      </c>
      <c r="C873" s="4">
        <v>21.6</v>
      </c>
      <c r="D873" s="4">
        <v>1</v>
      </c>
      <c r="E873" s="4" t="s">
        <v>8</v>
      </c>
      <c r="F873" s="4" t="s">
        <v>12</v>
      </c>
      <c r="G873" s="4" t="s">
        <v>13</v>
      </c>
      <c r="H873" s="4">
        <v>2201.5601720725508</v>
      </c>
      <c r="I873" s="4">
        <v>2590.0707906735897</v>
      </c>
      <c r="J873" s="2">
        <f>VLOOKUP(A873,Planilha1!A:M,13,0)</f>
        <v>2511.8220480829059</v>
      </c>
      <c r="K873" s="10">
        <f t="shared" si="26"/>
        <v>310.26187601035508</v>
      </c>
      <c r="L873" s="10">
        <f t="shared" si="27"/>
        <v>388.51061860103891</v>
      </c>
    </row>
    <row r="874" spans="1:12" x14ac:dyDescent="0.25">
      <c r="A874" s="2">
        <v>0</v>
      </c>
      <c r="B874" s="4">
        <v>42</v>
      </c>
      <c r="C874" s="4">
        <v>24.9</v>
      </c>
      <c r="D874" s="4">
        <v>0</v>
      </c>
      <c r="E874" s="4" t="s">
        <v>11</v>
      </c>
      <c r="F874" s="4" t="s">
        <v>12</v>
      </c>
      <c r="G874" s="4" t="s">
        <v>13</v>
      </c>
      <c r="H874" s="4">
        <v>2287.3917466047455</v>
      </c>
      <c r="I874" s="4">
        <v>2691.0491136526425</v>
      </c>
      <c r="J874" s="2">
        <f>VLOOKUP(A874,Planilha1!A:M,13,0)</f>
        <v>2511.8220480829059</v>
      </c>
      <c r="K874" s="10">
        <f t="shared" si="26"/>
        <v>224.43030147816035</v>
      </c>
      <c r="L874" s="10">
        <f t="shared" si="27"/>
        <v>403.65736704789697</v>
      </c>
    </row>
    <row r="875" spans="1:12" x14ac:dyDescent="0.25">
      <c r="A875" s="2">
        <v>1</v>
      </c>
      <c r="B875" s="4">
        <v>43</v>
      </c>
      <c r="C875" s="4">
        <v>30.1</v>
      </c>
      <c r="D875" s="4">
        <v>1</v>
      </c>
      <c r="E875" s="4" t="s">
        <v>11</v>
      </c>
      <c r="F875" s="4" t="s">
        <v>12</v>
      </c>
      <c r="G875" s="4" t="s">
        <v>10</v>
      </c>
      <c r="H875" s="4">
        <v>4641.0864906006373</v>
      </c>
      <c r="I875" s="4">
        <v>4420.0823720006083</v>
      </c>
      <c r="J875" s="2">
        <f>VLOOKUP(A875,Planilha1!A:M,13,0)</f>
        <v>6326.3485212104815</v>
      </c>
      <c r="K875" s="10">
        <f t="shared" si="26"/>
        <v>1685.2620306098443</v>
      </c>
      <c r="L875" s="10">
        <f t="shared" si="27"/>
        <v>-221.00411860002896</v>
      </c>
    </row>
    <row r="876" spans="1:12" x14ac:dyDescent="0.25">
      <c r="A876" s="2">
        <v>3</v>
      </c>
      <c r="B876" s="4">
        <v>44</v>
      </c>
      <c r="C876" s="4">
        <v>21.9</v>
      </c>
      <c r="D876" s="4">
        <v>3</v>
      </c>
      <c r="E876" s="4" t="s">
        <v>11</v>
      </c>
      <c r="F876" s="4" t="s">
        <v>12</v>
      </c>
      <c r="G876" s="4" t="s">
        <v>15</v>
      </c>
      <c r="H876" s="4">
        <v>1231.0673636222223</v>
      </c>
      <c r="I876" s="4">
        <v>1641.4231514962964</v>
      </c>
      <c r="J876" s="2">
        <f>VLOOKUP(A876,Planilha1!A:M,13,0)</f>
        <v>3049.3550806113421</v>
      </c>
      <c r="K876" s="10">
        <f t="shared" si="26"/>
        <v>1818.2877169891199</v>
      </c>
      <c r="L876" s="10">
        <f t="shared" si="27"/>
        <v>410.35578787407417</v>
      </c>
    </row>
    <row r="877" spans="1:12" x14ac:dyDescent="0.25">
      <c r="A877" s="2">
        <v>0</v>
      </c>
      <c r="B877" s="4">
        <v>23</v>
      </c>
      <c r="C877" s="4">
        <v>24.2</v>
      </c>
      <c r="D877" s="4">
        <v>0</v>
      </c>
      <c r="E877" s="4" t="s">
        <v>8</v>
      </c>
      <c r="F877" s="4" t="s">
        <v>12</v>
      </c>
      <c r="G877" s="4" t="s">
        <v>14</v>
      </c>
      <c r="H877" s="4">
        <v>2393.7151222848843</v>
      </c>
      <c r="I877" s="4">
        <v>2816.1354379822169</v>
      </c>
      <c r="J877" s="2">
        <f>VLOOKUP(A877,Planilha1!A:M,13,0)</f>
        <v>2511.8220480829059</v>
      </c>
      <c r="K877" s="10">
        <f t="shared" si="26"/>
        <v>118.10692579802162</v>
      </c>
      <c r="L877" s="10">
        <f t="shared" si="27"/>
        <v>422.42031569733263</v>
      </c>
    </row>
    <row r="878" spans="1:12" x14ac:dyDescent="0.25">
      <c r="A878" s="2">
        <v>1</v>
      </c>
      <c r="B878" s="4">
        <v>49</v>
      </c>
      <c r="C878" s="4">
        <v>27.1</v>
      </c>
      <c r="D878" s="4">
        <v>1</v>
      </c>
      <c r="E878" s="4" t="s">
        <v>8</v>
      </c>
      <c r="F878" s="4" t="s">
        <v>12</v>
      </c>
      <c r="G878" s="4" t="s">
        <v>10</v>
      </c>
      <c r="H878" s="4">
        <v>4950.6210421668347</v>
      </c>
      <c r="I878" s="4">
        <v>4714.8771830160349</v>
      </c>
      <c r="J878" s="2">
        <f>VLOOKUP(A878,Planilha1!A:M,13,0)</f>
        <v>6326.3485212104815</v>
      </c>
      <c r="K878" s="10">
        <f t="shared" si="26"/>
        <v>1375.7274790436468</v>
      </c>
      <c r="L878" s="10">
        <f t="shared" si="27"/>
        <v>-235.74385915079984</v>
      </c>
    </row>
    <row r="879" spans="1:12" x14ac:dyDescent="0.25">
      <c r="A879" s="2">
        <v>3</v>
      </c>
      <c r="B879" s="4">
        <v>33</v>
      </c>
      <c r="C879" s="4">
        <v>33.4</v>
      </c>
      <c r="D879" s="4">
        <v>5</v>
      </c>
      <c r="E879" s="4" t="s">
        <v>11</v>
      </c>
      <c r="F879" s="4" t="s">
        <v>12</v>
      </c>
      <c r="G879" s="4" t="s">
        <v>13</v>
      </c>
      <c r="H879" s="4">
        <v>1454.1168778241208</v>
      </c>
      <c r="I879" s="4">
        <v>1938.8225037654945</v>
      </c>
      <c r="J879" s="2">
        <f>VLOOKUP(A879,Planilha1!A:M,13,0)</f>
        <v>3049.3550806113421</v>
      </c>
      <c r="K879" s="10">
        <f t="shared" si="26"/>
        <v>1595.2382027872213</v>
      </c>
      <c r="L879" s="10">
        <f t="shared" si="27"/>
        <v>484.70562594137368</v>
      </c>
    </row>
    <row r="880" spans="1:12" x14ac:dyDescent="0.25">
      <c r="A880" s="2">
        <v>1</v>
      </c>
      <c r="B880" s="4">
        <v>41</v>
      </c>
      <c r="C880" s="4">
        <v>28.8</v>
      </c>
      <c r="D880" s="4">
        <v>1</v>
      </c>
      <c r="E880" s="4" t="s">
        <v>11</v>
      </c>
      <c r="F880" s="4" t="s">
        <v>12</v>
      </c>
      <c r="G880" s="4" t="s">
        <v>10</v>
      </c>
      <c r="H880" s="4">
        <v>5120.4616240282021</v>
      </c>
      <c r="I880" s="4">
        <v>4876.6301181220988</v>
      </c>
      <c r="J880" s="2">
        <f>VLOOKUP(A880,Planilha1!A:M,13,0)</f>
        <v>6326.3485212104815</v>
      </c>
      <c r="K880" s="10">
        <f t="shared" si="26"/>
        <v>1205.8868971822794</v>
      </c>
      <c r="L880" s="10">
        <f t="shared" si="27"/>
        <v>-243.8315059061033</v>
      </c>
    </row>
    <row r="881" spans="1:12" x14ac:dyDescent="0.25">
      <c r="A881" s="2">
        <v>3</v>
      </c>
      <c r="B881" s="4">
        <v>37</v>
      </c>
      <c r="C881" s="4">
        <v>29.5</v>
      </c>
      <c r="D881" s="4">
        <v>2</v>
      </c>
      <c r="E881" s="4" t="s">
        <v>8</v>
      </c>
      <c r="F881" s="4" t="s">
        <v>12</v>
      </c>
      <c r="G881" s="4" t="s">
        <v>10</v>
      </c>
      <c r="H881" s="4">
        <v>2832.8780935502959</v>
      </c>
      <c r="I881" s="4">
        <v>3777.1707914003946</v>
      </c>
      <c r="J881" s="2">
        <f>VLOOKUP(A881,Planilha1!A:M,13,0)</f>
        <v>3049.3550806113421</v>
      </c>
      <c r="K881" s="10">
        <f t="shared" si="26"/>
        <v>216.4769870610462</v>
      </c>
      <c r="L881" s="10">
        <f t="shared" si="27"/>
        <v>944.29269785009865</v>
      </c>
    </row>
    <row r="882" spans="1:12" x14ac:dyDescent="0.25">
      <c r="A882" s="2">
        <v>3</v>
      </c>
      <c r="B882" s="4">
        <v>22</v>
      </c>
      <c r="C882" s="4">
        <v>34.799999999999997</v>
      </c>
      <c r="D882" s="4">
        <v>3</v>
      </c>
      <c r="E882" s="4" t="s">
        <v>11</v>
      </c>
      <c r="F882" s="4" t="s">
        <v>12</v>
      </c>
      <c r="G882" s="4" t="s">
        <v>10</v>
      </c>
      <c r="H882" s="4">
        <v>2001.9872200214004</v>
      </c>
      <c r="I882" s="4">
        <v>2669.3162933618673</v>
      </c>
      <c r="J882" s="2">
        <f>VLOOKUP(A882,Planilha1!A:M,13,0)</f>
        <v>3049.3550806113421</v>
      </c>
      <c r="K882" s="10">
        <f t="shared" si="26"/>
        <v>1047.3678605899418</v>
      </c>
      <c r="L882" s="10">
        <f t="shared" si="27"/>
        <v>667.32907334046695</v>
      </c>
    </row>
    <row r="883" spans="1:12" x14ac:dyDescent="0.25">
      <c r="A883" s="2">
        <v>0</v>
      </c>
      <c r="B883" s="4">
        <v>23</v>
      </c>
      <c r="C883" s="4">
        <v>23.2</v>
      </c>
      <c r="D883" s="4">
        <v>1</v>
      </c>
      <c r="E883" s="4" t="s">
        <v>11</v>
      </c>
      <c r="F883" s="4" t="s">
        <v>12</v>
      </c>
      <c r="G883" s="4" t="s">
        <v>14</v>
      </c>
      <c r="H883" s="4">
        <v>1607.0768734444548</v>
      </c>
      <c r="I883" s="4">
        <v>1890.678674640536</v>
      </c>
      <c r="J883" s="2">
        <f>VLOOKUP(A883,Planilha1!A:M,13,0)</f>
        <v>2511.8220480829059</v>
      </c>
      <c r="K883" s="10">
        <f t="shared" si="26"/>
        <v>904.74517463845109</v>
      </c>
      <c r="L883" s="10">
        <f t="shared" si="27"/>
        <v>283.60180119608117</v>
      </c>
    </row>
    <row r="884" spans="1:12" x14ac:dyDescent="0.25">
      <c r="A884" s="2">
        <v>0</v>
      </c>
      <c r="B884" s="4">
        <v>21</v>
      </c>
      <c r="C884" s="4">
        <v>21.8</v>
      </c>
      <c r="D884" s="4">
        <v>0</v>
      </c>
      <c r="E884" s="4" t="s">
        <v>8</v>
      </c>
      <c r="F884" s="4" t="s">
        <v>12</v>
      </c>
      <c r="G884" s="4" t="s">
        <v>15</v>
      </c>
      <c r="H884" s="4">
        <v>2015.0134690279833</v>
      </c>
      <c r="I884" s="4">
        <v>2370.6040812093925</v>
      </c>
      <c r="J884" s="2">
        <f>VLOOKUP(A884,Planilha1!A:M,13,0)</f>
        <v>2511.8220480829059</v>
      </c>
      <c r="K884" s="10">
        <f t="shared" si="26"/>
        <v>496.80857905492257</v>
      </c>
      <c r="L884" s="10">
        <f t="shared" si="27"/>
        <v>355.59061218140914</v>
      </c>
    </row>
    <row r="885" spans="1:12" x14ac:dyDescent="0.25">
      <c r="A885" s="2">
        <v>2</v>
      </c>
      <c r="B885" s="4">
        <v>51</v>
      </c>
      <c r="C885" s="4">
        <v>37.1</v>
      </c>
      <c r="D885" s="4">
        <v>3</v>
      </c>
      <c r="E885" s="4" t="s">
        <v>8</v>
      </c>
      <c r="F885" s="4" t="s">
        <v>9</v>
      </c>
      <c r="G885" s="4" t="s">
        <v>15</v>
      </c>
      <c r="H885" s="4">
        <v>2320.6864804735969</v>
      </c>
      <c r="I885" s="4">
        <v>3094.2486406314629</v>
      </c>
      <c r="J885" s="2">
        <f>VLOOKUP(A885,Planilha1!A:M,13,0)</f>
        <v>3220.2324129890262</v>
      </c>
      <c r="K885" s="10">
        <f t="shared" si="26"/>
        <v>899.54593251542929</v>
      </c>
      <c r="L885" s="10">
        <f t="shared" si="27"/>
        <v>773.56216015786595</v>
      </c>
    </row>
    <row r="886" spans="1:12" x14ac:dyDescent="0.25">
      <c r="A886" s="2">
        <v>3</v>
      </c>
      <c r="B886" s="4">
        <v>25</v>
      </c>
      <c r="C886" s="4">
        <v>26.7</v>
      </c>
      <c r="D886" s="4">
        <v>4</v>
      </c>
      <c r="E886" s="4" t="s">
        <v>11</v>
      </c>
      <c r="F886" s="4" t="s">
        <v>12</v>
      </c>
      <c r="G886" s="4" t="s">
        <v>14</v>
      </c>
      <c r="H886" s="4">
        <v>1453.1842002048297</v>
      </c>
      <c r="I886" s="4">
        <v>1937.5789336064397</v>
      </c>
      <c r="J886" s="2">
        <f>VLOOKUP(A886,Planilha1!A:M,13,0)</f>
        <v>3049.3550806113421</v>
      </c>
      <c r="K886" s="10">
        <f t="shared" si="26"/>
        <v>1596.1708804065124</v>
      </c>
      <c r="L886" s="10">
        <f t="shared" si="27"/>
        <v>484.39473340160998</v>
      </c>
    </row>
    <row r="887" spans="1:12" x14ac:dyDescent="0.25">
      <c r="A887" s="2">
        <v>2</v>
      </c>
      <c r="B887" s="4">
        <v>32</v>
      </c>
      <c r="C887" s="4">
        <v>23.5</v>
      </c>
      <c r="D887" s="4">
        <v>1</v>
      </c>
      <c r="E887" s="4" t="s">
        <v>11</v>
      </c>
      <c r="F887" s="4" t="s">
        <v>9</v>
      </c>
      <c r="G887" s="4" t="s">
        <v>13</v>
      </c>
      <c r="H887" s="4">
        <v>2322.7936373820321</v>
      </c>
      <c r="I887" s="4">
        <v>2732.6983969200382</v>
      </c>
      <c r="J887" s="2">
        <f>VLOOKUP(A887,Planilha1!A:M,13,0)</f>
        <v>3220.2324129890262</v>
      </c>
      <c r="K887" s="10">
        <f t="shared" si="26"/>
        <v>897.43877560699411</v>
      </c>
      <c r="L887" s="10">
        <f t="shared" si="27"/>
        <v>409.90475953800615</v>
      </c>
    </row>
    <row r="888" spans="1:12" x14ac:dyDescent="0.25">
      <c r="A888" s="2">
        <v>2</v>
      </c>
      <c r="B888" s="4">
        <v>57</v>
      </c>
      <c r="C888" s="4">
        <v>29</v>
      </c>
      <c r="D888" s="4">
        <v>0</v>
      </c>
      <c r="E888" s="4" t="s">
        <v>11</v>
      </c>
      <c r="F888" s="4" t="s">
        <v>9</v>
      </c>
      <c r="G888" s="4" t="s">
        <v>15</v>
      </c>
      <c r="H888" s="4">
        <v>4133.5858381188764</v>
      </c>
      <c r="I888" s="4">
        <v>3936.7484172560744</v>
      </c>
      <c r="J888" s="2">
        <f>VLOOKUP(A888,Planilha1!A:M,13,0)</f>
        <v>3220.2324129890262</v>
      </c>
      <c r="K888" s="10">
        <f t="shared" si="26"/>
        <v>-913.35342512985017</v>
      </c>
      <c r="L888" s="10">
        <f t="shared" si="27"/>
        <v>-196.83742086280199</v>
      </c>
    </row>
    <row r="889" spans="1:12" x14ac:dyDescent="0.25">
      <c r="A889" s="2">
        <v>0</v>
      </c>
      <c r="B889" s="4">
        <v>36</v>
      </c>
      <c r="C889" s="4">
        <v>20.399999999999999</v>
      </c>
      <c r="D889" s="4">
        <v>0</v>
      </c>
      <c r="E889" s="4" t="s">
        <v>8</v>
      </c>
      <c r="F889" s="4" t="s">
        <v>12</v>
      </c>
      <c r="G889" s="4" t="s">
        <v>14</v>
      </c>
      <c r="H889" s="4">
        <v>1589.4394970496064</v>
      </c>
      <c r="I889" s="4">
        <v>1869.9288200583615</v>
      </c>
      <c r="J889" s="2">
        <f>VLOOKUP(A889,Planilha1!A:M,13,0)</f>
        <v>2511.8220480829059</v>
      </c>
      <c r="K889" s="10">
        <f t="shared" si="26"/>
        <v>922.38255103329948</v>
      </c>
      <c r="L889" s="10">
        <f t="shared" si="27"/>
        <v>280.48932300875504</v>
      </c>
    </row>
    <row r="890" spans="1:12" x14ac:dyDescent="0.25">
      <c r="A890" s="2">
        <v>0</v>
      </c>
      <c r="B890" s="4">
        <v>22</v>
      </c>
      <c r="C890" s="4">
        <v>22.1</v>
      </c>
      <c r="D890" s="4">
        <v>0</v>
      </c>
      <c r="E890" s="4" t="s">
        <v>11</v>
      </c>
      <c r="F890" s="4" t="s">
        <v>12</v>
      </c>
      <c r="G890" s="4" t="s">
        <v>10</v>
      </c>
      <c r="H890" s="4">
        <v>2386.591099755633</v>
      </c>
      <c r="I890" s="4">
        <v>2807.7542350066278</v>
      </c>
      <c r="J890" s="2">
        <f>VLOOKUP(A890,Planilha1!A:M,13,0)</f>
        <v>2511.8220480829059</v>
      </c>
      <c r="K890" s="10">
        <f t="shared" si="26"/>
        <v>125.23094832727293</v>
      </c>
      <c r="L890" s="10">
        <f t="shared" si="27"/>
        <v>421.16313525099486</v>
      </c>
    </row>
    <row r="891" spans="1:12" x14ac:dyDescent="0.25">
      <c r="A891" s="2">
        <v>1</v>
      </c>
      <c r="B891" s="4">
        <v>57</v>
      </c>
      <c r="C891" s="4">
        <v>33.6</v>
      </c>
      <c r="D891" s="4">
        <v>1</v>
      </c>
      <c r="E891" s="4" t="s">
        <v>11</v>
      </c>
      <c r="F891" s="4" t="s">
        <v>12</v>
      </c>
      <c r="G891" s="4" t="s">
        <v>14</v>
      </c>
      <c r="H891" s="4">
        <v>4253.2554565364208</v>
      </c>
      <c r="I891" s="4">
        <v>4050.7194824156409</v>
      </c>
      <c r="J891" s="2">
        <f>VLOOKUP(A891,Planilha1!A:M,13,0)</f>
        <v>6326.3485212104815</v>
      </c>
      <c r="K891" s="10">
        <f t="shared" si="26"/>
        <v>2073.0930646740608</v>
      </c>
      <c r="L891" s="10">
        <f t="shared" si="27"/>
        <v>-202.53597412077988</v>
      </c>
    </row>
    <row r="892" spans="1:12" x14ac:dyDescent="0.25">
      <c r="A892" s="2">
        <v>2</v>
      </c>
      <c r="B892" s="4">
        <v>64</v>
      </c>
      <c r="C892" s="4">
        <v>26.9</v>
      </c>
      <c r="D892" s="4">
        <v>0</v>
      </c>
      <c r="E892" s="4" t="s">
        <v>8</v>
      </c>
      <c r="F892" s="4" t="s">
        <v>9</v>
      </c>
      <c r="G892" s="4" t="s">
        <v>14</v>
      </c>
      <c r="H892" s="4">
        <v>4222.0169372994105</v>
      </c>
      <c r="I892" s="4">
        <v>4020.9685117137255</v>
      </c>
      <c r="J892" s="2">
        <f>VLOOKUP(A892,Planilha1!A:M,13,0)</f>
        <v>3220.2324129890262</v>
      </c>
      <c r="K892" s="10">
        <f t="shared" si="26"/>
        <v>-1001.7845243103843</v>
      </c>
      <c r="L892" s="10">
        <f t="shared" si="27"/>
        <v>-201.04842558568498</v>
      </c>
    </row>
    <row r="893" spans="1:12" x14ac:dyDescent="0.25">
      <c r="A893" s="2">
        <v>3</v>
      </c>
      <c r="B893" s="4">
        <v>36</v>
      </c>
      <c r="C893" s="4">
        <v>29</v>
      </c>
      <c r="D893" s="4">
        <v>4</v>
      </c>
      <c r="E893" s="4" t="s">
        <v>8</v>
      </c>
      <c r="F893" s="4" t="s">
        <v>12</v>
      </c>
      <c r="G893" s="4" t="s">
        <v>13</v>
      </c>
      <c r="H893" s="4">
        <v>2388.298582272615</v>
      </c>
      <c r="I893" s="4">
        <v>3184.39810969682</v>
      </c>
      <c r="J893" s="2">
        <f>VLOOKUP(A893,Planilha1!A:M,13,0)</f>
        <v>3049.3550806113421</v>
      </c>
      <c r="K893" s="10">
        <f t="shared" si="26"/>
        <v>661.05649833872712</v>
      </c>
      <c r="L893" s="10">
        <f t="shared" si="27"/>
        <v>796.09952742420501</v>
      </c>
    </row>
    <row r="894" spans="1:12" x14ac:dyDescent="0.25">
      <c r="A894" s="2">
        <v>1</v>
      </c>
      <c r="B894" s="4">
        <v>54</v>
      </c>
      <c r="C894" s="4">
        <v>24</v>
      </c>
      <c r="D894" s="4">
        <v>0</v>
      </c>
      <c r="E894" s="4" t="s">
        <v>11</v>
      </c>
      <c r="F894" s="4" t="s">
        <v>12</v>
      </c>
      <c r="G894" s="4" t="s">
        <v>15</v>
      </c>
      <c r="H894" s="4">
        <v>3782.6920493002071</v>
      </c>
      <c r="I894" s="4">
        <v>3602.5638564763894</v>
      </c>
      <c r="J894" s="2">
        <f>VLOOKUP(A894,Planilha1!A:M,13,0)</f>
        <v>6326.3485212104815</v>
      </c>
      <c r="K894" s="10">
        <f t="shared" si="26"/>
        <v>2543.6564719102744</v>
      </c>
      <c r="L894" s="10">
        <f t="shared" si="27"/>
        <v>-180.1281928238177</v>
      </c>
    </row>
    <row r="895" spans="1:12" x14ac:dyDescent="0.25">
      <c r="A895" s="2">
        <v>2</v>
      </c>
      <c r="B895" s="4">
        <v>47</v>
      </c>
      <c r="C895" s="4">
        <v>38.9</v>
      </c>
      <c r="D895" s="4">
        <v>2</v>
      </c>
      <c r="E895" s="4" t="s">
        <v>11</v>
      </c>
      <c r="F895" s="4" t="s">
        <v>9</v>
      </c>
      <c r="G895" s="4" t="s">
        <v>13</v>
      </c>
      <c r="H895" s="4">
        <v>3372.3568566280883</v>
      </c>
      <c r="I895" s="4">
        <v>4496.475808837451</v>
      </c>
      <c r="J895" s="2">
        <f>VLOOKUP(A895,Planilha1!A:M,13,0)</f>
        <v>3220.2324129890262</v>
      </c>
      <c r="K895" s="10">
        <f t="shared" si="26"/>
        <v>-152.12444363906206</v>
      </c>
      <c r="L895" s="10">
        <f t="shared" si="27"/>
        <v>1124.1189522093628</v>
      </c>
    </row>
    <row r="896" spans="1:12" x14ac:dyDescent="0.25">
      <c r="A896" s="2">
        <v>1</v>
      </c>
      <c r="B896" s="4">
        <v>62</v>
      </c>
      <c r="C896" s="4">
        <v>32.1</v>
      </c>
      <c r="D896" s="4">
        <v>0</v>
      </c>
      <c r="E896" s="4" t="s">
        <v>11</v>
      </c>
      <c r="F896" s="4" t="s">
        <v>12</v>
      </c>
      <c r="G896" s="4" t="s">
        <v>15</v>
      </c>
      <c r="H896" s="4">
        <v>4313.6624301535221</v>
      </c>
      <c r="I896" s="4">
        <v>4108.2499334795466</v>
      </c>
      <c r="J896" s="2">
        <f>VLOOKUP(A896,Planilha1!A:M,13,0)</f>
        <v>6326.3485212104815</v>
      </c>
      <c r="K896" s="10">
        <f t="shared" si="26"/>
        <v>2012.6860910569594</v>
      </c>
      <c r="L896" s="10">
        <f t="shared" si="27"/>
        <v>-205.41249667397551</v>
      </c>
    </row>
    <row r="897" spans="1:12" x14ac:dyDescent="0.25">
      <c r="A897" s="2">
        <v>1</v>
      </c>
      <c r="B897" s="4">
        <v>61</v>
      </c>
      <c r="C897" s="4">
        <v>44</v>
      </c>
      <c r="D897" s="4">
        <v>0</v>
      </c>
      <c r="E897" s="4" t="s">
        <v>8</v>
      </c>
      <c r="F897" s="4" t="s">
        <v>12</v>
      </c>
      <c r="G897" s="4" t="s">
        <v>10</v>
      </c>
      <c r="H897" s="4">
        <v>6316.3951039012454</v>
      </c>
      <c r="I897" s="4">
        <v>6015.6143846678551</v>
      </c>
      <c r="J897" s="2">
        <f>VLOOKUP(A897,Planilha1!A:M,13,0)</f>
        <v>6326.3485212104815</v>
      </c>
      <c r="K897" s="10">
        <f t="shared" si="26"/>
        <v>9.9534173092361016</v>
      </c>
      <c r="L897" s="10">
        <f t="shared" si="27"/>
        <v>-300.7807192333903</v>
      </c>
    </row>
    <row r="898" spans="1:12" x14ac:dyDescent="0.25">
      <c r="A898" s="2">
        <v>2</v>
      </c>
      <c r="B898" s="4">
        <v>43</v>
      </c>
      <c r="C898" s="4">
        <v>20</v>
      </c>
      <c r="D898" s="4">
        <v>2</v>
      </c>
      <c r="E898" s="4" t="s">
        <v>8</v>
      </c>
      <c r="F898" s="4" t="s">
        <v>9</v>
      </c>
      <c r="G898" s="4" t="s">
        <v>15</v>
      </c>
      <c r="H898" s="4">
        <v>1720.0993217799685</v>
      </c>
      <c r="I898" s="4">
        <v>2023.6462609176106</v>
      </c>
      <c r="J898" s="2">
        <f>VLOOKUP(A898,Planilha1!A:M,13,0)</f>
        <v>3220.2324129890262</v>
      </c>
      <c r="K898" s="10">
        <f t="shared" si="26"/>
        <v>1500.1330912090577</v>
      </c>
      <c r="L898" s="10">
        <f t="shared" si="27"/>
        <v>303.54693913764208</v>
      </c>
    </row>
    <row r="899" spans="1:12" x14ac:dyDescent="0.25">
      <c r="A899" s="2">
        <v>0</v>
      </c>
      <c r="B899" s="4">
        <v>19</v>
      </c>
      <c r="C899" s="4">
        <v>22.7</v>
      </c>
      <c r="D899" s="4">
        <v>1</v>
      </c>
      <c r="E899" s="4" t="s">
        <v>11</v>
      </c>
      <c r="F899" s="4" t="s">
        <v>12</v>
      </c>
      <c r="G899" s="4" t="s">
        <v>14</v>
      </c>
      <c r="H899" s="4">
        <v>2184.2453946168089</v>
      </c>
      <c r="I899" s="4">
        <v>2569.7004642550701</v>
      </c>
      <c r="J899" s="2">
        <f>VLOOKUP(A899,Planilha1!A:M,13,0)</f>
        <v>2511.8220480829059</v>
      </c>
      <c r="K899" s="10">
        <f t="shared" ref="K899:K962" si="28">J899-H899</f>
        <v>327.57665346609701</v>
      </c>
      <c r="L899" s="10">
        <f t="shared" ref="L899:L962" si="29">I899-H899</f>
        <v>385.45506963826119</v>
      </c>
    </row>
    <row r="900" spans="1:12" x14ac:dyDescent="0.25">
      <c r="A900" s="2">
        <v>0</v>
      </c>
      <c r="B900" s="4">
        <v>18</v>
      </c>
      <c r="C900" s="4">
        <v>20.3</v>
      </c>
      <c r="D900" s="4">
        <v>0</v>
      </c>
      <c r="E900" s="4" t="s">
        <v>8</v>
      </c>
      <c r="F900" s="4" t="s">
        <v>12</v>
      </c>
      <c r="G900" s="4" t="s">
        <v>13</v>
      </c>
      <c r="H900" s="4">
        <v>1258.5864564974315</v>
      </c>
      <c r="I900" s="4">
        <v>1480.6899488205086</v>
      </c>
      <c r="J900" s="2">
        <f>VLOOKUP(A900,Planilha1!A:M,13,0)</f>
        <v>2511.8220480829059</v>
      </c>
      <c r="K900" s="10">
        <f t="shared" si="28"/>
        <v>1253.2355915854744</v>
      </c>
      <c r="L900" s="10">
        <f t="shared" si="29"/>
        <v>222.10349232307703</v>
      </c>
    </row>
    <row r="901" spans="1:12" x14ac:dyDescent="0.25">
      <c r="A901" s="2">
        <v>0</v>
      </c>
      <c r="B901" s="4">
        <v>19</v>
      </c>
      <c r="C901" s="4">
        <v>23.2</v>
      </c>
      <c r="D901" s="4">
        <v>0</v>
      </c>
      <c r="E901" s="4" t="s">
        <v>8</v>
      </c>
      <c r="F901" s="4" t="s">
        <v>12</v>
      </c>
      <c r="G901" s="4" t="s">
        <v>14</v>
      </c>
      <c r="H901" s="4">
        <v>1454.2530270661475</v>
      </c>
      <c r="I901" s="4">
        <v>1710.8859141954683</v>
      </c>
      <c r="J901" s="2">
        <f>VLOOKUP(A901,Planilha1!A:M,13,0)</f>
        <v>2511.8220480829059</v>
      </c>
      <c r="K901" s="10">
        <f t="shared" si="28"/>
        <v>1057.5690210167584</v>
      </c>
      <c r="L901" s="10">
        <f t="shared" si="29"/>
        <v>256.63288712932081</v>
      </c>
    </row>
    <row r="902" spans="1:12" x14ac:dyDescent="0.25">
      <c r="A902" s="2">
        <v>1</v>
      </c>
      <c r="B902" s="4">
        <v>49</v>
      </c>
      <c r="C902" s="4">
        <v>22.5</v>
      </c>
      <c r="D902" s="4">
        <v>0</v>
      </c>
      <c r="E902" s="4" t="s">
        <v>11</v>
      </c>
      <c r="F902" s="4" t="s">
        <v>12</v>
      </c>
      <c r="G902" s="4" t="s">
        <v>15</v>
      </c>
      <c r="H902" s="4">
        <v>5378.317116150798</v>
      </c>
      <c r="I902" s="4">
        <v>5122.2067772864757</v>
      </c>
      <c r="J902" s="2">
        <f>VLOOKUP(A902,Planilha1!A:M,13,0)</f>
        <v>6326.3485212104815</v>
      </c>
      <c r="K902" s="10">
        <f t="shared" si="28"/>
        <v>948.03140505968349</v>
      </c>
      <c r="L902" s="10">
        <f t="shared" si="29"/>
        <v>-256.11033886432233</v>
      </c>
    </row>
    <row r="903" spans="1:12" x14ac:dyDescent="0.25">
      <c r="A903" s="2">
        <v>2</v>
      </c>
      <c r="B903" s="4">
        <v>60</v>
      </c>
      <c r="C903" s="4">
        <v>40.9</v>
      </c>
      <c r="D903" s="4">
        <v>0</v>
      </c>
      <c r="E903" s="4" t="s">
        <v>11</v>
      </c>
      <c r="F903" s="4" t="s">
        <v>9</v>
      </c>
      <c r="G903" s="4" t="s">
        <v>13</v>
      </c>
      <c r="H903" s="4">
        <v>5289.9251374967134</v>
      </c>
      <c r="I903" s="4">
        <v>5038.0239404730619</v>
      </c>
      <c r="J903" s="2">
        <f>VLOOKUP(A903,Planilha1!A:M,13,0)</f>
        <v>3220.2324129890262</v>
      </c>
      <c r="K903" s="10">
        <f t="shared" si="28"/>
        <v>-2069.6927245076872</v>
      </c>
      <c r="L903" s="10">
        <f t="shared" si="29"/>
        <v>-251.90119702365155</v>
      </c>
    </row>
    <row r="904" spans="1:12" x14ac:dyDescent="0.25">
      <c r="A904" s="2">
        <v>3</v>
      </c>
      <c r="B904" s="4">
        <v>26</v>
      </c>
      <c r="C904" s="4">
        <v>27.3</v>
      </c>
      <c r="D904" s="4">
        <v>3</v>
      </c>
      <c r="E904" s="4" t="s">
        <v>11</v>
      </c>
      <c r="F904" s="4" t="s">
        <v>12</v>
      </c>
      <c r="G904" s="4" t="s">
        <v>15</v>
      </c>
      <c r="H904" s="4">
        <v>2240.2535058234253</v>
      </c>
      <c r="I904" s="4">
        <v>2987.004674431234</v>
      </c>
      <c r="J904" s="2">
        <f>VLOOKUP(A904,Planilha1!A:M,13,0)</f>
        <v>3049.3550806113421</v>
      </c>
      <c r="K904" s="10">
        <f t="shared" si="28"/>
        <v>809.10157478791689</v>
      </c>
      <c r="L904" s="10">
        <f t="shared" si="29"/>
        <v>746.75116860780872</v>
      </c>
    </row>
    <row r="905" spans="1:12" x14ac:dyDescent="0.25">
      <c r="A905" s="2">
        <v>1</v>
      </c>
      <c r="B905" s="4">
        <v>49</v>
      </c>
      <c r="C905" s="4">
        <v>36.9</v>
      </c>
      <c r="D905" s="4">
        <v>0</v>
      </c>
      <c r="E905" s="4" t="s">
        <v>11</v>
      </c>
      <c r="F905" s="4" t="s">
        <v>12</v>
      </c>
      <c r="G905" s="4" t="s">
        <v>13</v>
      </c>
      <c r="H905" s="4">
        <v>4436.40976792322</v>
      </c>
      <c r="I905" s="4">
        <v>4225.1521599268772</v>
      </c>
      <c r="J905" s="2">
        <f>VLOOKUP(A905,Planilha1!A:M,13,0)</f>
        <v>6326.3485212104815</v>
      </c>
      <c r="K905" s="10">
        <f t="shared" si="28"/>
        <v>1889.9387532872615</v>
      </c>
      <c r="L905" s="10">
        <f t="shared" si="29"/>
        <v>-211.25760799634281</v>
      </c>
    </row>
    <row r="906" spans="1:12" x14ac:dyDescent="0.25">
      <c r="A906" s="2">
        <v>1</v>
      </c>
      <c r="B906" s="4">
        <v>60</v>
      </c>
      <c r="C906" s="4">
        <v>35.1</v>
      </c>
      <c r="D906" s="4">
        <v>0</v>
      </c>
      <c r="E906" s="4" t="s">
        <v>8</v>
      </c>
      <c r="F906" s="4" t="s">
        <v>12</v>
      </c>
      <c r="G906" s="4" t="s">
        <v>10</v>
      </c>
      <c r="H906" s="4">
        <v>6012.9681288943502</v>
      </c>
      <c r="I906" s="4">
        <v>5726.636313232716</v>
      </c>
      <c r="J906" s="2">
        <f>VLOOKUP(A906,Planilha1!A:M,13,0)</f>
        <v>6326.3485212104815</v>
      </c>
      <c r="K906" s="10">
        <f t="shared" si="28"/>
        <v>313.38039231613129</v>
      </c>
      <c r="L906" s="10">
        <f t="shared" si="29"/>
        <v>-286.33181566163421</v>
      </c>
    </row>
    <row r="907" spans="1:12" x14ac:dyDescent="0.25">
      <c r="A907" s="2">
        <v>3</v>
      </c>
      <c r="B907" s="4">
        <v>26</v>
      </c>
      <c r="C907" s="4">
        <v>29.4</v>
      </c>
      <c r="D907" s="4">
        <v>2</v>
      </c>
      <c r="E907" s="4" t="s">
        <v>8</v>
      </c>
      <c r="F907" s="4" t="s">
        <v>12</v>
      </c>
      <c r="G907" s="4" t="s">
        <v>15</v>
      </c>
      <c r="H907" s="4">
        <v>1585.227713926452</v>
      </c>
      <c r="I907" s="4">
        <v>2113.6369519019358</v>
      </c>
      <c r="J907" s="2">
        <f>VLOOKUP(A907,Planilha1!A:M,13,0)</f>
        <v>3049.3550806113421</v>
      </c>
      <c r="K907" s="10">
        <f t="shared" si="28"/>
        <v>1464.1273666848901</v>
      </c>
      <c r="L907" s="10">
        <f t="shared" si="29"/>
        <v>528.40923797548385</v>
      </c>
    </row>
    <row r="908" spans="1:12" x14ac:dyDescent="0.25">
      <c r="A908" s="2">
        <v>3</v>
      </c>
      <c r="B908" s="4">
        <v>27</v>
      </c>
      <c r="C908" s="4">
        <v>32.6</v>
      </c>
      <c r="D908" s="4">
        <v>3</v>
      </c>
      <c r="E908" s="4" t="s">
        <v>11</v>
      </c>
      <c r="F908" s="4" t="s">
        <v>12</v>
      </c>
      <c r="G908" s="4" t="s">
        <v>15</v>
      </c>
      <c r="H908" s="4">
        <v>2614.464925958488</v>
      </c>
      <c r="I908" s="4">
        <v>3485.9532346113174</v>
      </c>
      <c r="J908" s="2">
        <f>VLOOKUP(A908,Planilha1!A:M,13,0)</f>
        <v>3049.3550806113421</v>
      </c>
      <c r="K908" s="10">
        <f t="shared" si="28"/>
        <v>434.89015465285411</v>
      </c>
      <c r="L908" s="10">
        <f t="shared" si="29"/>
        <v>871.48830865282935</v>
      </c>
    </row>
    <row r="909" spans="1:12" x14ac:dyDescent="0.25">
      <c r="A909" s="2">
        <v>1</v>
      </c>
      <c r="B909" s="4">
        <v>44</v>
      </c>
      <c r="C909" s="4">
        <v>32.299999999999997</v>
      </c>
      <c r="D909" s="4">
        <v>1</v>
      </c>
      <c r="E909" s="4" t="s">
        <v>8</v>
      </c>
      <c r="F909" s="4" t="s">
        <v>12</v>
      </c>
      <c r="G909" s="4" t="s">
        <v>13</v>
      </c>
      <c r="H909" s="4">
        <v>4109.7568910161099</v>
      </c>
      <c r="I909" s="4">
        <v>3914.0541819201062</v>
      </c>
      <c r="J909" s="2">
        <f>VLOOKUP(A909,Planilha1!A:M,13,0)</f>
        <v>6326.3485212104815</v>
      </c>
      <c r="K909" s="10">
        <f t="shared" si="28"/>
        <v>2216.5916301943716</v>
      </c>
      <c r="L909" s="10">
        <f t="shared" si="29"/>
        <v>-195.70270909600367</v>
      </c>
    </row>
    <row r="910" spans="1:12" x14ac:dyDescent="0.25">
      <c r="A910" s="2">
        <v>3</v>
      </c>
      <c r="B910" s="4">
        <v>63</v>
      </c>
      <c r="C910" s="4">
        <v>39.799999999999997</v>
      </c>
      <c r="D910" s="4">
        <v>3</v>
      </c>
      <c r="E910" s="4" t="s">
        <v>11</v>
      </c>
      <c r="F910" s="4" t="s">
        <v>12</v>
      </c>
      <c r="G910" s="4" t="s">
        <v>10</v>
      </c>
      <c r="H910" s="4">
        <v>2041.27937412242</v>
      </c>
      <c r="I910" s="4">
        <v>2721.7058321632267</v>
      </c>
      <c r="J910" s="2">
        <f>VLOOKUP(A910,Planilha1!A:M,13,0)</f>
        <v>3049.3550806113421</v>
      </c>
      <c r="K910" s="10">
        <f t="shared" si="28"/>
        <v>1008.0757064889222</v>
      </c>
      <c r="L910" s="10">
        <f t="shared" si="29"/>
        <v>680.42645804080666</v>
      </c>
    </row>
    <row r="911" spans="1:12" x14ac:dyDescent="0.25">
      <c r="A911" s="2">
        <v>2</v>
      </c>
      <c r="B911" s="4">
        <v>32</v>
      </c>
      <c r="C911" s="4">
        <v>21.4</v>
      </c>
      <c r="D911" s="4">
        <v>0</v>
      </c>
      <c r="E911" s="4" t="s">
        <v>8</v>
      </c>
      <c r="F911" s="4" t="s">
        <v>9</v>
      </c>
      <c r="G911" s="4" t="s">
        <v>10</v>
      </c>
      <c r="H911" s="4">
        <v>1541.8808218005881</v>
      </c>
      <c r="I911" s="4">
        <v>1813.9774374124572</v>
      </c>
      <c r="J911" s="2">
        <f>VLOOKUP(A911,Planilha1!A:M,13,0)</f>
        <v>3220.2324129890262</v>
      </c>
      <c r="K911" s="10">
        <f t="shared" si="28"/>
        <v>1678.3515911884381</v>
      </c>
      <c r="L911" s="10">
        <f t="shared" si="29"/>
        <v>272.09661561186908</v>
      </c>
    </row>
    <row r="912" spans="1:12" x14ac:dyDescent="0.25">
      <c r="A912" s="2">
        <v>0</v>
      </c>
      <c r="B912" s="4">
        <v>22</v>
      </c>
      <c r="C912" s="4">
        <v>23.7</v>
      </c>
      <c r="D912" s="4">
        <v>1</v>
      </c>
      <c r="E912" s="4" t="s">
        <v>11</v>
      </c>
      <c r="F912" s="4" t="s">
        <v>12</v>
      </c>
      <c r="G912" s="4" t="s">
        <v>14</v>
      </c>
      <c r="H912" s="4">
        <v>1534.1027111838162</v>
      </c>
      <c r="I912" s="4">
        <v>1804.8267190397846</v>
      </c>
      <c r="J912" s="2">
        <f>VLOOKUP(A912,Planilha1!A:M,13,0)</f>
        <v>2511.8220480829059</v>
      </c>
      <c r="K912" s="10">
        <f t="shared" si="28"/>
        <v>977.71933689908974</v>
      </c>
      <c r="L912" s="10">
        <f t="shared" si="29"/>
        <v>270.72400785596847</v>
      </c>
    </row>
    <row r="913" spans="1:12" x14ac:dyDescent="0.25">
      <c r="A913" s="2">
        <v>2</v>
      </c>
      <c r="B913" s="4">
        <v>18</v>
      </c>
      <c r="C913" s="4">
        <v>22.6</v>
      </c>
      <c r="D913" s="4">
        <v>0</v>
      </c>
      <c r="E913" s="4" t="s">
        <v>11</v>
      </c>
      <c r="F913" s="4" t="s">
        <v>9</v>
      </c>
      <c r="G913" s="4" t="s">
        <v>15</v>
      </c>
      <c r="H913" s="4">
        <v>1998.4173124363081</v>
      </c>
      <c r="I913" s="4">
        <v>2351.0791911015399</v>
      </c>
      <c r="J913" s="2">
        <f>VLOOKUP(A913,Planilha1!A:M,13,0)</f>
        <v>3220.2324129890262</v>
      </c>
      <c r="K913" s="10">
        <f t="shared" si="28"/>
        <v>1221.8151005527181</v>
      </c>
      <c r="L913" s="10">
        <f t="shared" si="29"/>
        <v>352.66187866523182</v>
      </c>
    </row>
    <row r="914" spans="1:12" x14ac:dyDescent="0.25">
      <c r="A914" s="2">
        <v>3</v>
      </c>
      <c r="B914" s="4">
        <v>59</v>
      </c>
      <c r="C914" s="4">
        <v>26.7</v>
      </c>
      <c r="D914" s="4">
        <v>3</v>
      </c>
      <c r="E914" s="4" t="s">
        <v>8</v>
      </c>
      <c r="F914" s="4" t="s">
        <v>12</v>
      </c>
      <c r="G914" s="4" t="s">
        <v>14</v>
      </c>
      <c r="H914" s="4">
        <v>3341.0974070636184</v>
      </c>
      <c r="I914" s="4">
        <v>4454.796542751491</v>
      </c>
      <c r="J914" s="2">
        <f>VLOOKUP(A914,Planilha1!A:M,13,0)</f>
        <v>3049.3550806113421</v>
      </c>
      <c r="K914" s="10">
        <f t="shared" si="28"/>
        <v>-291.7423264522763</v>
      </c>
      <c r="L914" s="10">
        <f t="shared" si="29"/>
        <v>1113.6991356878725</v>
      </c>
    </row>
    <row r="915" spans="1:12" x14ac:dyDescent="0.25">
      <c r="A915" s="2">
        <v>1</v>
      </c>
      <c r="B915" s="4">
        <v>44</v>
      </c>
      <c r="C915" s="4">
        <v>27.5</v>
      </c>
      <c r="D915" s="4">
        <v>1</v>
      </c>
      <c r="E915" s="4" t="s">
        <v>8</v>
      </c>
      <c r="F915" s="4" t="s">
        <v>12</v>
      </c>
      <c r="G915" s="4" t="s">
        <v>10</v>
      </c>
      <c r="H915" s="4">
        <v>4296.6906945975825</v>
      </c>
      <c r="I915" s="4">
        <v>4092.0863758072232</v>
      </c>
      <c r="J915" s="2">
        <f>VLOOKUP(A915,Planilha1!A:M,13,0)</f>
        <v>6326.3485212104815</v>
      </c>
      <c r="K915" s="10">
        <f t="shared" si="28"/>
        <v>2029.657826612899</v>
      </c>
      <c r="L915" s="10">
        <f t="shared" si="29"/>
        <v>-204.60431879035923</v>
      </c>
    </row>
    <row r="916" spans="1:12" x14ac:dyDescent="0.25">
      <c r="A916" s="2">
        <v>0</v>
      </c>
      <c r="B916" s="4">
        <v>33</v>
      </c>
      <c r="C916" s="4">
        <v>24.6</v>
      </c>
      <c r="D916" s="4">
        <v>2</v>
      </c>
      <c r="E916" s="4" t="s">
        <v>11</v>
      </c>
      <c r="F916" s="4" t="s">
        <v>12</v>
      </c>
      <c r="G916" s="4" t="s">
        <v>14</v>
      </c>
      <c r="H916" s="4">
        <v>1735.0251834684916</v>
      </c>
      <c r="I916" s="4">
        <v>2041.2060981982263</v>
      </c>
      <c r="J916" s="2">
        <f>VLOOKUP(A916,Planilha1!A:M,13,0)</f>
        <v>2511.8220480829059</v>
      </c>
      <c r="K916" s="10">
        <f t="shared" si="28"/>
        <v>776.79686461441429</v>
      </c>
      <c r="L916" s="10">
        <f t="shared" si="29"/>
        <v>306.1809147297347</v>
      </c>
    </row>
    <row r="917" spans="1:12" x14ac:dyDescent="0.25">
      <c r="A917" s="2">
        <v>0</v>
      </c>
      <c r="B917" s="4">
        <v>24</v>
      </c>
      <c r="C917" s="4">
        <v>23.4</v>
      </c>
      <c r="D917" s="4">
        <v>0</v>
      </c>
      <c r="E917" s="4" t="s">
        <v>8</v>
      </c>
      <c r="F917" s="4" t="s">
        <v>12</v>
      </c>
      <c r="G917" s="4" t="s">
        <v>13</v>
      </c>
      <c r="H917" s="4">
        <v>1380.7275967208204</v>
      </c>
      <c r="I917" s="4">
        <v>1624.3854079068483</v>
      </c>
      <c r="J917" s="2">
        <f>VLOOKUP(A917,Planilha1!A:M,13,0)</f>
        <v>2511.8220480829059</v>
      </c>
      <c r="K917" s="10">
        <f t="shared" si="28"/>
        <v>1131.0944513620855</v>
      </c>
      <c r="L917" s="10">
        <f t="shared" si="29"/>
        <v>243.65781118602786</v>
      </c>
    </row>
    <row r="918" spans="1:12" x14ac:dyDescent="0.25">
      <c r="A918" s="2">
        <v>2</v>
      </c>
      <c r="B918" s="4">
        <v>43</v>
      </c>
      <c r="C918" s="4">
        <v>26.9</v>
      </c>
      <c r="D918" s="4">
        <v>0</v>
      </c>
      <c r="E918" s="4" t="s">
        <v>8</v>
      </c>
      <c r="F918" s="4" t="s">
        <v>9</v>
      </c>
      <c r="G918" s="4" t="s">
        <v>14</v>
      </c>
      <c r="H918" s="4">
        <v>4053.2680383763895</v>
      </c>
      <c r="I918" s="4">
        <v>3860.255274644182</v>
      </c>
      <c r="J918" s="2">
        <f>VLOOKUP(A918,Planilha1!A:M,13,0)</f>
        <v>3220.2324129890262</v>
      </c>
      <c r="K918" s="10">
        <f t="shared" si="28"/>
        <v>-833.03562538736332</v>
      </c>
      <c r="L918" s="10">
        <f t="shared" si="29"/>
        <v>-193.01276373220753</v>
      </c>
    </row>
    <row r="919" spans="1:12" x14ac:dyDescent="0.25">
      <c r="A919" s="2">
        <v>2</v>
      </c>
      <c r="B919" s="4">
        <v>45</v>
      </c>
      <c r="C919" s="4">
        <v>22.9</v>
      </c>
      <c r="D919" s="4">
        <v>0</v>
      </c>
      <c r="E919" s="4" t="s">
        <v>11</v>
      </c>
      <c r="F919" s="4" t="s">
        <v>9</v>
      </c>
      <c r="G919" s="4" t="s">
        <v>15</v>
      </c>
      <c r="H919" s="4">
        <v>2601.9493778925053</v>
      </c>
      <c r="I919" s="4">
        <v>3061.1169151676531</v>
      </c>
      <c r="J919" s="2">
        <f>VLOOKUP(A919,Planilha1!A:M,13,0)</f>
        <v>3220.2324129890262</v>
      </c>
      <c r="K919" s="10">
        <f t="shared" si="28"/>
        <v>618.28303509652096</v>
      </c>
      <c r="L919" s="10">
        <f t="shared" si="29"/>
        <v>459.16753727514788</v>
      </c>
    </row>
    <row r="920" spans="1:12" x14ac:dyDescent="0.25">
      <c r="A920" s="2">
        <v>1</v>
      </c>
      <c r="B920" s="4">
        <v>61</v>
      </c>
      <c r="C920" s="4">
        <v>28.2</v>
      </c>
      <c r="D920" s="4">
        <v>0</v>
      </c>
      <c r="E920" s="4" t="s">
        <v>8</v>
      </c>
      <c r="F920" s="4" t="s">
        <v>12</v>
      </c>
      <c r="G920" s="4" t="s">
        <v>10</v>
      </c>
      <c r="H920" s="4">
        <v>4432.5202478847996</v>
      </c>
      <c r="I920" s="4">
        <v>4221.4478551283819</v>
      </c>
      <c r="J920" s="2">
        <f>VLOOKUP(A920,Planilha1!A:M,13,0)</f>
        <v>6326.3485212104815</v>
      </c>
      <c r="K920" s="10">
        <f t="shared" si="28"/>
        <v>1893.8282733256819</v>
      </c>
      <c r="L920" s="10">
        <f t="shared" si="29"/>
        <v>-211.07239275641768</v>
      </c>
    </row>
    <row r="921" spans="1:12" x14ac:dyDescent="0.25">
      <c r="A921" s="2">
        <v>0</v>
      </c>
      <c r="B921" s="4">
        <v>35</v>
      </c>
      <c r="C921" s="4">
        <v>24.3</v>
      </c>
      <c r="D921" s="4">
        <v>1</v>
      </c>
      <c r="E921" s="4" t="s">
        <v>8</v>
      </c>
      <c r="F921" s="4" t="s">
        <v>12</v>
      </c>
      <c r="G921" s="4" t="s">
        <v>13</v>
      </c>
      <c r="H921" s="4">
        <v>1813.5702782203157</v>
      </c>
      <c r="I921" s="4">
        <v>2133.6120920239018</v>
      </c>
      <c r="J921" s="2">
        <f>VLOOKUP(A921,Planilha1!A:M,13,0)</f>
        <v>2511.8220480829059</v>
      </c>
      <c r="K921" s="10">
        <f t="shared" si="28"/>
        <v>698.25176986259021</v>
      </c>
      <c r="L921" s="10">
        <f t="shared" si="29"/>
        <v>320.04181380358614</v>
      </c>
    </row>
    <row r="922" spans="1:12" x14ac:dyDescent="0.25">
      <c r="A922" s="2">
        <v>1</v>
      </c>
      <c r="B922" s="4">
        <v>62</v>
      </c>
      <c r="C922" s="4">
        <v>25</v>
      </c>
      <c r="D922" s="4">
        <v>0</v>
      </c>
      <c r="E922" s="4" t="s">
        <v>8</v>
      </c>
      <c r="F922" s="4" t="s">
        <v>12</v>
      </c>
      <c r="G922" s="4" t="s">
        <v>10</v>
      </c>
      <c r="H922" s="4">
        <v>5100.6437635844986</v>
      </c>
      <c r="I922" s="4">
        <v>4857.7559653185717</v>
      </c>
      <c r="J922" s="2">
        <f>VLOOKUP(A922,Planilha1!A:M,13,0)</f>
        <v>6326.3485212104815</v>
      </c>
      <c r="K922" s="10">
        <f t="shared" si="28"/>
        <v>1225.7047576259829</v>
      </c>
      <c r="L922" s="10">
        <f t="shared" si="29"/>
        <v>-242.8877982659269</v>
      </c>
    </row>
    <row r="923" spans="1:12" x14ac:dyDescent="0.25">
      <c r="A923" s="2">
        <v>1</v>
      </c>
      <c r="B923" s="4">
        <v>62</v>
      </c>
      <c r="C923" s="4">
        <v>33.200000000000003</v>
      </c>
      <c r="D923" s="4">
        <v>0</v>
      </c>
      <c r="E923" s="4" t="s">
        <v>8</v>
      </c>
      <c r="F923" s="4" t="s">
        <v>12</v>
      </c>
      <c r="G923" s="4" t="s">
        <v>10</v>
      </c>
      <c r="H923" s="4">
        <v>4228.9192311252118</v>
      </c>
      <c r="I923" s="4">
        <v>4027.5421248811558</v>
      </c>
      <c r="J923" s="2">
        <f>VLOOKUP(A923,Planilha1!A:M,13,0)</f>
        <v>6326.3485212104815</v>
      </c>
      <c r="K923" s="10">
        <f t="shared" si="28"/>
        <v>2097.4292900852697</v>
      </c>
      <c r="L923" s="10">
        <f t="shared" si="29"/>
        <v>-201.37710624405599</v>
      </c>
    </row>
    <row r="924" spans="1:12" x14ac:dyDescent="0.25">
      <c r="A924" s="2">
        <v>0</v>
      </c>
      <c r="B924" s="4">
        <v>38</v>
      </c>
      <c r="C924" s="4">
        <v>20.100000000000001</v>
      </c>
      <c r="D924" s="4">
        <v>1</v>
      </c>
      <c r="E924" s="4" t="s">
        <v>11</v>
      </c>
      <c r="F924" s="4" t="s">
        <v>12</v>
      </c>
      <c r="G924" s="4" t="s">
        <v>10</v>
      </c>
      <c r="H924" s="4">
        <v>2269.1801010436116</v>
      </c>
      <c r="I924" s="4">
        <v>2669.6236482866025</v>
      </c>
      <c r="J924" s="2">
        <f>VLOOKUP(A924,Planilha1!A:M,13,0)</f>
        <v>2511.8220480829059</v>
      </c>
      <c r="K924" s="10">
        <f t="shared" si="28"/>
        <v>242.64194703929434</v>
      </c>
      <c r="L924" s="10">
        <f t="shared" si="29"/>
        <v>400.44354724299092</v>
      </c>
    </row>
    <row r="925" spans="1:12" x14ac:dyDescent="0.25">
      <c r="A925" s="2">
        <v>0</v>
      </c>
      <c r="B925" s="4">
        <v>34</v>
      </c>
      <c r="C925" s="4">
        <v>25.3</v>
      </c>
      <c r="D925" s="4">
        <v>0</v>
      </c>
      <c r="E925" s="4" t="s">
        <v>11</v>
      </c>
      <c r="F925" s="4" t="s">
        <v>12</v>
      </c>
      <c r="G925" s="4" t="s">
        <v>14</v>
      </c>
      <c r="H925" s="4">
        <v>1696.2499266067309</v>
      </c>
      <c r="I925" s="4">
        <v>1995.588148949096</v>
      </c>
      <c r="J925" s="2">
        <f>VLOOKUP(A925,Planilha1!A:M,13,0)</f>
        <v>2511.8220480829059</v>
      </c>
      <c r="K925" s="10">
        <f t="shared" si="28"/>
        <v>815.57212147617497</v>
      </c>
      <c r="L925" s="10">
        <f t="shared" si="29"/>
        <v>299.33822234236504</v>
      </c>
    </row>
    <row r="926" spans="1:12" x14ac:dyDescent="0.25">
      <c r="A926" s="2">
        <v>0</v>
      </c>
      <c r="B926" s="4">
        <v>43</v>
      </c>
      <c r="C926" s="4">
        <v>23.2</v>
      </c>
      <c r="D926" s="4">
        <v>0</v>
      </c>
      <c r="E926" s="4" t="s">
        <v>11</v>
      </c>
      <c r="F926" s="4" t="s">
        <v>12</v>
      </c>
      <c r="G926" s="4" t="s">
        <v>10</v>
      </c>
      <c r="H926" s="4">
        <v>2117.85922397895</v>
      </c>
      <c r="I926" s="4">
        <v>2491.5990870340593</v>
      </c>
      <c r="J926" s="2">
        <f>VLOOKUP(A926,Planilha1!A:M,13,0)</f>
        <v>2511.8220480829059</v>
      </c>
      <c r="K926" s="10">
        <f t="shared" si="28"/>
        <v>393.96282410395588</v>
      </c>
      <c r="L926" s="10">
        <f t="shared" si="29"/>
        <v>373.73986305510925</v>
      </c>
    </row>
    <row r="927" spans="1:12" x14ac:dyDescent="0.25">
      <c r="A927" s="2">
        <v>3</v>
      </c>
      <c r="B927" s="4">
        <v>50</v>
      </c>
      <c r="C927" s="4">
        <v>32.1</v>
      </c>
      <c r="D927" s="4">
        <v>2</v>
      </c>
      <c r="E927" s="4" t="s">
        <v>11</v>
      </c>
      <c r="F927" s="4" t="s">
        <v>12</v>
      </c>
      <c r="G927" s="4" t="s">
        <v>15</v>
      </c>
      <c r="H927" s="4">
        <v>2245.3015663373535</v>
      </c>
      <c r="I927" s="4">
        <v>2993.735421783138</v>
      </c>
      <c r="J927" s="2">
        <f>VLOOKUP(A927,Planilha1!A:M,13,0)</f>
        <v>3049.3550806113421</v>
      </c>
      <c r="K927" s="10">
        <f t="shared" si="28"/>
        <v>804.05351427398864</v>
      </c>
      <c r="L927" s="10">
        <f t="shared" si="29"/>
        <v>748.4338554457845</v>
      </c>
    </row>
    <row r="928" spans="1:12" x14ac:dyDescent="0.25">
      <c r="A928" s="2">
        <v>0</v>
      </c>
      <c r="B928" s="4">
        <v>19</v>
      </c>
      <c r="C928" s="4">
        <v>24.4</v>
      </c>
      <c r="D928" s="4">
        <v>2</v>
      </c>
      <c r="E928" s="4" t="s">
        <v>8</v>
      </c>
      <c r="F928" s="4" t="s">
        <v>12</v>
      </c>
      <c r="G928" s="4" t="s">
        <v>10</v>
      </c>
      <c r="H928" s="4">
        <v>1648.1959790580615</v>
      </c>
      <c r="I928" s="4">
        <v>1939.0540930094849</v>
      </c>
      <c r="J928" s="2">
        <f>VLOOKUP(A928,Planilha1!A:M,13,0)</f>
        <v>2511.8220480829059</v>
      </c>
      <c r="K928" s="10">
        <f t="shared" si="28"/>
        <v>863.62606902484436</v>
      </c>
      <c r="L928" s="10">
        <f t="shared" si="29"/>
        <v>290.85811395142332</v>
      </c>
    </row>
    <row r="929" spans="1:12" x14ac:dyDescent="0.25">
      <c r="A929" s="2">
        <v>1</v>
      </c>
      <c r="B929" s="4">
        <v>57</v>
      </c>
      <c r="C929" s="4">
        <v>20.100000000000001</v>
      </c>
      <c r="D929" s="4">
        <v>1</v>
      </c>
      <c r="E929" s="4" t="s">
        <v>8</v>
      </c>
      <c r="F929" s="4" t="s">
        <v>12</v>
      </c>
      <c r="G929" s="4" t="s">
        <v>10</v>
      </c>
      <c r="H929" s="4">
        <v>4168.6197199582384</v>
      </c>
      <c r="I929" s="4">
        <v>3970.1140190078481</v>
      </c>
      <c r="J929" s="2">
        <f>VLOOKUP(A929,Planilha1!A:M,13,0)</f>
        <v>6326.3485212104815</v>
      </c>
      <c r="K929" s="10">
        <f t="shared" si="28"/>
        <v>2157.7288012522431</v>
      </c>
      <c r="L929" s="10">
        <f t="shared" si="29"/>
        <v>-198.50570095039029</v>
      </c>
    </row>
    <row r="930" spans="1:12" x14ac:dyDescent="0.25">
      <c r="A930" s="2">
        <v>1</v>
      </c>
      <c r="B930" s="4">
        <v>62</v>
      </c>
      <c r="C930" s="4">
        <v>39.200000000000003</v>
      </c>
      <c r="D930" s="4">
        <v>0</v>
      </c>
      <c r="E930" s="4" t="s">
        <v>8</v>
      </c>
      <c r="F930" s="4" t="s">
        <v>12</v>
      </c>
      <c r="G930" s="4" t="s">
        <v>13</v>
      </c>
      <c r="H930" s="4">
        <v>5104.0085723852189</v>
      </c>
      <c r="I930" s="4">
        <v>4860.9605451287807</v>
      </c>
      <c r="J930" s="2">
        <f>VLOOKUP(A930,Planilha1!A:M,13,0)</f>
        <v>6326.3485212104815</v>
      </c>
      <c r="K930" s="10">
        <f t="shared" si="28"/>
        <v>1222.3399488252626</v>
      </c>
      <c r="L930" s="10">
        <f t="shared" si="29"/>
        <v>-243.04802725643822</v>
      </c>
    </row>
    <row r="931" spans="1:12" x14ac:dyDescent="0.25">
      <c r="A931" s="2">
        <v>1</v>
      </c>
      <c r="B931" s="4">
        <v>41</v>
      </c>
      <c r="C931" s="4">
        <v>34.200000000000003</v>
      </c>
      <c r="D931" s="4">
        <v>1</v>
      </c>
      <c r="E931" s="4" t="s">
        <v>11</v>
      </c>
      <c r="F931" s="4" t="s">
        <v>12</v>
      </c>
      <c r="G931" s="4" t="s">
        <v>13</v>
      </c>
      <c r="H931" s="4">
        <v>5853.7689729516287</v>
      </c>
      <c r="I931" s="4">
        <v>5575.0180694777437</v>
      </c>
      <c r="J931" s="2">
        <f>VLOOKUP(A931,Planilha1!A:M,13,0)</f>
        <v>6326.3485212104815</v>
      </c>
      <c r="K931" s="10">
        <f t="shared" si="28"/>
        <v>472.57954825885281</v>
      </c>
      <c r="L931" s="10">
        <f t="shared" si="29"/>
        <v>-278.75090347388505</v>
      </c>
    </row>
    <row r="932" spans="1:12" x14ac:dyDescent="0.25">
      <c r="A932" s="2">
        <v>0</v>
      </c>
      <c r="B932" s="4">
        <v>26</v>
      </c>
      <c r="C932" s="4">
        <v>24.8</v>
      </c>
      <c r="D932" s="4">
        <v>1</v>
      </c>
      <c r="E932" s="4" t="s">
        <v>11</v>
      </c>
      <c r="F932" s="4" t="s">
        <v>12</v>
      </c>
      <c r="G932" s="4" t="s">
        <v>13</v>
      </c>
      <c r="H932" s="4">
        <v>2159.4985021787834</v>
      </c>
      <c r="I932" s="4">
        <v>2540.5864731515107</v>
      </c>
      <c r="J932" s="2">
        <f>VLOOKUP(A932,Planilha1!A:M,13,0)</f>
        <v>2511.8220480829059</v>
      </c>
      <c r="K932" s="10">
        <f t="shared" si="28"/>
        <v>352.32354590412251</v>
      </c>
      <c r="L932" s="10">
        <f t="shared" si="29"/>
        <v>381.08797097272736</v>
      </c>
    </row>
    <row r="933" spans="1:12" x14ac:dyDescent="0.25">
      <c r="A933" s="2">
        <v>1</v>
      </c>
      <c r="B933" s="4">
        <v>39</v>
      </c>
      <c r="C933" s="4">
        <v>32.5</v>
      </c>
      <c r="D933" s="4">
        <v>1</v>
      </c>
      <c r="E933" s="4" t="s">
        <v>8</v>
      </c>
      <c r="F933" s="4" t="s">
        <v>12</v>
      </c>
      <c r="G933" s="4" t="s">
        <v>10</v>
      </c>
      <c r="H933" s="4">
        <v>4738.7862707587701</v>
      </c>
      <c r="I933" s="4">
        <v>4513.1297816750211</v>
      </c>
      <c r="J933" s="2">
        <f>VLOOKUP(A933,Planilha1!A:M,13,0)</f>
        <v>6326.3485212104815</v>
      </c>
      <c r="K933" s="10">
        <f t="shared" si="28"/>
        <v>1587.5622504517114</v>
      </c>
      <c r="L933" s="10">
        <f t="shared" si="29"/>
        <v>-225.65648908374897</v>
      </c>
    </row>
    <row r="934" spans="1:12" x14ac:dyDescent="0.25">
      <c r="A934" s="2">
        <v>3</v>
      </c>
      <c r="B934" s="4">
        <v>46</v>
      </c>
      <c r="C934" s="4">
        <v>25.8</v>
      </c>
      <c r="D934" s="4">
        <v>5</v>
      </c>
      <c r="E934" s="4" t="s">
        <v>11</v>
      </c>
      <c r="F934" s="4" t="s">
        <v>12</v>
      </c>
      <c r="G934" s="4" t="s">
        <v>10</v>
      </c>
      <c r="H934" s="4">
        <v>2908.8249599751643</v>
      </c>
      <c r="I934" s="4">
        <v>3878.4332799668859</v>
      </c>
      <c r="J934" s="2">
        <f>VLOOKUP(A934,Planilha1!A:M,13,0)</f>
        <v>3049.3550806113421</v>
      </c>
      <c r="K934" s="10">
        <f t="shared" si="28"/>
        <v>140.5301206361778</v>
      </c>
      <c r="L934" s="10">
        <f t="shared" si="29"/>
        <v>969.6083199917216</v>
      </c>
    </row>
    <row r="935" spans="1:12" x14ac:dyDescent="0.25">
      <c r="A935" s="2">
        <v>1</v>
      </c>
      <c r="B935" s="4">
        <v>45</v>
      </c>
      <c r="C935" s="4">
        <v>35.299999999999997</v>
      </c>
      <c r="D935" s="4">
        <v>0</v>
      </c>
      <c r="E935" s="4" t="s">
        <v>8</v>
      </c>
      <c r="F935" s="4" t="s">
        <v>12</v>
      </c>
      <c r="G935" s="4" t="s">
        <v>10</v>
      </c>
      <c r="H935" s="4">
        <v>4634.197722805704</v>
      </c>
      <c r="I935" s="4">
        <v>4413.5216407673397</v>
      </c>
      <c r="J935" s="2">
        <f>VLOOKUP(A935,Planilha1!A:M,13,0)</f>
        <v>6326.3485212104815</v>
      </c>
      <c r="K935" s="10">
        <f t="shared" si="28"/>
        <v>1692.1507984047776</v>
      </c>
      <c r="L935" s="10">
        <f t="shared" si="29"/>
        <v>-220.67608203836426</v>
      </c>
    </row>
    <row r="936" spans="1:12" x14ac:dyDescent="0.25">
      <c r="A936" s="2">
        <v>3</v>
      </c>
      <c r="B936" s="4">
        <v>32</v>
      </c>
      <c r="C936" s="4">
        <v>37.200000000000003</v>
      </c>
      <c r="D936" s="4">
        <v>2</v>
      </c>
      <c r="E936" s="4" t="s">
        <v>11</v>
      </c>
      <c r="F936" s="4" t="s">
        <v>12</v>
      </c>
      <c r="G936" s="4" t="s">
        <v>13</v>
      </c>
      <c r="H936" s="4">
        <v>1195.1144418859617</v>
      </c>
      <c r="I936" s="4">
        <v>1593.4859225146156</v>
      </c>
      <c r="J936" s="2">
        <f>VLOOKUP(A936,Planilha1!A:M,13,0)</f>
        <v>3049.3550806113421</v>
      </c>
      <c r="K936" s="10">
        <f t="shared" si="28"/>
        <v>1854.2406387253804</v>
      </c>
      <c r="L936" s="10">
        <f t="shared" si="29"/>
        <v>398.3714806286539</v>
      </c>
    </row>
    <row r="937" spans="1:12" x14ac:dyDescent="0.25">
      <c r="A937" s="2">
        <v>1</v>
      </c>
      <c r="B937" s="4">
        <v>59</v>
      </c>
      <c r="C937" s="4">
        <v>27.5</v>
      </c>
      <c r="D937" s="4">
        <v>0</v>
      </c>
      <c r="E937" s="4" t="s">
        <v>8</v>
      </c>
      <c r="F937" s="4" t="s">
        <v>12</v>
      </c>
      <c r="G937" s="4" t="s">
        <v>10</v>
      </c>
      <c r="H937" s="4">
        <v>3748.0907580991352</v>
      </c>
      <c r="I937" s="4">
        <v>3569.6102458087016</v>
      </c>
      <c r="J937" s="2">
        <f>VLOOKUP(A937,Planilha1!A:M,13,0)</f>
        <v>6326.3485212104815</v>
      </c>
      <c r="K937" s="10">
        <f t="shared" si="28"/>
        <v>2578.2577631113463</v>
      </c>
      <c r="L937" s="10">
        <f t="shared" si="29"/>
        <v>-178.48051229043358</v>
      </c>
    </row>
    <row r="938" spans="1:12" x14ac:dyDescent="0.25">
      <c r="A938" s="2">
        <v>3</v>
      </c>
      <c r="B938" s="4">
        <v>44</v>
      </c>
      <c r="C938" s="4">
        <v>29.7</v>
      </c>
      <c r="D938" s="4">
        <v>2</v>
      </c>
      <c r="E938" s="4" t="s">
        <v>11</v>
      </c>
      <c r="F938" s="4" t="s">
        <v>12</v>
      </c>
      <c r="G938" s="4" t="s">
        <v>15</v>
      </c>
      <c r="H938" s="4">
        <v>1991.7343408332922</v>
      </c>
      <c r="I938" s="4">
        <v>2655.6457877777229</v>
      </c>
      <c r="J938" s="2">
        <f>VLOOKUP(A938,Planilha1!A:M,13,0)</f>
        <v>3049.3550806113421</v>
      </c>
      <c r="K938" s="10">
        <f t="shared" si="28"/>
        <v>1057.6207397780499</v>
      </c>
      <c r="L938" s="10">
        <f t="shared" si="29"/>
        <v>663.91144694443074</v>
      </c>
    </row>
    <row r="939" spans="1:12" x14ac:dyDescent="0.25">
      <c r="A939" s="2">
        <v>3</v>
      </c>
      <c r="B939" s="4">
        <v>39</v>
      </c>
      <c r="C939" s="4">
        <v>24.2</v>
      </c>
      <c r="D939" s="4">
        <v>5</v>
      </c>
      <c r="E939" s="4" t="s">
        <v>8</v>
      </c>
      <c r="F939" s="4" t="s">
        <v>12</v>
      </c>
      <c r="G939" s="4" t="s">
        <v>14</v>
      </c>
      <c r="H939" s="4">
        <v>2045.1336893124837</v>
      </c>
      <c r="I939" s="4">
        <v>2726.8449190833117</v>
      </c>
      <c r="J939" s="2">
        <f>VLOOKUP(A939,Planilha1!A:M,13,0)</f>
        <v>3049.3550806113421</v>
      </c>
      <c r="K939" s="10">
        <f t="shared" si="28"/>
        <v>1004.2213912988584</v>
      </c>
      <c r="L939" s="10">
        <f t="shared" si="29"/>
        <v>681.71122977082791</v>
      </c>
    </row>
    <row r="940" spans="1:12" x14ac:dyDescent="0.25">
      <c r="A940" s="2">
        <v>0</v>
      </c>
      <c r="B940" s="4">
        <v>18</v>
      </c>
      <c r="C940" s="4">
        <v>24.1</v>
      </c>
      <c r="D940" s="4">
        <v>2</v>
      </c>
      <c r="E940" s="4" t="s">
        <v>11</v>
      </c>
      <c r="F940" s="4" t="s">
        <v>12</v>
      </c>
      <c r="G940" s="4" t="s">
        <v>13</v>
      </c>
      <c r="H940" s="4">
        <v>1993.5286535701073</v>
      </c>
      <c r="I940" s="4">
        <v>2345.327827729539</v>
      </c>
      <c r="J940" s="2">
        <f>VLOOKUP(A940,Planilha1!A:M,13,0)</f>
        <v>2511.8220480829059</v>
      </c>
      <c r="K940" s="10">
        <f t="shared" si="28"/>
        <v>518.29339451279861</v>
      </c>
      <c r="L940" s="10">
        <f t="shared" si="29"/>
        <v>351.79917415943169</v>
      </c>
    </row>
    <row r="941" spans="1:12" x14ac:dyDescent="0.25">
      <c r="A941" s="2">
        <v>1</v>
      </c>
      <c r="B941" s="4">
        <v>53</v>
      </c>
      <c r="C941" s="4">
        <v>29.5</v>
      </c>
      <c r="D941" s="4">
        <v>0</v>
      </c>
      <c r="E941" s="4" t="s">
        <v>11</v>
      </c>
      <c r="F941" s="4" t="s">
        <v>12</v>
      </c>
      <c r="G941" s="4" t="s">
        <v>13</v>
      </c>
      <c r="H941" s="4">
        <v>4305.9896667013745</v>
      </c>
      <c r="I941" s="4">
        <v>4100.9425397155965</v>
      </c>
      <c r="J941" s="2">
        <f>VLOOKUP(A941,Planilha1!A:M,13,0)</f>
        <v>6326.3485212104815</v>
      </c>
      <c r="K941" s="10">
        <f t="shared" si="28"/>
        <v>2020.358854509107</v>
      </c>
      <c r="L941" s="10">
        <f t="shared" si="29"/>
        <v>-205.04712698577805</v>
      </c>
    </row>
    <row r="942" spans="1:12" x14ac:dyDescent="0.25">
      <c r="A942" s="2">
        <v>0</v>
      </c>
      <c r="B942" s="4">
        <v>18</v>
      </c>
      <c r="C942" s="4">
        <v>21.9</v>
      </c>
      <c r="D942" s="4">
        <v>0</v>
      </c>
      <c r="E942" s="4" t="s">
        <v>11</v>
      </c>
      <c r="F942" s="4" t="s">
        <v>12</v>
      </c>
      <c r="G942" s="4" t="s">
        <v>13</v>
      </c>
      <c r="H942" s="4">
        <v>1726.6036829724653</v>
      </c>
      <c r="I942" s="4">
        <v>2031.2984505558422</v>
      </c>
      <c r="J942" s="2">
        <f>VLOOKUP(A942,Planilha1!A:M,13,0)</f>
        <v>2511.8220480829059</v>
      </c>
      <c r="K942" s="10">
        <f t="shared" si="28"/>
        <v>785.21836511044057</v>
      </c>
      <c r="L942" s="10">
        <f t="shared" si="29"/>
        <v>304.69476758337692</v>
      </c>
    </row>
    <row r="943" spans="1:12" x14ac:dyDescent="0.25">
      <c r="A943" s="2">
        <v>1</v>
      </c>
      <c r="B943" s="4">
        <v>50</v>
      </c>
      <c r="C943" s="4">
        <v>46.1</v>
      </c>
      <c r="D943" s="4">
        <v>1</v>
      </c>
      <c r="E943" s="4" t="s">
        <v>8</v>
      </c>
      <c r="F943" s="4" t="s">
        <v>12</v>
      </c>
      <c r="G943" s="4" t="s">
        <v>13</v>
      </c>
      <c r="H943" s="4">
        <v>4766.0691013072192</v>
      </c>
      <c r="I943" s="4">
        <v>4539.1134298164015</v>
      </c>
      <c r="J943" s="2">
        <f>VLOOKUP(A943,Planilha1!A:M,13,0)</f>
        <v>6326.3485212104815</v>
      </c>
      <c r="K943" s="10">
        <f t="shared" si="28"/>
        <v>1560.2794199032624</v>
      </c>
      <c r="L943" s="10">
        <f t="shared" si="29"/>
        <v>-226.95567149081762</v>
      </c>
    </row>
    <row r="944" spans="1:12" x14ac:dyDescent="0.25">
      <c r="A944" s="2">
        <v>0</v>
      </c>
      <c r="B944" s="4">
        <v>18</v>
      </c>
      <c r="C944" s="4">
        <v>20.6</v>
      </c>
      <c r="D944" s="4">
        <v>0</v>
      </c>
      <c r="E944" s="4" t="s">
        <v>8</v>
      </c>
      <c r="F944" s="4" t="s">
        <v>12</v>
      </c>
      <c r="G944" s="4" t="s">
        <v>15</v>
      </c>
      <c r="H944" s="4">
        <v>1771.6485956756085</v>
      </c>
      <c r="I944" s="4">
        <v>2084.2924655007164</v>
      </c>
      <c r="J944" s="2">
        <f>VLOOKUP(A944,Planilha1!A:M,13,0)</f>
        <v>2511.8220480829059</v>
      </c>
      <c r="K944" s="10">
        <f t="shared" si="28"/>
        <v>740.17345240729742</v>
      </c>
      <c r="L944" s="10">
        <f t="shared" si="29"/>
        <v>312.64386982510791</v>
      </c>
    </row>
    <row r="945" spans="1:12" x14ac:dyDescent="0.25">
      <c r="A945" s="2">
        <v>0</v>
      </c>
      <c r="B945" s="4">
        <v>19</v>
      </c>
      <c r="C945" s="4">
        <v>25.9</v>
      </c>
      <c r="D945" s="4">
        <v>0</v>
      </c>
      <c r="E945" s="4" t="s">
        <v>11</v>
      </c>
      <c r="F945" s="4" t="s">
        <v>12</v>
      </c>
      <c r="G945" s="4" t="s">
        <v>14</v>
      </c>
      <c r="H945" s="4">
        <v>2420.9035345758966</v>
      </c>
      <c r="I945" s="4">
        <v>2848.1218053834082</v>
      </c>
      <c r="J945" s="2">
        <f>VLOOKUP(A945,Planilha1!A:M,13,0)</f>
        <v>2511.8220480829059</v>
      </c>
      <c r="K945" s="10">
        <f t="shared" si="28"/>
        <v>90.918513507009266</v>
      </c>
      <c r="L945" s="10">
        <f t="shared" si="29"/>
        <v>427.21827080751154</v>
      </c>
    </row>
    <row r="946" spans="1:12" x14ac:dyDescent="0.25">
      <c r="A946" s="2">
        <v>1</v>
      </c>
      <c r="B946" s="4">
        <v>62</v>
      </c>
      <c r="C946" s="4">
        <v>39.9</v>
      </c>
      <c r="D946" s="4">
        <v>0</v>
      </c>
      <c r="E946" s="4" t="s">
        <v>11</v>
      </c>
      <c r="F946" s="4" t="s">
        <v>12</v>
      </c>
      <c r="G946" s="4" t="s">
        <v>13</v>
      </c>
      <c r="H946" s="4">
        <v>5641.0042762441126</v>
      </c>
      <c r="I946" s="4">
        <v>5372.3850249943953</v>
      </c>
      <c r="J946" s="2">
        <f>VLOOKUP(A946,Planilha1!A:M,13,0)</f>
        <v>6326.3485212104815</v>
      </c>
      <c r="K946" s="10">
        <f t="shared" si="28"/>
        <v>685.34424496636893</v>
      </c>
      <c r="L946" s="10">
        <f t="shared" si="29"/>
        <v>-268.61925124971731</v>
      </c>
    </row>
    <row r="947" spans="1:12" x14ac:dyDescent="0.25">
      <c r="A947" s="2">
        <v>1</v>
      </c>
      <c r="B947" s="4">
        <v>56</v>
      </c>
      <c r="C947" s="4">
        <v>35.799999999999997</v>
      </c>
      <c r="D947" s="4">
        <v>1</v>
      </c>
      <c r="E947" s="4" t="s">
        <v>8</v>
      </c>
      <c r="F947" s="4" t="s">
        <v>12</v>
      </c>
      <c r="G947" s="4" t="s">
        <v>10</v>
      </c>
      <c r="H947" s="4">
        <v>5114.507183024185</v>
      </c>
      <c r="I947" s="4">
        <v>4870.9592219277965</v>
      </c>
      <c r="J947" s="2">
        <f>VLOOKUP(A947,Planilha1!A:M,13,0)</f>
        <v>6326.3485212104815</v>
      </c>
      <c r="K947" s="10">
        <f t="shared" si="28"/>
        <v>1211.8413381862965</v>
      </c>
      <c r="L947" s="10">
        <f t="shared" si="29"/>
        <v>-243.54796109638846</v>
      </c>
    </row>
    <row r="948" spans="1:12" x14ac:dyDescent="0.25">
      <c r="A948" s="2">
        <v>3</v>
      </c>
      <c r="B948" s="4">
        <v>42</v>
      </c>
      <c r="C948" s="4">
        <v>35.799999999999997</v>
      </c>
      <c r="D948" s="4">
        <v>2</v>
      </c>
      <c r="E948" s="4" t="s">
        <v>11</v>
      </c>
      <c r="F948" s="4" t="s">
        <v>12</v>
      </c>
      <c r="G948" s="4" t="s">
        <v>10</v>
      </c>
      <c r="H948" s="4">
        <v>1482.1605114776703</v>
      </c>
      <c r="I948" s="4">
        <v>1976.2140153035602</v>
      </c>
      <c r="J948" s="2">
        <f>VLOOKUP(A948,Planilha1!A:M,13,0)</f>
        <v>3049.3550806113421</v>
      </c>
      <c r="K948" s="10">
        <f t="shared" si="28"/>
        <v>1567.1945691336718</v>
      </c>
      <c r="L948" s="10">
        <f t="shared" si="29"/>
        <v>494.05350382588995</v>
      </c>
    </row>
    <row r="949" spans="1:12" x14ac:dyDescent="0.25">
      <c r="A949" s="2">
        <v>2</v>
      </c>
      <c r="B949" s="4">
        <v>37</v>
      </c>
      <c r="C949" s="4">
        <v>23.2</v>
      </c>
      <c r="D949" s="4">
        <v>1</v>
      </c>
      <c r="E949" s="4" t="s">
        <v>11</v>
      </c>
      <c r="F949" s="4" t="s">
        <v>9</v>
      </c>
      <c r="G949" s="4" t="s">
        <v>15</v>
      </c>
      <c r="H949" s="4">
        <v>2072.9486054546269</v>
      </c>
      <c r="I949" s="4">
        <v>2438.7630652407383</v>
      </c>
      <c r="J949" s="2">
        <f>VLOOKUP(A949,Planilha1!A:M,13,0)</f>
        <v>3220.2324129890262</v>
      </c>
      <c r="K949" s="10">
        <f t="shared" si="28"/>
        <v>1147.2838075343993</v>
      </c>
      <c r="L949" s="10">
        <f t="shared" si="29"/>
        <v>365.81445978611146</v>
      </c>
    </row>
    <row r="950" spans="1:12" x14ac:dyDescent="0.25">
      <c r="A950" s="2">
        <v>1</v>
      </c>
      <c r="B950" s="4">
        <v>42</v>
      </c>
      <c r="C950" s="4">
        <v>31.3</v>
      </c>
      <c r="D950" s="4">
        <v>0</v>
      </c>
      <c r="E950" s="4" t="s">
        <v>11</v>
      </c>
      <c r="F950" s="4" t="s">
        <v>12</v>
      </c>
      <c r="G950" s="4" t="s">
        <v>14</v>
      </c>
      <c r="H950" s="4">
        <v>5129.0195165136211</v>
      </c>
      <c r="I950" s="4">
        <v>4884.7804919177361</v>
      </c>
      <c r="J950" s="2">
        <f>VLOOKUP(A950,Planilha1!A:M,13,0)</f>
        <v>6326.3485212104815</v>
      </c>
      <c r="K950" s="10">
        <f t="shared" si="28"/>
        <v>1197.3290046968605</v>
      </c>
      <c r="L950" s="10">
        <f t="shared" si="29"/>
        <v>-244.23902459588498</v>
      </c>
    </row>
    <row r="951" spans="1:12" x14ac:dyDescent="0.25">
      <c r="A951" s="2">
        <v>2</v>
      </c>
      <c r="B951" s="4">
        <v>25</v>
      </c>
      <c r="C951" s="4">
        <v>29.7</v>
      </c>
      <c r="D951" s="4">
        <v>3</v>
      </c>
      <c r="E951" s="4" t="s">
        <v>11</v>
      </c>
      <c r="F951" s="4" t="s">
        <v>9</v>
      </c>
      <c r="G951" s="4" t="s">
        <v>10</v>
      </c>
      <c r="H951" s="4">
        <v>1379.3314107734902</v>
      </c>
      <c r="I951" s="4">
        <v>1839.108547697987</v>
      </c>
      <c r="J951" s="2">
        <f>VLOOKUP(A951,Planilha1!A:M,13,0)</f>
        <v>3220.2324129890262</v>
      </c>
      <c r="K951" s="10">
        <f t="shared" si="28"/>
        <v>1840.901002215536</v>
      </c>
      <c r="L951" s="10">
        <f t="shared" si="29"/>
        <v>459.77713692449674</v>
      </c>
    </row>
    <row r="952" spans="1:12" x14ac:dyDescent="0.25">
      <c r="A952" s="2">
        <v>1</v>
      </c>
      <c r="B952" s="4">
        <v>57</v>
      </c>
      <c r="C952" s="4">
        <v>18.3</v>
      </c>
      <c r="D952" s="4">
        <v>0</v>
      </c>
      <c r="E952" s="4" t="s">
        <v>11</v>
      </c>
      <c r="F952" s="4" t="s">
        <v>12</v>
      </c>
      <c r="G952" s="4" t="s">
        <v>15</v>
      </c>
      <c r="H952" s="4">
        <v>4455.784174969016</v>
      </c>
      <c r="I952" s="4">
        <v>4243.6039761609682</v>
      </c>
      <c r="J952" s="2">
        <f>VLOOKUP(A952,Planilha1!A:M,13,0)</f>
        <v>6326.3485212104815</v>
      </c>
      <c r="K952" s="10">
        <f t="shared" si="28"/>
        <v>1870.5643462414655</v>
      </c>
      <c r="L952" s="10">
        <f t="shared" si="29"/>
        <v>-212.18019880804786</v>
      </c>
    </row>
    <row r="953" spans="1:12" x14ac:dyDescent="0.25">
      <c r="A953" s="2">
        <v>2</v>
      </c>
      <c r="B953" s="4">
        <v>51</v>
      </c>
      <c r="C953" s="4">
        <v>42.9</v>
      </c>
      <c r="D953" s="4">
        <v>2</v>
      </c>
      <c r="E953" s="4" t="s">
        <v>11</v>
      </c>
      <c r="F953" s="4" t="s">
        <v>9</v>
      </c>
      <c r="G953" s="4" t="s">
        <v>13</v>
      </c>
      <c r="H953" s="4">
        <v>1486.3025655177278</v>
      </c>
      <c r="I953" s="4">
        <v>1981.7367540236371</v>
      </c>
      <c r="J953" s="2">
        <f>VLOOKUP(A953,Planilha1!A:M,13,0)</f>
        <v>3220.2324129890262</v>
      </c>
      <c r="K953" s="10">
        <f t="shared" si="28"/>
        <v>1733.9298474712984</v>
      </c>
      <c r="L953" s="10">
        <f t="shared" si="29"/>
        <v>495.43418850590933</v>
      </c>
    </row>
    <row r="954" spans="1:12" x14ac:dyDescent="0.25">
      <c r="A954" s="2">
        <v>0</v>
      </c>
      <c r="B954" s="4">
        <v>30</v>
      </c>
      <c r="C954" s="4">
        <v>22.9</v>
      </c>
      <c r="D954" s="4">
        <v>1</v>
      </c>
      <c r="E954" s="4" t="s">
        <v>8</v>
      </c>
      <c r="F954" s="4" t="s">
        <v>12</v>
      </c>
      <c r="G954" s="4" t="s">
        <v>14</v>
      </c>
      <c r="H954" s="4">
        <v>1887.3664341826695</v>
      </c>
      <c r="I954" s="4">
        <v>2220.4310990384356</v>
      </c>
      <c r="J954" s="2">
        <f>VLOOKUP(A954,Planilha1!A:M,13,0)</f>
        <v>2511.8220480829059</v>
      </c>
      <c r="K954" s="10">
        <f t="shared" si="28"/>
        <v>624.45561390023636</v>
      </c>
      <c r="L954" s="10">
        <f t="shared" si="29"/>
        <v>333.06466485576607</v>
      </c>
    </row>
    <row r="955" spans="1:12" x14ac:dyDescent="0.25">
      <c r="A955" s="2">
        <v>2</v>
      </c>
      <c r="B955" s="4">
        <v>44</v>
      </c>
      <c r="C955" s="4">
        <v>30.2</v>
      </c>
      <c r="D955" s="4">
        <v>2</v>
      </c>
      <c r="E955" s="4" t="s">
        <v>11</v>
      </c>
      <c r="F955" s="4" t="s">
        <v>9</v>
      </c>
      <c r="G955" s="4" t="s">
        <v>10</v>
      </c>
      <c r="H955" s="4">
        <v>2614.4294681652291</v>
      </c>
      <c r="I955" s="4">
        <v>3485.9059575536389</v>
      </c>
      <c r="J955" s="2">
        <f>VLOOKUP(A955,Planilha1!A:M,13,0)</f>
        <v>3220.2324129890262</v>
      </c>
      <c r="K955" s="10">
        <f t="shared" si="28"/>
        <v>605.80294482379713</v>
      </c>
      <c r="L955" s="10">
        <f t="shared" si="29"/>
        <v>871.47648938840985</v>
      </c>
    </row>
    <row r="956" spans="1:12" x14ac:dyDescent="0.25">
      <c r="A956" s="2">
        <v>2</v>
      </c>
      <c r="B956" s="4">
        <v>34</v>
      </c>
      <c r="C956" s="4">
        <v>21</v>
      </c>
      <c r="D956" s="4">
        <v>1</v>
      </c>
      <c r="E956" s="4" t="s">
        <v>11</v>
      </c>
      <c r="F956" s="4" t="s">
        <v>9</v>
      </c>
      <c r="G956" s="4" t="s">
        <v>14</v>
      </c>
      <c r="H956" s="4">
        <v>1969.7855385426235</v>
      </c>
      <c r="I956" s="4">
        <v>2317.3947512266168</v>
      </c>
      <c r="J956" s="2">
        <f>VLOOKUP(A956,Planilha1!A:M,13,0)</f>
        <v>3220.2324129890262</v>
      </c>
      <c r="K956" s="10">
        <f t="shared" si="28"/>
        <v>1250.4468744464027</v>
      </c>
      <c r="L956" s="10">
        <f t="shared" si="29"/>
        <v>347.60921268399329</v>
      </c>
    </row>
    <row r="957" spans="1:12" x14ac:dyDescent="0.25">
      <c r="A957" s="2">
        <v>0</v>
      </c>
      <c r="B957" s="4">
        <v>31</v>
      </c>
      <c r="C957" s="4">
        <v>24.5</v>
      </c>
      <c r="D957" s="4">
        <v>1</v>
      </c>
      <c r="E957" s="4" t="s">
        <v>11</v>
      </c>
      <c r="F957" s="4" t="s">
        <v>12</v>
      </c>
      <c r="G957" s="4" t="s">
        <v>13</v>
      </c>
      <c r="H957" s="4">
        <v>1389.7174870067754</v>
      </c>
      <c r="I957" s="4">
        <v>1634.9617494197364</v>
      </c>
      <c r="J957" s="2">
        <f>VLOOKUP(A957,Planilha1!A:M,13,0)</f>
        <v>2511.8220480829059</v>
      </c>
      <c r="K957" s="10">
        <f t="shared" si="28"/>
        <v>1122.1045610761305</v>
      </c>
      <c r="L957" s="10">
        <f t="shared" si="29"/>
        <v>245.24426241296101</v>
      </c>
    </row>
    <row r="958" spans="1:12" x14ac:dyDescent="0.25">
      <c r="A958" s="2">
        <v>2</v>
      </c>
      <c r="B958" s="4">
        <v>54</v>
      </c>
      <c r="C958" s="4">
        <v>30.8</v>
      </c>
      <c r="D958" s="4">
        <v>1</v>
      </c>
      <c r="E958" s="4" t="s">
        <v>11</v>
      </c>
      <c r="F958" s="4" t="s">
        <v>9</v>
      </c>
      <c r="G958" s="4" t="s">
        <v>13</v>
      </c>
      <c r="H958" s="4">
        <v>4704.9505413290435</v>
      </c>
      <c r="I958" s="4">
        <v>4480.9052774562333</v>
      </c>
      <c r="J958" s="2">
        <f>VLOOKUP(A958,Planilha1!A:M,13,0)</f>
        <v>3220.2324129890262</v>
      </c>
      <c r="K958" s="10">
        <f t="shared" si="28"/>
        <v>-1484.7181283400173</v>
      </c>
      <c r="L958" s="10">
        <f t="shared" si="29"/>
        <v>-224.04526387281021</v>
      </c>
    </row>
    <row r="959" spans="1:12" x14ac:dyDescent="0.25">
      <c r="A959" s="2">
        <v>0</v>
      </c>
      <c r="B959" s="4">
        <v>24</v>
      </c>
      <c r="C959" s="4">
        <v>21.8</v>
      </c>
      <c r="D959" s="4">
        <v>1</v>
      </c>
      <c r="E959" s="4" t="s">
        <v>11</v>
      </c>
      <c r="F959" s="4" t="s">
        <v>12</v>
      </c>
      <c r="G959" s="4" t="s">
        <v>14</v>
      </c>
      <c r="H959" s="4">
        <v>1496.7532740311417</v>
      </c>
      <c r="I959" s="4">
        <v>1760.8862047425202</v>
      </c>
      <c r="J959" s="2">
        <f>VLOOKUP(A959,Planilha1!A:M,13,0)</f>
        <v>2511.8220480829059</v>
      </c>
      <c r="K959" s="10">
        <f t="shared" si="28"/>
        <v>1015.0687740517642</v>
      </c>
      <c r="L959" s="10">
        <f t="shared" si="29"/>
        <v>264.13293071137855</v>
      </c>
    </row>
    <row r="960" spans="1:12" x14ac:dyDescent="0.25">
      <c r="A960" s="2">
        <v>2</v>
      </c>
      <c r="B960" s="4">
        <v>43</v>
      </c>
      <c r="C960" s="4">
        <v>35</v>
      </c>
      <c r="D960" s="4">
        <v>1</v>
      </c>
      <c r="E960" s="4" t="s">
        <v>11</v>
      </c>
      <c r="F960" s="4" t="s">
        <v>9</v>
      </c>
      <c r="G960" s="4" t="s">
        <v>15</v>
      </c>
      <c r="H960" s="4">
        <v>4552.5590622095615</v>
      </c>
      <c r="I960" s="4">
        <v>4335.7705354376794</v>
      </c>
      <c r="J960" s="2">
        <f>VLOOKUP(A960,Planilha1!A:M,13,0)</f>
        <v>3220.2324129890262</v>
      </c>
      <c r="K960" s="10">
        <f t="shared" si="28"/>
        <v>-1332.3266492205353</v>
      </c>
      <c r="L960" s="10">
        <f t="shared" si="29"/>
        <v>-216.78852677188206</v>
      </c>
    </row>
    <row r="961" spans="1:12" x14ac:dyDescent="0.25">
      <c r="A961" s="2">
        <v>1</v>
      </c>
      <c r="B961" s="4">
        <v>48</v>
      </c>
      <c r="C961" s="4">
        <v>36.700000000000003</v>
      </c>
      <c r="D961" s="4">
        <v>1</v>
      </c>
      <c r="E961" s="4" t="s">
        <v>11</v>
      </c>
      <c r="F961" s="4" t="s">
        <v>12</v>
      </c>
      <c r="G961" s="4" t="s">
        <v>14</v>
      </c>
      <c r="H961" s="4">
        <v>5582.7676685535962</v>
      </c>
      <c r="I961" s="4">
        <v>5316.9215890986643</v>
      </c>
      <c r="J961" s="2">
        <f>VLOOKUP(A961,Planilha1!A:M,13,0)</f>
        <v>6326.3485212104815</v>
      </c>
      <c r="K961" s="10">
        <f t="shared" si="28"/>
        <v>743.58085265688533</v>
      </c>
      <c r="L961" s="10">
        <f t="shared" si="29"/>
        <v>-265.8460794549319</v>
      </c>
    </row>
    <row r="962" spans="1:12" x14ac:dyDescent="0.25">
      <c r="A962" s="2">
        <v>0</v>
      </c>
      <c r="B962" s="4">
        <v>19</v>
      </c>
      <c r="C962" s="4">
        <v>22.2</v>
      </c>
      <c r="D962" s="4">
        <v>1</v>
      </c>
      <c r="E962" s="4" t="s">
        <v>8</v>
      </c>
      <c r="F962" s="4" t="s">
        <v>12</v>
      </c>
      <c r="G962" s="4" t="s">
        <v>14</v>
      </c>
      <c r="H962" s="4">
        <v>1804.5393621372</v>
      </c>
      <c r="I962" s="4">
        <v>2122.9874848672948</v>
      </c>
      <c r="J962" s="2">
        <f>VLOOKUP(A962,Planilha1!A:M,13,0)</f>
        <v>2511.8220480829059</v>
      </c>
      <c r="K962" s="10">
        <f t="shared" si="28"/>
        <v>707.28268594570591</v>
      </c>
      <c r="L962" s="10">
        <f t="shared" si="29"/>
        <v>318.44812273009484</v>
      </c>
    </row>
    <row r="963" spans="1:12" x14ac:dyDescent="0.25">
      <c r="A963" s="2">
        <v>0</v>
      </c>
      <c r="B963" s="4">
        <v>29</v>
      </c>
      <c r="C963" s="4">
        <v>24.2</v>
      </c>
      <c r="D963" s="4">
        <v>0</v>
      </c>
      <c r="E963" s="4" t="s">
        <v>8</v>
      </c>
      <c r="F963" s="4" t="s">
        <v>12</v>
      </c>
      <c r="G963" s="4" t="s">
        <v>10</v>
      </c>
      <c r="H963" s="4">
        <v>1351.6807634551587</v>
      </c>
      <c r="I963" s="4">
        <v>1590.212662888423</v>
      </c>
      <c r="J963" s="2">
        <f>VLOOKUP(A963,Planilha1!A:M,13,0)</f>
        <v>2511.8220480829059</v>
      </c>
      <c r="K963" s="10">
        <f t="shared" ref="K963:K1026" si="30">J963-H963</f>
        <v>1160.1412846277472</v>
      </c>
      <c r="L963" s="10">
        <f t="shared" ref="L963:L1026" si="31">I963-H963</f>
        <v>238.53189943326424</v>
      </c>
    </row>
    <row r="964" spans="1:12" x14ac:dyDescent="0.25">
      <c r="A964" s="2">
        <v>1</v>
      </c>
      <c r="B964" s="4">
        <v>63</v>
      </c>
      <c r="C964" s="4">
        <v>35.200000000000003</v>
      </c>
      <c r="D964" s="4">
        <v>1</v>
      </c>
      <c r="E964" s="4" t="s">
        <v>8</v>
      </c>
      <c r="F964" s="4" t="s">
        <v>12</v>
      </c>
      <c r="G964" s="4" t="s">
        <v>13</v>
      </c>
      <c r="H964" s="4">
        <v>3665.9652278932435</v>
      </c>
      <c r="I964" s="4">
        <v>3491.3954551364241</v>
      </c>
      <c r="J964" s="2">
        <f>VLOOKUP(A964,Planilha1!A:M,13,0)</f>
        <v>6326.3485212104815</v>
      </c>
      <c r="K964" s="10">
        <f t="shared" si="30"/>
        <v>2660.383293317238</v>
      </c>
      <c r="L964" s="10">
        <f t="shared" si="31"/>
        <v>-174.56977275681948</v>
      </c>
    </row>
    <row r="965" spans="1:12" x14ac:dyDescent="0.25">
      <c r="A965" s="2">
        <v>3</v>
      </c>
      <c r="B965" s="4">
        <v>46</v>
      </c>
      <c r="C965" s="4">
        <v>24.8</v>
      </c>
      <c r="D965" s="4">
        <v>3</v>
      </c>
      <c r="E965" s="4" t="s">
        <v>11</v>
      </c>
      <c r="F965" s="4" t="s">
        <v>12</v>
      </c>
      <c r="G965" s="4" t="s">
        <v>15</v>
      </c>
      <c r="H965" s="4">
        <v>1964.3563993243633</v>
      </c>
      <c r="I965" s="4">
        <v>2619.1418657658178</v>
      </c>
      <c r="J965" s="2">
        <f>VLOOKUP(A965,Planilha1!A:M,13,0)</f>
        <v>3049.3550806113421</v>
      </c>
      <c r="K965" s="10">
        <f t="shared" si="30"/>
        <v>1084.9986812869788</v>
      </c>
      <c r="L965" s="10">
        <f t="shared" si="31"/>
        <v>654.78546644145445</v>
      </c>
    </row>
    <row r="966" spans="1:12" x14ac:dyDescent="0.25">
      <c r="A966" s="2">
        <v>3</v>
      </c>
      <c r="B966" s="4">
        <v>52</v>
      </c>
      <c r="C966" s="4">
        <v>36.799999999999997</v>
      </c>
      <c r="D966" s="4">
        <v>2</v>
      </c>
      <c r="E966" s="4" t="s">
        <v>11</v>
      </c>
      <c r="F966" s="4" t="s">
        <v>12</v>
      </c>
      <c r="G966" s="4" t="s">
        <v>14</v>
      </c>
      <c r="H966" s="4">
        <v>2875.5592623193897</v>
      </c>
      <c r="I966" s="4">
        <v>3834.0790164258528</v>
      </c>
      <c r="J966" s="2">
        <f>VLOOKUP(A966,Planilha1!A:M,13,0)</f>
        <v>3049.3550806113421</v>
      </c>
      <c r="K966" s="10">
        <f t="shared" si="30"/>
        <v>173.7958182919524</v>
      </c>
      <c r="L966" s="10">
        <f t="shared" si="31"/>
        <v>958.5197541064631</v>
      </c>
    </row>
    <row r="967" spans="1:12" x14ac:dyDescent="0.25">
      <c r="A967" s="2">
        <v>0</v>
      </c>
      <c r="B967" s="4">
        <v>35</v>
      </c>
      <c r="C967" s="4">
        <v>22.8</v>
      </c>
      <c r="D967" s="4">
        <v>1</v>
      </c>
      <c r="E967" s="4" t="s">
        <v>11</v>
      </c>
      <c r="F967" s="4" t="s">
        <v>12</v>
      </c>
      <c r="G967" s="4" t="s">
        <v>10</v>
      </c>
      <c r="H967" s="4">
        <v>2352.0785190737251</v>
      </c>
      <c r="I967" s="4">
        <v>2767.1511989102655</v>
      </c>
      <c r="J967" s="2">
        <f>VLOOKUP(A967,Planilha1!A:M,13,0)</f>
        <v>2511.8220480829059</v>
      </c>
      <c r="K967" s="10">
        <f t="shared" si="30"/>
        <v>159.74352900918075</v>
      </c>
      <c r="L967" s="10">
        <f t="shared" si="31"/>
        <v>415.07267983654037</v>
      </c>
    </row>
    <row r="968" spans="1:12" x14ac:dyDescent="0.25">
      <c r="A968" s="2">
        <v>2</v>
      </c>
      <c r="B968" s="4">
        <v>51</v>
      </c>
      <c r="C968" s="4">
        <v>24.8</v>
      </c>
      <c r="D968" s="4">
        <v>2</v>
      </c>
      <c r="E968" s="4" t="s">
        <v>11</v>
      </c>
      <c r="F968" s="4" t="s">
        <v>9</v>
      </c>
      <c r="G968" s="4" t="s">
        <v>14</v>
      </c>
      <c r="H968" s="4">
        <v>1132.3082351699097</v>
      </c>
      <c r="I968" s="4">
        <v>1509.7443135598796</v>
      </c>
      <c r="J968" s="2">
        <f>VLOOKUP(A968,Planilha1!A:M,13,0)</f>
        <v>3220.2324129890262</v>
      </c>
      <c r="K968" s="10">
        <f t="shared" si="30"/>
        <v>2087.9241778191163</v>
      </c>
      <c r="L968" s="10">
        <f t="shared" si="31"/>
        <v>377.43607838996991</v>
      </c>
    </row>
    <row r="969" spans="1:12" x14ac:dyDescent="0.25">
      <c r="A969" s="2">
        <v>1</v>
      </c>
      <c r="B969" s="4">
        <v>44</v>
      </c>
      <c r="C969" s="4">
        <v>25.4</v>
      </c>
      <c r="D969" s="4">
        <v>1</v>
      </c>
      <c r="E969" s="4" t="s">
        <v>11</v>
      </c>
      <c r="F969" s="4" t="s">
        <v>12</v>
      </c>
      <c r="G969" s="4" t="s">
        <v>14</v>
      </c>
      <c r="H969" s="4">
        <v>5454.4138247744213</v>
      </c>
      <c r="I969" s="4">
        <v>5194.6798331184973</v>
      </c>
      <c r="J969" s="2">
        <f>VLOOKUP(A969,Planilha1!A:M,13,0)</f>
        <v>6326.3485212104815</v>
      </c>
      <c r="K969" s="10">
        <f t="shared" si="30"/>
        <v>871.93469643606022</v>
      </c>
      <c r="L969" s="10">
        <f t="shared" si="31"/>
        <v>-259.733991655924</v>
      </c>
    </row>
    <row r="970" spans="1:12" x14ac:dyDescent="0.25">
      <c r="A970" s="2">
        <v>0</v>
      </c>
      <c r="B970" s="4">
        <v>21</v>
      </c>
      <c r="C970" s="4">
        <v>20.9</v>
      </c>
      <c r="D970" s="4">
        <v>2</v>
      </c>
      <c r="E970" s="4" t="s">
        <v>11</v>
      </c>
      <c r="F970" s="4" t="s">
        <v>12</v>
      </c>
      <c r="G970" s="4" t="s">
        <v>15</v>
      </c>
      <c r="H970" s="4">
        <v>1403.0816527221398</v>
      </c>
      <c r="I970" s="4">
        <v>1650.6842973201651</v>
      </c>
      <c r="J970" s="2">
        <f>VLOOKUP(A970,Planilha1!A:M,13,0)</f>
        <v>2511.8220480829059</v>
      </c>
      <c r="K970" s="10">
        <f t="shared" si="30"/>
        <v>1108.7403953607661</v>
      </c>
      <c r="L970" s="10">
        <f t="shared" si="31"/>
        <v>247.60264459802534</v>
      </c>
    </row>
    <row r="971" spans="1:12" x14ac:dyDescent="0.25">
      <c r="A971" s="2">
        <v>3</v>
      </c>
      <c r="B971" s="4">
        <v>39</v>
      </c>
      <c r="C971" s="4">
        <v>34.299999999999997</v>
      </c>
      <c r="D971" s="4">
        <v>5</v>
      </c>
      <c r="E971" s="4" t="s">
        <v>8</v>
      </c>
      <c r="F971" s="4" t="s">
        <v>12</v>
      </c>
      <c r="G971" s="4" t="s">
        <v>13</v>
      </c>
      <c r="H971" s="4">
        <v>2547.6084435938524</v>
      </c>
      <c r="I971" s="4">
        <v>3396.8112581251366</v>
      </c>
      <c r="J971" s="2">
        <f>VLOOKUP(A971,Planilha1!A:M,13,0)</f>
        <v>3049.3550806113421</v>
      </c>
      <c r="K971" s="10">
        <f t="shared" si="30"/>
        <v>501.74663701748977</v>
      </c>
      <c r="L971" s="10">
        <f t="shared" si="31"/>
        <v>849.20281453128428</v>
      </c>
    </row>
    <row r="972" spans="1:12" x14ac:dyDescent="0.25">
      <c r="A972" s="2">
        <v>3</v>
      </c>
      <c r="B972" s="4">
        <v>50</v>
      </c>
      <c r="C972" s="4">
        <v>28.2</v>
      </c>
      <c r="D972" s="4">
        <v>3</v>
      </c>
      <c r="E972" s="4" t="s">
        <v>8</v>
      </c>
      <c r="F972" s="4" t="s">
        <v>12</v>
      </c>
      <c r="G972" s="4" t="s">
        <v>13</v>
      </c>
      <c r="H972" s="4">
        <v>1467.3926728822039</v>
      </c>
      <c r="I972" s="4">
        <v>1956.5235638429385</v>
      </c>
      <c r="J972" s="2">
        <f>VLOOKUP(A972,Planilha1!A:M,13,0)</f>
        <v>3049.3550806113421</v>
      </c>
      <c r="K972" s="10">
        <f t="shared" si="30"/>
        <v>1581.9624077291382</v>
      </c>
      <c r="L972" s="10">
        <f t="shared" si="31"/>
        <v>489.13089096073463</v>
      </c>
    </row>
    <row r="973" spans="1:12" x14ac:dyDescent="0.25">
      <c r="A973" s="2">
        <v>0</v>
      </c>
      <c r="B973" s="4">
        <v>34</v>
      </c>
      <c r="C973" s="4">
        <v>24</v>
      </c>
      <c r="D973" s="4">
        <v>0</v>
      </c>
      <c r="E973" s="4" t="s">
        <v>8</v>
      </c>
      <c r="F973" s="4" t="s">
        <v>12</v>
      </c>
      <c r="G973" s="4" t="s">
        <v>15</v>
      </c>
      <c r="H973" s="4">
        <v>1906.9283398824975</v>
      </c>
      <c r="I973" s="4">
        <v>2243.4451057441156</v>
      </c>
      <c r="J973" s="2">
        <f>VLOOKUP(A973,Planilha1!A:M,13,0)</f>
        <v>2511.8220480829059</v>
      </c>
      <c r="K973" s="10">
        <f t="shared" si="30"/>
        <v>604.89370820040835</v>
      </c>
      <c r="L973" s="10">
        <f t="shared" si="31"/>
        <v>336.51676586161807</v>
      </c>
    </row>
    <row r="974" spans="1:12" x14ac:dyDescent="0.25">
      <c r="A974" s="2">
        <v>0</v>
      </c>
      <c r="B974" s="4">
        <v>22</v>
      </c>
      <c r="C974" s="4">
        <v>24.3</v>
      </c>
      <c r="D974" s="4">
        <v>0</v>
      </c>
      <c r="E974" s="4" t="s">
        <v>8</v>
      </c>
      <c r="F974" s="4" t="s">
        <v>12</v>
      </c>
      <c r="G974" s="4" t="s">
        <v>14</v>
      </c>
      <c r="H974" s="4">
        <v>1260.7220818981373</v>
      </c>
      <c r="I974" s="4">
        <v>1483.202449291927</v>
      </c>
      <c r="J974" s="2">
        <f>VLOOKUP(A974,Planilha1!A:M,13,0)</f>
        <v>2511.8220480829059</v>
      </c>
      <c r="K974" s="10">
        <f t="shared" si="30"/>
        <v>1251.0999661847686</v>
      </c>
      <c r="L974" s="10">
        <f t="shared" si="31"/>
        <v>222.48036739378972</v>
      </c>
    </row>
    <row r="975" spans="1:12" x14ac:dyDescent="0.25">
      <c r="A975" s="2">
        <v>0</v>
      </c>
      <c r="B975" s="4">
        <v>19</v>
      </c>
      <c r="C975" s="4">
        <v>22.6</v>
      </c>
      <c r="D975" s="4">
        <v>0</v>
      </c>
      <c r="E975" s="4" t="s">
        <v>8</v>
      </c>
      <c r="F975" s="4" t="s">
        <v>12</v>
      </c>
      <c r="G975" s="4" t="s">
        <v>10</v>
      </c>
      <c r="H975" s="4">
        <v>1931.8381741817896</v>
      </c>
      <c r="I975" s="4">
        <v>2272.7507931550472</v>
      </c>
      <c r="J975" s="2">
        <f>VLOOKUP(A975,Planilha1!A:M,13,0)</f>
        <v>2511.8220480829059</v>
      </c>
      <c r="K975" s="10">
        <f t="shared" si="30"/>
        <v>579.98387390111634</v>
      </c>
      <c r="L975" s="10">
        <f t="shared" si="31"/>
        <v>340.91261897325762</v>
      </c>
    </row>
    <row r="976" spans="1:12" x14ac:dyDescent="0.25">
      <c r="A976" s="2">
        <v>0</v>
      </c>
      <c r="B976" s="4">
        <v>26</v>
      </c>
      <c r="C976" s="4">
        <v>23.1</v>
      </c>
      <c r="D976" s="4">
        <v>0</v>
      </c>
      <c r="E976" s="4" t="s">
        <v>11</v>
      </c>
      <c r="F976" s="4" t="s">
        <v>12</v>
      </c>
      <c r="G976" s="4" t="s">
        <v>13</v>
      </c>
      <c r="H976" s="4">
        <v>2189.6537841733875</v>
      </c>
      <c r="I976" s="4">
        <v>2576.0632754981034</v>
      </c>
      <c r="J976" s="2">
        <f>VLOOKUP(A976,Planilha1!A:M,13,0)</f>
        <v>2511.8220480829059</v>
      </c>
      <c r="K976" s="10">
        <f t="shared" si="30"/>
        <v>322.16826390951837</v>
      </c>
      <c r="L976" s="10">
        <f t="shared" si="31"/>
        <v>386.40949132471587</v>
      </c>
    </row>
    <row r="977" spans="1:12" x14ac:dyDescent="0.25">
      <c r="A977" s="2">
        <v>2</v>
      </c>
      <c r="B977" s="4">
        <v>29</v>
      </c>
      <c r="C977" s="4">
        <v>22.4</v>
      </c>
      <c r="D977" s="4">
        <v>0</v>
      </c>
      <c r="E977" s="4" t="s">
        <v>11</v>
      </c>
      <c r="F977" s="4" t="s">
        <v>9</v>
      </c>
      <c r="G977" s="4" t="s">
        <v>15</v>
      </c>
      <c r="H977" s="4">
        <v>1220.5400540318451</v>
      </c>
      <c r="I977" s="4">
        <v>1435.9294753315833</v>
      </c>
      <c r="J977" s="2">
        <f>VLOOKUP(A977,Planilha1!A:M,13,0)</f>
        <v>3220.2324129890262</v>
      </c>
      <c r="K977" s="10">
        <f t="shared" si="30"/>
        <v>1999.6923589571811</v>
      </c>
      <c r="L977" s="10">
        <f t="shared" si="31"/>
        <v>215.38942129973816</v>
      </c>
    </row>
    <row r="978" spans="1:12" x14ac:dyDescent="0.25">
      <c r="A978" s="2">
        <v>1</v>
      </c>
      <c r="B978" s="4">
        <v>48</v>
      </c>
      <c r="C978" s="4">
        <v>40.200000000000003</v>
      </c>
      <c r="D978" s="4">
        <v>0</v>
      </c>
      <c r="E978" s="4" t="s">
        <v>11</v>
      </c>
      <c r="F978" s="4" t="s">
        <v>12</v>
      </c>
      <c r="G978" s="4" t="s">
        <v>13</v>
      </c>
      <c r="H978" s="4">
        <v>5966.8980066243748</v>
      </c>
      <c r="I978" s="4">
        <v>5682.7600063089294</v>
      </c>
      <c r="J978" s="2">
        <f>VLOOKUP(A978,Planilha1!A:M,13,0)</f>
        <v>6326.3485212104815</v>
      </c>
      <c r="K978" s="10">
        <f t="shared" si="30"/>
        <v>359.45051458610669</v>
      </c>
      <c r="L978" s="10">
        <f t="shared" si="31"/>
        <v>-284.13800031544542</v>
      </c>
    </row>
    <row r="979" spans="1:12" x14ac:dyDescent="0.25">
      <c r="A979" s="2">
        <v>0</v>
      </c>
      <c r="B979" s="4">
        <v>26</v>
      </c>
      <c r="C979" s="4">
        <v>21.6</v>
      </c>
      <c r="D979" s="4">
        <v>1</v>
      </c>
      <c r="E979" s="4" t="s">
        <v>11</v>
      </c>
      <c r="F979" s="4" t="s">
        <v>12</v>
      </c>
      <c r="G979" s="4" t="s">
        <v>13</v>
      </c>
      <c r="H979" s="4">
        <v>1544.6230516973928</v>
      </c>
      <c r="I979" s="4">
        <v>1817.2035902322277</v>
      </c>
      <c r="J979" s="2">
        <f>VLOOKUP(A979,Planilha1!A:M,13,0)</f>
        <v>2511.8220480829059</v>
      </c>
      <c r="K979" s="10">
        <f t="shared" si="30"/>
        <v>967.19899638551306</v>
      </c>
      <c r="L979" s="10">
        <f t="shared" si="31"/>
        <v>272.58053853483489</v>
      </c>
    </row>
    <row r="980" spans="1:12" x14ac:dyDescent="0.25">
      <c r="A980" s="2">
        <v>3</v>
      </c>
      <c r="B980" s="4">
        <v>45</v>
      </c>
      <c r="C980" s="4">
        <v>40</v>
      </c>
      <c r="D980" s="4">
        <v>3</v>
      </c>
      <c r="E980" s="4" t="s">
        <v>8</v>
      </c>
      <c r="F980" s="4" t="s">
        <v>12</v>
      </c>
      <c r="G980" s="4" t="s">
        <v>15</v>
      </c>
      <c r="H980" s="4">
        <v>3207.2665926441268</v>
      </c>
      <c r="I980" s="4">
        <v>4276.3554568588361</v>
      </c>
      <c r="J980" s="2">
        <f>VLOOKUP(A980,Planilha1!A:M,13,0)</f>
        <v>3049.3550806113421</v>
      </c>
      <c r="K980" s="10">
        <f t="shared" si="30"/>
        <v>-157.91151203278469</v>
      </c>
      <c r="L980" s="10">
        <f t="shared" si="31"/>
        <v>1069.0888642147092</v>
      </c>
    </row>
    <row r="981" spans="1:12" x14ac:dyDescent="0.25">
      <c r="A981" s="2">
        <v>0</v>
      </c>
      <c r="B981" s="4">
        <v>36</v>
      </c>
      <c r="C981" s="4">
        <v>25.9</v>
      </c>
      <c r="D981" s="4">
        <v>0</v>
      </c>
      <c r="E981" s="4" t="s">
        <v>8</v>
      </c>
      <c r="F981" s="4" t="s">
        <v>12</v>
      </c>
      <c r="G981" s="4" t="s">
        <v>13</v>
      </c>
      <c r="H981" s="4">
        <v>1892.9240781170895</v>
      </c>
      <c r="I981" s="4">
        <v>2226.9695036671646</v>
      </c>
      <c r="J981" s="2">
        <f>VLOOKUP(A981,Planilha1!A:M,13,0)</f>
        <v>2511.8220480829059</v>
      </c>
      <c r="K981" s="10">
        <f t="shared" si="30"/>
        <v>618.8979699658164</v>
      </c>
      <c r="L981" s="10">
        <f t="shared" si="31"/>
        <v>334.04542555007515</v>
      </c>
    </row>
    <row r="982" spans="1:12" x14ac:dyDescent="0.25">
      <c r="A982" s="2">
        <v>1</v>
      </c>
      <c r="B982" s="4">
        <v>54</v>
      </c>
      <c r="C982" s="4">
        <v>25.5</v>
      </c>
      <c r="D982" s="4">
        <v>1</v>
      </c>
      <c r="E982" s="4" t="s">
        <v>11</v>
      </c>
      <c r="F982" s="4" t="s">
        <v>12</v>
      </c>
      <c r="G982" s="4" t="s">
        <v>15</v>
      </c>
      <c r="H982" s="4">
        <v>4333.4290508135618</v>
      </c>
      <c r="I982" s="4">
        <v>4127.0752864891083</v>
      </c>
      <c r="J982" s="2">
        <f>VLOOKUP(A982,Planilha1!A:M,13,0)</f>
        <v>6326.3485212104815</v>
      </c>
      <c r="K982" s="10">
        <f t="shared" si="30"/>
        <v>1992.9194703969197</v>
      </c>
      <c r="L982" s="10">
        <f t="shared" si="31"/>
        <v>-206.35376432445355</v>
      </c>
    </row>
    <row r="983" spans="1:12" x14ac:dyDescent="0.25">
      <c r="A983" s="2">
        <v>0</v>
      </c>
      <c r="B983" s="4">
        <v>34</v>
      </c>
      <c r="C983" s="4">
        <v>24.7</v>
      </c>
      <c r="D983" s="4">
        <v>0</v>
      </c>
      <c r="E983" s="4" t="s">
        <v>11</v>
      </c>
      <c r="F983" s="4" t="s">
        <v>12</v>
      </c>
      <c r="G983" s="4" t="s">
        <v>15</v>
      </c>
      <c r="H983" s="4">
        <v>1949.0969687850834</v>
      </c>
      <c r="I983" s="4">
        <v>2293.0552573942164</v>
      </c>
      <c r="J983" s="2">
        <f>VLOOKUP(A983,Planilha1!A:M,13,0)</f>
        <v>2511.8220480829059</v>
      </c>
      <c r="K983" s="10">
        <f t="shared" si="30"/>
        <v>562.7250792978225</v>
      </c>
      <c r="L983" s="10">
        <f t="shared" si="31"/>
        <v>343.95828860913298</v>
      </c>
    </row>
    <row r="984" spans="1:12" x14ac:dyDescent="0.25">
      <c r="A984" s="2">
        <v>2</v>
      </c>
      <c r="B984" s="4">
        <v>31</v>
      </c>
      <c r="C984" s="4">
        <v>25.9</v>
      </c>
      <c r="D984" s="4">
        <v>3</v>
      </c>
      <c r="E984" s="4" t="s">
        <v>11</v>
      </c>
      <c r="F984" s="4" t="s">
        <v>9</v>
      </c>
      <c r="G984" s="4" t="s">
        <v>10</v>
      </c>
      <c r="H984" s="4">
        <v>1935.5434393562218</v>
      </c>
      <c r="I984" s="4">
        <v>2580.7245858082956</v>
      </c>
      <c r="J984" s="2">
        <f>VLOOKUP(A984,Planilha1!A:M,13,0)</f>
        <v>3220.2324129890262</v>
      </c>
      <c r="K984" s="10">
        <f t="shared" si="30"/>
        <v>1284.6889736328044</v>
      </c>
      <c r="L984" s="10">
        <f t="shared" si="31"/>
        <v>645.18114645207379</v>
      </c>
    </row>
    <row r="985" spans="1:12" x14ac:dyDescent="0.25">
      <c r="A985" s="2">
        <v>0</v>
      </c>
      <c r="B985" s="4">
        <v>27</v>
      </c>
      <c r="C985" s="4">
        <v>20.9</v>
      </c>
      <c r="D985" s="4">
        <v>1</v>
      </c>
      <c r="E985" s="4" t="s">
        <v>8</v>
      </c>
      <c r="F985" s="4" t="s">
        <v>12</v>
      </c>
      <c r="G985" s="4" t="s">
        <v>15</v>
      </c>
      <c r="H985" s="4">
        <v>1544.1241027969265</v>
      </c>
      <c r="I985" s="4">
        <v>1816.6165915257968</v>
      </c>
      <c r="J985" s="2">
        <f>VLOOKUP(A985,Planilha1!A:M,13,0)</f>
        <v>2511.8220480829059</v>
      </c>
      <c r="K985" s="10">
        <f t="shared" si="30"/>
        <v>967.69794528597936</v>
      </c>
      <c r="L985" s="10">
        <f t="shared" si="31"/>
        <v>272.49248872887028</v>
      </c>
    </row>
    <row r="986" spans="1:12" x14ac:dyDescent="0.25">
      <c r="A986" s="2">
        <v>3</v>
      </c>
      <c r="B986" s="4">
        <v>20</v>
      </c>
      <c r="C986" s="4">
        <v>30.1</v>
      </c>
      <c r="D986" s="4">
        <v>5</v>
      </c>
      <c r="E986" s="4" t="s">
        <v>11</v>
      </c>
      <c r="F986" s="4" t="s">
        <v>12</v>
      </c>
      <c r="G986" s="4" t="s">
        <v>15</v>
      </c>
      <c r="H986" s="4">
        <v>2711.1535046164736</v>
      </c>
      <c r="I986" s="4">
        <v>3614.8713394886313</v>
      </c>
      <c r="J986" s="2">
        <f>VLOOKUP(A986,Planilha1!A:M,13,0)</f>
        <v>3049.3550806113421</v>
      </c>
      <c r="K986" s="10">
        <f t="shared" si="30"/>
        <v>338.20157599486856</v>
      </c>
      <c r="L986" s="10">
        <f t="shared" si="31"/>
        <v>903.71783487215771</v>
      </c>
    </row>
    <row r="987" spans="1:12" x14ac:dyDescent="0.25">
      <c r="A987" s="2">
        <v>1</v>
      </c>
      <c r="B987" s="4">
        <v>44</v>
      </c>
      <c r="C987" s="4">
        <v>25.8</v>
      </c>
      <c r="D987" s="4">
        <v>1</v>
      </c>
      <c r="E987" s="4" t="s">
        <v>8</v>
      </c>
      <c r="F987" s="4" t="s">
        <v>12</v>
      </c>
      <c r="G987" s="4" t="s">
        <v>10</v>
      </c>
      <c r="H987" s="4">
        <v>4714.7495914632091</v>
      </c>
      <c r="I987" s="4">
        <v>4490.2377061554389</v>
      </c>
      <c r="J987" s="2">
        <f>VLOOKUP(A987,Planilha1!A:M,13,0)</f>
        <v>6326.3485212104815</v>
      </c>
      <c r="K987" s="10">
        <f t="shared" si="30"/>
        <v>1611.5989297472725</v>
      </c>
      <c r="L987" s="10">
        <f t="shared" si="31"/>
        <v>-224.51188530777017</v>
      </c>
    </row>
    <row r="988" spans="1:12" x14ac:dyDescent="0.25">
      <c r="A988" s="2">
        <v>3</v>
      </c>
      <c r="B988" s="4">
        <v>43</v>
      </c>
      <c r="C988" s="4">
        <v>30.1</v>
      </c>
      <c r="D988" s="4">
        <v>3</v>
      </c>
      <c r="E988" s="4" t="s">
        <v>11</v>
      </c>
      <c r="F988" s="4" t="s">
        <v>12</v>
      </c>
      <c r="G988" s="4" t="s">
        <v>14</v>
      </c>
      <c r="H988" s="4">
        <v>1541.8078776996376</v>
      </c>
      <c r="I988" s="4">
        <v>2055.7438369328502</v>
      </c>
      <c r="J988" s="2">
        <f>VLOOKUP(A988,Planilha1!A:M,13,0)</f>
        <v>3049.3550806113421</v>
      </c>
      <c r="K988" s="10">
        <f t="shared" si="30"/>
        <v>1507.5472029117045</v>
      </c>
      <c r="L988" s="10">
        <f t="shared" si="31"/>
        <v>513.93595923321254</v>
      </c>
    </row>
    <row r="989" spans="1:12" x14ac:dyDescent="0.25">
      <c r="A989" s="2">
        <v>1</v>
      </c>
      <c r="B989" s="4">
        <v>45</v>
      </c>
      <c r="C989" s="4">
        <v>27.6</v>
      </c>
      <c r="D989" s="4">
        <v>1</v>
      </c>
      <c r="E989" s="4" t="s">
        <v>8</v>
      </c>
      <c r="F989" s="4" t="s">
        <v>12</v>
      </c>
      <c r="G989" s="4" t="s">
        <v>14</v>
      </c>
      <c r="H989" s="4">
        <v>4746.4517061873557</v>
      </c>
      <c r="I989" s="4">
        <v>4520.4301963689113</v>
      </c>
      <c r="J989" s="2">
        <f>VLOOKUP(A989,Planilha1!A:M,13,0)</f>
        <v>6326.3485212104815</v>
      </c>
      <c r="K989" s="10">
        <f t="shared" si="30"/>
        <v>1579.8968150231258</v>
      </c>
      <c r="L989" s="10">
        <f t="shared" si="31"/>
        <v>-226.02150981844443</v>
      </c>
    </row>
    <row r="990" spans="1:12" x14ac:dyDescent="0.25">
      <c r="A990" s="2">
        <v>0</v>
      </c>
      <c r="B990" s="4">
        <v>34</v>
      </c>
      <c r="C990" s="4">
        <v>23.5</v>
      </c>
      <c r="D990" s="4">
        <v>0</v>
      </c>
      <c r="E990" s="4" t="s">
        <v>11</v>
      </c>
      <c r="F990" s="4" t="s">
        <v>12</v>
      </c>
      <c r="G990" s="4" t="s">
        <v>15</v>
      </c>
      <c r="H990" s="4">
        <v>2782.6500840160506</v>
      </c>
      <c r="I990" s="4">
        <v>3273.705981195355</v>
      </c>
      <c r="J990" s="2">
        <f>VLOOKUP(A990,Planilha1!A:M,13,0)</f>
        <v>2511.8220480829059</v>
      </c>
      <c r="K990" s="10">
        <f t="shared" si="30"/>
        <v>-270.82803593314475</v>
      </c>
      <c r="L990" s="10">
        <f t="shared" si="31"/>
        <v>491.05589717930434</v>
      </c>
    </row>
    <row r="991" spans="1:12" x14ac:dyDescent="0.25">
      <c r="A991" s="2">
        <v>2</v>
      </c>
      <c r="B991" s="4">
        <v>24</v>
      </c>
      <c r="C991" s="4">
        <v>22.3</v>
      </c>
      <c r="D991" s="4">
        <v>0</v>
      </c>
      <c r="E991" s="4" t="s">
        <v>8</v>
      </c>
      <c r="F991" s="4" t="s">
        <v>9</v>
      </c>
      <c r="G991" s="4" t="s">
        <v>15</v>
      </c>
      <c r="H991" s="4">
        <v>1912.9603283627137</v>
      </c>
      <c r="I991" s="4">
        <v>2250.5415627796642</v>
      </c>
      <c r="J991" s="2">
        <f>VLOOKUP(A991,Planilha1!A:M,13,0)</f>
        <v>3220.2324129890262</v>
      </c>
      <c r="K991" s="10">
        <f t="shared" si="30"/>
        <v>1307.2720846263126</v>
      </c>
      <c r="L991" s="10">
        <f t="shared" si="31"/>
        <v>337.58123441695056</v>
      </c>
    </row>
    <row r="992" spans="1:12" x14ac:dyDescent="0.25">
      <c r="A992" s="2">
        <v>0</v>
      </c>
      <c r="B992" s="4">
        <v>26</v>
      </c>
      <c r="C992" s="4">
        <v>25</v>
      </c>
      <c r="D992" s="4">
        <v>1</v>
      </c>
      <c r="E992" s="4" t="s">
        <v>8</v>
      </c>
      <c r="F992" s="4" t="s">
        <v>12</v>
      </c>
      <c r="G992" s="4" t="s">
        <v>10</v>
      </c>
      <c r="H992" s="4">
        <v>1580.3770717384127</v>
      </c>
      <c r="I992" s="4">
        <v>1859.267143221663</v>
      </c>
      <c r="J992" s="2">
        <f>VLOOKUP(A992,Planilha1!A:M,13,0)</f>
        <v>2511.8220480829059</v>
      </c>
      <c r="K992" s="10">
        <f t="shared" si="30"/>
        <v>931.44497634449317</v>
      </c>
      <c r="L992" s="10">
        <f t="shared" si="31"/>
        <v>278.89007148325027</v>
      </c>
    </row>
    <row r="993" spans="1:12" x14ac:dyDescent="0.25">
      <c r="A993" s="2">
        <v>3</v>
      </c>
      <c r="B993" s="4">
        <v>38</v>
      </c>
      <c r="C993" s="4">
        <v>27.8</v>
      </c>
      <c r="D993" s="4">
        <v>2</v>
      </c>
      <c r="E993" s="4" t="s">
        <v>8</v>
      </c>
      <c r="F993" s="4" t="s">
        <v>12</v>
      </c>
      <c r="G993" s="4" t="s">
        <v>15</v>
      </c>
      <c r="H993" s="4">
        <v>2683.6486679685163</v>
      </c>
      <c r="I993" s="4">
        <v>3578.1982239580216</v>
      </c>
      <c r="J993" s="2">
        <f>VLOOKUP(A993,Planilha1!A:M,13,0)</f>
        <v>3049.3550806113421</v>
      </c>
      <c r="K993" s="10">
        <f t="shared" si="30"/>
        <v>365.70641264282585</v>
      </c>
      <c r="L993" s="10">
        <f t="shared" si="31"/>
        <v>894.54955598950528</v>
      </c>
    </row>
    <row r="994" spans="1:12" x14ac:dyDescent="0.25">
      <c r="A994" s="2">
        <v>3</v>
      </c>
      <c r="B994" s="4">
        <v>50</v>
      </c>
      <c r="C994" s="4">
        <v>31.6</v>
      </c>
      <c r="D994" s="4">
        <v>2</v>
      </c>
      <c r="E994" s="4" t="s">
        <v>8</v>
      </c>
      <c r="F994" s="4" t="s">
        <v>12</v>
      </c>
      <c r="G994" s="4" t="s">
        <v>10</v>
      </c>
      <c r="H994" s="4">
        <v>3308.1045286444987</v>
      </c>
      <c r="I994" s="4">
        <v>4410.8060381926653</v>
      </c>
      <c r="J994" s="2">
        <f>VLOOKUP(A994,Planilha1!A:M,13,0)</f>
        <v>3049.3550806113421</v>
      </c>
      <c r="K994" s="10">
        <f t="shared" si="30"/>
        <v>-258.74944803315657</v>
      </c>
      <c r="L994" s="10">
        <f t="shared" si="31"/>
        <v>1102.7015095481665</v>
      </c>
    </row>
    <row r="995" spans="1:12" x14ac:dyDescent="0.25">
      <c r="A995" s="2">
        <v>0</v>
      </c>
      <c r="B995" s="4">
        <v>38</v>
      </c>
      <c r="C995" s="4">
        <v>24.1</v>
      </c>
      <c r="D995" s="4">
        <v>1</v>
      </c>
      <c r="E995" s="4" t="s">
        <v>11</v>
      </c>
      <c r="F995" s="4" t="s">
        <v>12</v>
      </c>
      <c r="G995" s="4" t="s">
        <v>13</v>
      </c>
      <c r="H995" s="4">
        <v>2308.0281587687564</v>
      </c>
      <c r="I995" s="4">
        <v>2715.3272456103027</v>
      </c>
      <c r="J995" s="2">
        <f>VLOOKUP(A995,Planilha1!A:M,13,0)</f>
        <v>2511.8220480829059</v>
      </c>
      <c r="K995" s="10">
        <f t="shared" si="30"/>
        <v>203.79388931414951</v>
      </c>
      <c r="L995" s="10">
        <f t="shared" si="31"/>
        <v>407.29908684154634</v>
      </c>
    </row>
    <row r="996" spans="1:12" x14ac:dyDescent="0.25">
      <c r="A996" s="2">
        <v>2</v>
      </c>
      <c r="B996" s="4">
        <v>27</v>
      </c>
      <c r="C996" s="4">
        <v>20</v>
      </c>
      <c r="D996" s="4">
        <v>3</v>
      </c>
      <c r="E996" s="4" t="s">
        <v>8</v>
      </c>
      <c r="F996" s="4" t="s">
        <v>9</v>
      </c>
      <c r="G996" s="4" t="s">
        <v>14</v>
      </c>
      <c r="H996" s="4">
        <v>1989.0184627626018</v>
      </c>
      <c r="I996" s="4">
        <v>2340.021720897179</v>
      </c>
      <c r="J996" s="2">
        <f>VLOOKUP(A996,Planilha1!A:M,13,0)</f>
        <v>3220.2324129890262</v>
      </c>
      <c r="K996" s="10">
        <f t="shared" si="30"/>
        <v>1231.2139502264245</v>
      </c>
      <c r="L996" s="10">
        <f t="shared" si="31"/>
        <v>351.00325813457721</v>
      </c>
    </row>
    <row r="997" spans="1:12" x14ac:dyDescent="0.25">
      <c r="A997" s="2">
        <v>3</v>
      </c>
      <c r="B997" s="4">
        <v>39</v>
      </c>
      <c r="C997" s="4">
        <v>23.3</v>
      </c>
      <c r="D997" s="4">
        <v>3</v>
      </c>
      <c r="E997" s="4" t="s">
        <v>8</v>
      </c>
      <c r="F997" s="4" t="s">
        <v>12</v>
      </c>
      <c r="G997" s="4" t="s">
        <v>15</v>
      </c>
      <c r="H997" s="4">
        <v>1657.1696639504903</v>
      </c>
      <c r="I997" s="4">
        <v>2209.5595519339872</v>
      </c>
      <c r="J997" s="2">
        <f>VLOOKUP(A997,Planilha1!A:M,13,0)</f>
        <v>3049.3550806113421</v>
      </c>
      <c r="K997" s="10">
        <f t="shared" si="30"/>
        <v>1392.1854166608518</v>
      </c>
      <c r="L997" s="10">
        <f t="shared" si="31"/>
        <v>552.38988798349692</v>
      </c>
    </row>
    <row r="998" spans="1:12" x14ac:dyDescent="0.25">
      <c r="A998" s="2">
        <v>3</v>
      </c>
      <c r="B998" s="4">
        <v>39</v>
      </c>
      <c r="C998" s="4">
        <v>34.1</v>
      </c>
      <c r="D998" s="4">
        <v>3</v>
      </c>
      <c r="E998" s="4" t="s">
        <v>8</v>
      </c>
      <c r="F998" s="4" t="s">
        <v>12</v>
      </c>
      <c r="G998" s="4" t="s">
        <v>10</v>
      </c>
      <c r="H998" s="4">
        <v>1181.0489969788791</v>
      </c>
      <c r="I998" s="4">
        <v>1574.7319959718388</v>
      </c>
      <c r="J998" s="2">
        <f>VLOOKUP(A998,Planilha1!A:M,13,0)</f>
        <v>3049.3550806113421</v>
      </c>
      <c r="K998" s="10">
        <f t="shared" si="30"/>
        <v>1868.306083632463</v>
      </c>
      <c r="L998" s="10">
        <f t="shared" si="31"/>
        <v>393.68299899295971</v>
      </c>
    </row>
    <row r="999" spans="1:12" x14ac:dyDescent="0.25">
      <c r="A999" s="2">
        <v>1</v>
      </c>
      <c r="B999" s="4">
        <v>63</v>
      </c>
      <c r="C999" s="4">
        <v>36.9</v>
      </c>
      <c r="D999" s="4">
        <v>0</v>
      </c>
      <c r="E999" s="4" t="s">
        <v>8</v>
      </c>
      <c r="F999" s="4" t="s">
        <v>12</v>
      </c>
      <c r="G999" s="4" t="s">
        <v>13</v>
      </c>
      <c r="H999" s="4">
        <v>5186.0621042849116</v>
      </c>
      <c r="I999" s="4">
        <v>4939.1067659856317</v>
      </c>
      <c r="J999" s="2">
        <f>VLOOKUP(A999,Planilha1!A:M,13,0)</f>
        <v>6326.3485212104815</v>
      </c>
      <c r="K999" s="10">
        <f t="shared" si="30"/>
        <v>1140.2864169255699</v>
      </c>
      <c r="L999" s="10">
        <f t="shared" si="31"/>
        <v>-246.9553382992799</v>
      </c>
    </row>
    <row r="1000" spans="1:12" x14ac:dyDescent="0.25">
      <c r="A1000" s="2">
        <v>3</v>
      </c>
      <c r="B1000" s="4">
        <v>33</v>
      </c>
      <c r="C1000" s="4">
        <v>36.299999999999997</v>
      </c>
      <c r="D1000" s="4">
        <v>3</v>
      </c>
      <c r="E1000" s="4" t="s">
        <v>8</v>
      </c>
      <c r="F1000" s="4" t="s">
        <v>12</v>
      </c>
      <c r="G1000" s="4" t="s">
        <v>15</v>
      </c>
      <c r="H1000" s="4">
        <v>3401.3227753582446</v>
      </c>
      <c r="I1000" s="4">
        <v>4535.0970338109928</v>
      </c>
      <c r="J1000" s="2">
        <f>VLOOKUP(A1000,Planilha1!A:M,13,0)</f>
        <v>3049.3550806113421</v>
      </c>
      <c r="K1000" s="10">
        <f t="shared" si="30"/>
        <v>-351.96769474690245</v>
      </c>
      <c r="L1000" s="10">
        <f t="shared" si="31"/>
        <v>1133.7742584527482</v>
      </c>
    </row>
    <row r="1001" spans="1:12" x14ac:dyDescent="0.25">
      <c r="A1001" s="2">
        <v>0</v>
      </c>
      <c r="B1001" s="4">
        <v>36</v>
      </c>
      <c r="C1001" s="4">
        <v>23.5</v>
      </c>
      <c r="D1001" s="4">
        <v>0</v>
      </c>
      <c r="E1001" s="4" t="s">
        <v>8</v>
      </c>
      <c r="F1001" s="4" t="s">
        <v>12</v>
      </c>
      <c r="G1001" s="4" t="s">
        <v>14</v>
      </c>
      <c r="H1001" s="4">
        <v>2333.9603325552252</v>
      </c>
      <c r="I1001" s="4">
        <v>2745.8356853590894</v>
      </c>
      <c r="J1001" s="2">
        <f>VLOOKUP(A1001,Planilha1!A:M,13,0)</f>
        <v>2511.8220480829059</v>
      </c>
      <c r="K1001" s="10">
        <f t="shared" si="30"/>
        <v>177.86171552768064</v>
      </c>
      <c r="L1001" s="10">
        <f t="shared" si="31"/>
        <v>411.87535280386419</v>
      </c>
    </row>
    <row r="1002" spans="1:12" x14ac:dyDescent="0.25">
      <c r="A1002" s="2">
        <v>2</v>
      </c>
      <c r="B1002" s="4">
        <v>30</v>
      </c>
      <c r="C1002" s="4">
        <v>23</v>
      </c>
      <c r="D1002" s="4">
        <v>2</v>
      </c>
      <c r="E1002" s="4" t="s">
        <v>11</v>
      </c>
      <c r="F1002" s="4" t="s">
        <v>9</v>
      </c>
      <c r="G1002" s="4" t="s">
        <v>14</v>
      </c>
      <c r="H1002" s="4">
        <v>2098.8033475888633</v>
      </c>
      <c r="I1002" s="4">
        <v>2469.1804089280754</v>
      </c>
      <c r="J1002" s="2">
        <f>VLOOKUP(A1002,Planilha1!A:M,13,0)</f>
        <v>3220.2324129890262</v>
      </c>
      <c r="K1002" s="10">
        <f t="shared" si="30"/>
        <v>1121.4290654001629</v>
      </c>
      <c r="L1002" s="10">
        <f t="shared" si="31"/>
        <v>370.3770613392121</v>
      </c>
    </row>
    <row r="1003" spans="1:12" x14ac:dyDescent="0.25">
      <c r="A1003" s="2">
        <v>2</v>
      </c>
      <c r="B1003" s="4">
        <v>24</v>
      </c>
      <c r="C1003" s="4">
        <v>20.5</v>
      </c>
      <c r="D1003" s="4">
        <v>0</v>
      </c>
      <c r="E1003" s="4" t="s">
        <v>11</v>
      </c>
      <c r="F1003" s="4" t="s">
        <v>9</v>
      </c>
      <c r="G1003" s="4" t="s">
        <v>10</v>
      </c>
      <c r="H1003" s="4">
        <v>1268.4097931246001</v>
      </c>
      <c r="I1003" s="4">
        <v>1492.246815440707</v>
      </c>
      <c r="J1003" s="2">
        <f>VLOOKUP(A1003,Planilha1!A:M,13,0)</f>
        <v>3220.2324129890262</v>
      </c>
      <c r="K1003" s="10">
        <f t="shared" si="30"/>
        <v>1951.8226198644261</v>
      </c>
      <c r="L1003" s="10">
        <f t="shared" si="31"/>
        <v>223.83702231610687</v>
      </c>
    </row>
    <row r="1004" spans="1:12" x14ac:dyDescent="0.25">
      <c r="A1004" s="2">
        <v>0</v>
      </c>
      <c r="B1004" s="4">
        <v>24</v>
      </c>
      <c r="C1004" s="4">
        <v>25.5</v>
      </c>
      <c r="D1004" s="4">
        <v>0</v>
      </c>
      <c r="E1004" s="4" t="s">
        <v>11</v>
      </c>
      <c r="F1004" s="4" t="s">
        <v>12</v>
      </c>
      <c r="G1004" s="4" t="s">
        <v>10</v>
      </c>
      <c r="H1004" s="4">
        <v>1695.6546636566163</v>
      </c>
      <c r="I1004" s="4">
        <v>1994.8878395960201</v>
      </c>
      <c r="J1004" s="2">
        <f>VLOOKUP(A1004,Planilha1!A:M,13,0)</f>
        <v>2511.8220480829059</v>
      </c>
      <c r="K1004" s="10">
        <f t="shared" si="30"/>
        <v>816.16738442628957</v>
      </c>
      <c r="L1004" s="10">
        <f t="shared" si="31"/>
        <v>299.23317593940374</v>
      </c>
    </row>
    <row r="1005" spans="1:12" x14ac:dyDescent="0.25">
      <c r="A1005" s="2">
        <v>1</v>
      </c>
      <c r="B1005" s="4">
        <v>48</v>
      </c>
      <c r="C1005" s="4">
        <v>29.6</v>
      </c>
      <c r="D1005" s="4">
        <v>0</v>
      </c>
      <c r="E1005" s="4" t="s">
        <v>11</v>
      </c>
      <c r="F1005" s="4" t="s">
        <v>12</v>
      </c>
      <c r="G1005" s="4" t="s">
        <v>10</v>
      </c>
      <c r="H1005" s="4">
        <v>5320.3845464297692</v>
      </c>
      <c r="I1005" s="4">
        <v>5067.0329013616865</v>
      </c>
      <c r="J1005" s="2">
        <f>VLOOKUP(A1005,Planilha1!A:M,13,0)</f>
        <v>6326.3485212104815</v>
      </c>
      <c r="K1005" s="10">
        <f t="shared" si="30"/>
        <v>1005.9639747807123</v>
      </c>
      <c r="L1005" s="10">
        <f t="shared" si="31"/>
        <v>-253.35164506808269</v>
      </c>
    </row>
    <row r="1006" spans="1:12" x14ac:dyDescent="0.25">
      <c r="A1006" s="2">
        <v>0</v>
      </c>
      <c r="B1006" s="4">
        <v>47</v>
      </c>
      <c r="C1006" s="4">
        <v>19.2</v>
      </c>
      <c r="D1006" s="4">
        <v>1</v>
      </c>
      <c r="E1006" s="4" t="s">
        <v>11</v>
      </c>
      <c r="F1006" s="4" t="s">
        <v>12</v>
      </c>
      <c r="G1006" s="4" t="s">
        <v>15</v>
      </c>
      <c r="H1006" s="4">
        <v>1935.3937115740109</v>
      </c>
      <c r="I1006" s="4">
        <v>2276.9337783223668</v>
      </c>
      <c r="J1006" s="2">
        <f>VLOOKUP(A1006,Planilha1!A:M,13,0)</f>
        <v>2511.8220480829059</v>
      </c>
      <c r="K1006" s="10">
        <f t="shared" si="30"/>
        <v>576.42833650889497</v>
      </c>
      <c r="L1006" s="10">
        <f t="shared" si="31"/>
        <v>341.54006674835591</v>
      </c>
    </row>
    <row r="1007" spans="1:12" x14ac:dyDescent="0.25">
      <c r="A1007" s="2">
        <v>3</v>
      </c>
      <c r="B1007" s="4">
        <v>29</v>
      </c>
      <c r="C1007" s="4">
        <v>31.7</v>
      </c>
      <c r="D1007" s="4">
        <v>2</v>
      </c>
      <c r="E1007" s="4" t="s">
        <v>11</v>
      </c>
      <c r="F1007" s="4" t="s">
        <v>12</v>
      </c>
      <c r="G1007" s="4" t="s">
        <v>14</v>
      </c>
      <c r="H1007" s="4">
        <v>2314.2275128406818</v>
      </c>
      <c r="I1007" s="4">
        <v>3085.6366837875757</v>
      </c>
      <c r="J1007" s="2">
        <f>VLOOKUP(A1007,Planilha1!A:M,13,0)</f>
        <v>3049.3550806113421</v>
      </c>
      <c r="K1007" s="10">
        <f t="shared" si="30"/>
        <v>735.12756777066033</v>
      </c>
      <c r="L1007" s="10">
        <f t="shared" si="31"/>
        <v>771.40917094689394</v>
      </c>
    </row>
    <row r="1008" spans="1:12" x14ac:dyDescent="0.25">
      <c r="A1008" s="2">
        <v>3</v>
      </c>
      <c r="B1008" s="4">
        <v>28</v>
      </c>
      <c r="C1008" s="4">
        <v>29.3</v>
      </c>
      <c r="D1008" s="4">
        <v>2</v>
      </c>
      <c r="E1008" s="4" t="s">
        <v>11</v>
      </c>
      <c r="F1008" s="4" t="s">
        <v>12</v>
      </c>
      <c r="G1008" s="4" t="s">
        <v>15</v>
      </c>
      <c r="H1008" s="4">
        <v>1421.0790174736285</v>
      </c>
      <c r="I1008" s="4">
        <v>1894.7720232981712</v>
      </c>
      <c r="J1008" s="2">
        <f>VLOOKUP(A1008,Planilha1!A:M,13,0)</f>
        <v>3049.3550806113421</v>
      </c>
      <c r="K1008" s="10">
        <f t="shared" si="30"/>
        <v>1628.2760631377137</v>
      </c>
      <c r="L1008" s="10">
        <f t="shared" si="31"/>
        <v>473.69300582454275</v>
      </c>
    </row>
    <row r="1009" spans="1:12" x14ac:dyDescent="0.25">
      <c r="A1009" s="2">
        <v>2</v>
      </c>
      <c r="B1009" s="4">
        <v>47</v>
      </c>
      <c r="C1009" s="4">
        <v>28.2</v>
      </c>
      <c r="D1009" s="4">
        <v>3</v>
      </c>
      <c r="E1009" s="4" t="s">
        <v>11</v>
      </c>
      <c r="F1009" s="4" t="s">
        <v>9</v>
      </c>
      <c r="G1009" s="4" t="s">
        <v>14</v>
      </c>
      <c r="H1009" s="4">
        <v>2664.0224870672819</v>
      </c>
      <c r="I1009" s="4">
        <v>3552.0299827563758</v>
      </c>
      <c r="J1009" s="2">
        <f>VLOOKUP(A1009,Planilha1!A:M,13,0)</f>
        <v>3220.2324129890262</v>
      </c>
      <c r="K1009" s="10">
        <f t="shared" si="30"/>
        <v>556.20992592174434</v>
      </c>
      <c r="L1009" s="10">
        <f t="shared" si="31"/>
        <v>888.00749568909396</v>
      </c>
    </row>
    <row r="1010" spans="1:12" x14ac:dyDescent="0.25">
      <c r="A1010" s="2">
        <v>0</v>
      </c>
      <c r="B1010" s="4">
        <v>25</v>
      </c>
      <c r="C1010" s="4">
        <v>23.7</v>
      </c>
      <c r="D1010" s="4">
        <v>2</v>
      </c>
      <c r="E1010" s="4" t="s">
        <v>11</v>
      </c>
      <c r="F1010" s="4" t="s">
        <v>12</v>
      </c>
      <c r="G1010" s="4" t="s">
        <v>15</v>
      </c>
      <c r="H1010" s="4">
        <v>1746.54918228015</v>
      </c>
      <c r="I1010" s="4">
        <v>2054.7637438590009</v>
      </c>
      <c r="J1010" s="2">
        <f>VLOOKUP(A1010,Planilha1!A:M,13,0)</f>
        <v>2511.8220480829059</v>
      </c>
      <c r="K1010" s="10">
        <f t="shared" si="30"/>
        <v>765.27286580275586</v>
      </c>
      <c r="L1010" s="10">
        <f t="shared" si="31"/>
        <v>308.21456157885086</v>
      </c>
    </row>
    <row r="1011" spans="1:12" x14ac:dyDescent="0.25">
      <c r="A1011" s="2">
        <v>1</v>
      </c>
      <c r="B1011" s="4">
        <v>51</v>
      </c>
      <c r="C1011" s="4">
        <v>27.7</v>
      </c>
      <c r="D1011" s="4">
        <v>1</v>
      </c>
      <c r="E1011" s="4" t="s">
        <v>11</v>
      </c>
      <c r="F1011" s="4" t="s">
        <v>12</v>
      </c>
      <c r="G1011" s="4" t="s">
        <v>15</v>
      </c>
      <c r="H1011" s="4">
        <v>3890.7884461142758</v>
      </c>
      <c r="I1011" s="4">
        <v>3705.5128058231217</v>
      </c>
      <c r="J1011" s="2">
        <f>VLOOKUP(A1011,Planilha1!A:M,13,0)</f>
        <v>6326.3485212104815</v>
      </c>
      <c r="K1011" s="10">
        <f t="shared" si="30"/>
        <v>2435.5600750962058</v>
      </c>
      <c r="L1011" s="10">
        <f t="shared" si="31"/>
        <v>-185.2756402911541</v>
      </c>
    </row>
    <row r="1012" spans="1:12" x14ac:dyDescent="0.25">
      <c r="A1012" s="2">
        <v>1</v>
      </c>
      <c r="B1012" s="4">
        <v>48</v>
      </c>
      <c r="C1012" s="4">
        <v>22.8</v>
      </c>
      <c r="D1012" s="4">
        <v>0</v>
      </c>
      <c r="E1012" s="4" t="s">
        <v>8</v>
      </c>
      <c r="F1012" s="4" t="s">
        <v>12</v>
      </c>
      <c r="G1012" s="4" t="s">
        <v>10</v>
      </c>
      <c r="H1012" s="4">
        <v>5207.5110378288264</v>
      </c>
      <c r="I1012" s="4">
        <v>4959.5343217417403</v>
      </c>
      <c r="J1012" s="2">
        <f>VLOOKUP(A1012,Planilha1!A:M,13,0)</f>
        <v>6326.3485212104815</v>
      </c>
      <c r="K1012" s="10">
        <f t="shared" si="30"/>
        <v>1118.8374833816551</v>
      </c>
      <c r="L1012" s="10">
        <f t="shared" si="31"/>
        <v>-247.97671608708606</v>
      </c>
    </row>
    <row r="1013" spans="1:12" x14ac:dyDescent="0.25">
      <c r="A1013" s="2">
        <v>2</v>
      </c>
      <c r="B1013" s="4">
        <v>43</v>
      </c>
      <c r="C1013" s="4">
        <v>20.100000000000001</v>
      </c>
      <c r="D1013" s="4">
        <v>2</v>
      </c>
      <c r="E1013" s="4" t="s">
        <v>11</v>
      </c>
      <c r="F1013" s="4" t="s">
        <v>9</v>
      </c>
      <c r="G1013" s="4" t="s">
        <v>13</v>
      </c>
      <c r="H1013" s="4">
        <v>2224.768234076374</v>
      </c>
      <c r="I1013" s="4">
        <v>2617.3743930310288</v>
      </c>
      <c r="J1013" s="2">
        <f>VLOOKUP(A1013,Planilha1!A:M,13,0)</f>
        <v>3220.2324129890262</v>
      </c>
      <c r="K1013" s="10">
        <f t="shared" si="30"/>
        <v>995.46417891265219</v>
      </c>
      <c r="L1013" s="10">
        <f t="shared" si="31"/>
        <v>392.6061589546548</v>
      </c>
    </row>
    <row r="1014" spans="1:12" x14ac:dyDescent="0.25">
      <c r="A1014" s="2">
        <v>3</v>
      </c>
      <c r="B1014" s="4">
        <v>61</v>
      </c>
      <c r="C1014" s="4">
        <v>33.299999999999997</v>
      </c>
      <c r="D1014" s="4">
        <v>4</v>
      </c>
      <c r="E1014" s="4" t="s">
        <v>8</v>
      </c>
      <c r="F1014" s="4" t="s">
        <v>12</v>
      </c>
      <c r="G1014" s="4" t="s">
        <v>13</v>
      </c>
      <c r="H1014" s="4">
        <v>2273.5912449984535</v>
      </c>
      <c r="I1014" s="4">
        <v>3031.454993331271</v>
      </c>
      <c r="J1014" s="2">
        <f>VLOOKUP(A1014,Planilha1!A:M,13,0)</f>
        <v>3049.3550806113421</v>
      </c>
      <c r="K1014" s="10">
        <f t="shared" si="30"/>
        <v>775.76383561288867</v>
      </c>
      <c r="L1014" s="10">
        <f t="shared" si="31"/>
        <v>757.86374833281752</v>
      </c>
    </row>
    <row r="1015" spans="1:12" x14ac:dyDescent="0.25">
      <c r="A1015" s="2">
        <v>1</v>
      </c>
      <c r="B1015" s="4">
        <v>48</v>
      </c>
      <c r="C1015" s="4">
        <v>32.299999999999997</v>
      </c>
      <c r="D1015" s="4">
        <v>1</v>
      </c>
      <c r="E1015" s="4" t="s">
        <v>11</v>
      </c>
      <c r="F1015" s="4" t="s">
        <v>12</v>
      </c>
      <c r="G1015" s="4" t="s">
        <v>14</v>
      </c>
      <c r="H1015" s="4">
        <v>5126.5167784026644</v>
      </c>
      <c r="I1015" s="4">
        <v>4882.3969318120626</v>
      </c>
      <c r="J1015" s="2">
        <f>VLOOKUP(A1015,Planilha1!A:M,13,0)</f>
        <v>6326.3485212104815</v>
      </c>
      <c r="K1015" s="10">
        <f t="shared" si="30"/>
        <v>1199.8317428078171</v>
      </c>
      <c r="L1015" s="10">
        <f t="shared" si="31"/>
        <v>-244.11984659060181</v>
      </c>
    </row>
    <row r="1016" spans="1:12" x14ac:dyDescent="0.25">
      <c r="A1016" s="2">
        <v>0</v>
      </c>
      <c r="B1016" s="4">
        <v>38</v>
      </c>
      <c r="C1016" s="4">
        <v>25.8</v>
      </c>
      <c r="D1016" s="4">
        <v>0</v>
      </c>
      <c r="E1016" s="4" t="s">
        <v>8</v>
      </c>
      <c r="F1016" s="4" t="s">
        <v>12</v>
      </c>
      <c r="G1016" s="4" t="s">
        <v>10</v>
      </c>
      <c r="H1016" s="4">
        <v>2157.869121490523</v>
      </c>
      <c r="I1016" s="4">
        <v>2538.6695546947331</v>
      </c>
      <c r="J1016" s="2">
        <f>VLOOKUP(A1016,Planilha1!A:M,13,0)</f>
        <v>2511.8220480829059</v>
      </c>
      <c r="K1016" s="10">
        <f t="shared" si="30"/>
        <v>353.95292659238294</v>
      </c>
      <c r="L1016" s="10">
        <f t="shared" si="31"/>
        <v>380.80043320421009</v>
      </c>
    </row>
    <row r="1017" spans="1:12" x14ac:dyDescent="0.25">
      <c r="A1017" s="2">
        <v>1</v>
      </c>
      <c r="B1017" s="4">
        <v>59</v>
      </c>
      <c r="C1017" s="4">
        <v>25.5</v>
      </c>
      <c r="D1017" s="4">
        <v>0</v>
      </c>
      <c r="E1017" s="4" t="s">
        <v>11</v>
      </c>
      <c r="F1017" s="4" t="s">
        <v>12</v>
      </c>
      <c r="G1017" s="4" t="s">
        <v>14</v>
      </c>
      <c r="H1017" s="4">
        <v>5018.551146310042</v>
      </c>
      <c r="I1017" s="4">
        <v>4779.572520295279</v>
      </c>
      <c r="J1017" s="2">
        <f>VLOOKUP(A1017,Planilha1!A:M,13,0)</f>
        <v>6326.3485212104815</v>
      </c>
      <c r="K1017" s="10">
        <f t="shared" si="30"/>
        <v>1307.7973749004395</v>
      </c>
      <c r="L1017" s="10">
        <f t="shared" si="31"/>
        <v>-238.97862601476299</v>
      </c>
    </row>
    <row r="1018" spans="1:12" x14ac:dyDescent="0.25">
      <c r="A1018" s="2">
        <v>0</v>
      </c>
      <c r="B1018" s="4">
        <v>19</v>
      </c>
      <c r="C1018" s="4">
        <v>24.5</v>
      </c>
      <c r="D1018" s="4">
        <v>1</v>
      </c>
      <c r="E1018" s="4" t="s">
        <v>8</v>
      </c>
      <c r="F1018" s="4" t="s">
        <v>12</v>
      </c>
      <c r="G1018" s="4" t="s">
        <v>14</v>
      </c>
      <c r="H1018" s="4">
        <v>1978.7931035883817</v>
      </c>
      <c r="I1018" s="4">
        <v>2327.9918865745676</v>
      </c>
      <c r="J1018" s="2">
        <f>VLOOKUP(A1018,Planilha1!A:M,13,0)</f>
        <v>2511.8220480829059</v>
      </c>
      <c r="K1018" s="10">
        <f t="shared" si="30"/>
        <v>533.02894449452424</v>
      </c>
      <c r="L1018" s="10">
        <f t="shared" si="31"/>
        <v>349.19878298618596</v>
      </c>
    </row>
    <row r="1019" spans="1:12" x14ac:dyDescent="0.25">
      <c r="A1019" s="2">
        <v>3</v>
      </c>
      <c r="B1019" s="4">
        <v>26</v>
      </c>
      <c r="C1019" s="4">
        <v>34.200000000000003</v>
      </c>
      <c r="D1019" s="4">
        <v>2</v>
      </c>
      <c r="E1019" s="4" t="s">
        <v>8</v>
      </c>
      <c r="F1019" s="4" t="s">
        <v>12</v>
      </c>
      <c r="G1019" s="4" t="s">
        <v>10</v>
      </c>
      <c r="H1019" s="4">
        <v>1427.382058173665</v>
      </c>
      <c r="I1019" s="4">
        <v>1903.1760775648868</v>
      </c>
      <c r="J1019" s="2">
        <f>VLOOKUP(A1019,Planilha1!A:M,13,0)</f>
        <v>3049.3550806113421</v>
      </c>
      <c r="K1019" s="10">
        <f t="shared" si="30"/>
        <v>1621.9730224376772</v>
      </c>
      <c r="L1019" s="10">
        <f t="shared" si="31"/>
        <v>475.79401939122181</v>
      </c>
    </row>
    <row r="1020" spans="1:12" x14ac:dyDescent="0.25">
      <c r="A1020" s="2">
        <v>3</v>
      </c>
      <c r="B1020" s="4">
        <v>54</v>
      </c>
      <c r="C1020" s="4">
        <v>35.799999999999997</v>
      </c>
      <c r="D1020" s="4">
        <v>3</v>
      </c>
      <c r="E1020" s="4" t="s">
        <v>8</v>
      </c>
      <c r="F1020" s="4" t="s">
        <v>12</v>
      </c>
      <c r="G1020" s="4" t="s">
        <v>14</v>
      </c>
      <c r="H1020" s="4">
        <v>1758.7296583830448</v>
      </c>
      <c r="I1020" s="4">
        <v>2344.9728778440599</v>
      </c>
      <c r="J1020" s="2">
        <f>VLOOKUP(A1020,Planilha1!A:M,13,0)</f>
        <v>3049.3550806113421</v>
      </c>
      <c r="K1020" s="10">
        <f t="shared" si="30"/>
        <v>1290.6254222282973</v>
      </c>
      <c r="L1020" s="10">
        <f t="shared" si="31"/>
        <v>586.24321946101509</v>
      </c>
    </row>
    <row r="1021" spans="1:12" x14ac:dyDescent="0.25">
      <c r="A1021" s="2">
        <v>0</v>
      </c>
      <c r="B1021" s="4">
        <v>21</v>
      </c>
      <c r="C1021" s="4">
        <v>25.8</v>
      </c>
      <c r="D1021" s="4">
        <v>2</v>
      </c>
      <c r="E1021" s="4" t="s">
        <v>8</v>
      </c>
      <c r="F1021" s="4" t="s">
        <v>12</v>
      </c>
      <c r="G1021" s="4" t="s">
        <v>14</v>
      </c>
      <c r="H1021" s="4">
        <v>1908.962839637974</v>
      </c>
      <c r="I1021" s="4">
        <v>2245.8386348682056</v>
      </c>
      <c r="J1021" s="2">
        <f>VLOOKUP(A1021,Planilha1!A:M,13,0)</f>
        <v>2511.8220480829059</v>
      </c>
      <c r="K1021" s="10">
        <f t="shared" si="30"/>
        <v>602.85920844493194</v>
      </c>
      <c r="L1021" s="10">
        <f t="shared" si="31"/>
        <v>336.87579523023169</v>
      </c>
    </row>
    <row r="1022" spans="1:12" x14ac:dyDescent="0.25">
      <c r="A1022" s="2">
        <v>1</v>
      </c>
      <c r="B1022" s="4">
        <v>51</v>
      </c>
      <c r="C1022" s="4">
        <v>37</v>
      </c>
      <c r="D1022" s="4">
        <v>0</v>
      </c>
      <c r="E1022" s="4" t="s">
        <v>11</v>
      </c>
      <c r="F1022" s="4" t="s">
        <v>12</v>
      </c>
      <c r="G1022" s="4" t="s">
        <v>10</v>
      </c>
      <c r="H1022" s="4">
        <v>5159.5192494242765</v>
      </c>
      <c r="I1022" s="4">
        <v>4913.8278565945511</v>
      </c>
      <c r="J1022" s="2">
        <f>VLOOKUP(A1022,Planilha1!A:M,13,0)</f>
        <v>6326.3485212104815</v>
      </c>
      <c r="K1022" s="10">
        <f t="shared" si="30"/>
        <v>1166.829271786205</v>
      </c>
      <c r="L1022" s="10">
        <f t="shared" si="31"/>
        <v>-245.69139282972537</v>
      </c>
    </row>
    <row r="1023" spans="1:12" x14ac:dyDescent="0.25">
      <c r="A1023" s="2">
        <v>2</v>
      </c>
      <c r="B1023" s="4">
        <v>22</v>
      </c>
      <c r="C1023" s="4">
        <v>31</v>
      </c>
      <c r="D1023" s="4">
        <v>3</v>
      </c>
      <c r="E1023" s="4" t="s">
        <v>8</v>
      </c>
      <c r="F1023" s="4" t="s">
        <v>9</v>
      </c>
      <c r="G1023" s="4" t="s">
        <v>13</v>
      </c>
      <c r="H1023" s="4">
        <v>841.87453898069703</v>
      </c>
      <c r="I1023" s="4">
        <v>1122.499385307596</v>
      </c>
      <c r="J1023" s="2">
        <f>VLOOKUP(A1023,Planilha1!A:M,13,0)</f>
        <v>3220.2324129890262</v>
      </c>
      <c r="K1023" s="10">
        <f t="shared" si="30"/>
        <v>2378.3578740083294</v>
      </c>
      <c r="L1023" s="10">
        <f t="shared" si="31"/>
        <v>280.62484632689893</v>
      </c>
    </row>
    <row r="1024" spans="1:12" x14ac:dyDescent="0.25">
      <c r="A1024" s="2">
        <v>2</v>
      </c>
      <c r="B1024" s="4">
        <v>47</v>
      </c>
      <c r="C1024" s="4">
        <v>36.1</v>
      </c>
      <c r="D1024" s="4">
        <v>1</v>
      </c>
      <c r="E1024" s="4" t="s">
        <v>11</v>
      </c>
      <c r="F1024" s="4" t="s">
        <v>9</v>
      </c>
      <c r="G1024" s="4" t="s">
        <v>13</v>
      </c>
      <c r="H1024" s="4">
        <v>3559.5862017813324</v>
      </c>
      <c r="I1024" s="4">
        <v>3390.0820969346041</v>
      </c>
      <c r="J1024" s="2">
        <f>VLOOKUP(A1024,Planilha1!A:M,13,0)</f>
        <v>3220.2324129890262</v>
      </c>
      <c r="K1024" s="10">
        <f t="shared" si="30"/>
        <v>-339.3537887923062</v>
      </c>
      <c r="L1024" s="10">
        <f t="shared" si="31"/>
        <v>-169.5041048467283</v>
      </c>
    </row>
    <row r="1025" spans="1:12" x14ac:dyDescent="0.25">
      <c r="A1025" s="2">
        <v>0</v>
      </c>
      <c r="B1025" s="4">
        <v>18</v>
      </c>
      <c r="C1025" s="4">
        <v>21.8</v>
      </c>
      <c r="D1025" s="4">
        <v>1</v>
      </c>
      <c r="E1025" s="4" t="s">
        <v>11</v>
      </c>
      <c r="F1025" s="4" t="s">
        <v>12</v>
      </c>
      <c r="G1025" s="4" t="s">
        <v>13</v>
      </c>
      <c r="H1025" s="4">
        <v>1531.6012863899214</v>
      </c>
      <c r="I1025" s="4">
        <v>1801.8838663410847</v>
      </c>
      <c r="J1025" s="2">
        <f>VLOOKUP(A1025,Planilha1!A:M,13,0)</f>
        <v>2511.8220480829059</v>
      </c>
      <c r="K1025" s="10">
        <f t="shared" si="30"/>
        <v>980.22076169298452</v>
      </c>
      <c r="L1025" s="10">
        <f t="shared" si="31"/>
        <v>270.28257995116337</v>
      </c>
    </row>
    <row r="1026" spans="1:12" x14ac:dyDescent="0.25">
      <c r="A1026" s="2">
        <v>1</v>
      </c>
      <c r="B1026" s="4">
        <v>47</v>
      </c>
      <c r="C1026" s="4">
        <v>45.3</v>
      </c>
      <c r="D1026" s="4">
        <v>1</v>
      </c>
      <c r="E1026" s="4" t="s">
        <v>8</v>
      </c>
      <c r="F1026" s="4" t="s">
        <v>12</v>
      </c>
      <c r="G1026" s="4" t="s">
        <v>13</v>
      </c>
      <c r="H1026" s="4">
        <v>5543.7124904623997</v>
      </c>
      <c r="I1026" s="4">
        <v>5279.7261813927626</v>
      </c>
      <c r="J1026" s="2">
        <f>VLOOKUP(A1026,Planilha1!A:M,13,0)</f>
        <v>6326.3485212104815</v>
      </c>
      <c r="K1026" s="10">
        <f t="shared" si="30"/>
        <v>782.63603074808179</v>
      </c>
      <c r="L1026" s="10">
        <f t="shared" si="31"/>
        <v>-263.98630906963717</v>
      </c>
    </row>
    <row r="1027" spans="1:12" x14ac:dyDescent="0.25">
      <c r="A1027" s="2">
        <v>0</v>
      </c>
      <c r="B1027" s="4">
        <v>21</v>
      </c>
      <c r="C1027" s="4">
        <v>22.5</v>
      </c>
      <c r="D1027" s="4">
        <v>0</v>
      </c>
      <c r="E1027" s="4" t="s">
        <v>8</v>
      </c>
      <c r="F1027" s="4" t="s">
        <v>12</v>
      </c>
      <c r="G1027" s="4" t="s">
        <v>10</v>
      </c>
      <c r="H1027" s="4">
        <v>1388.7435980028549</v>
      </c>
      <c r="I1027" s="4">
        <v>1633.8159976504182</v>
      </c>
      <c r="J1027" s="2">
        <f>VLOOKUP(A1027,Planilha1!A:M,13,0)</f>
        <v>2511.8220480829059</v>
      </c>
      <c r="K1027" s="10">
        <f t="shared" ref="K1027:K1090" si="32">J1027-H1027</f>
        <v>1123.078450080051</v>
      </c>
      <c r="L1027" s="10">
        <f t="shared" ref="L1027:L1090" si="33">I1027-H1027</f>
        <v>245.07239964756332</v>
      </c>
    </row>
    <row r="1028" spans="1:12" x14ac:dyDescent="0.25">
      <c r="A1028" s="2">
        <v>2</v>
      </c>
      <c r="B1028" s="4">
        <v>19</v>
      </c>
      <c r="C1028" s="4">
        <v>20.5</v>
      </c>
      <c r="D1028" s="4">
        <v>1</v>
      </c>
      <c r="E1028" s="4" t="s">
        <v>11</v>
      </c>
      <c r="F1028" s="4" t="s">
        <v>9</v>
      </c>
      <c r="G1028" s="4" t="s">
        <v>14</v>
      </c>
      <c r="H1028" s="4">
        <v>1700.7151958853658</v>
      </c>
      <c r="I1028" s="4">
        <v>2000.8414069239604</v>
      </c>
      <c r="J1028" s="2">
        <f>VLOOKUP(A1028,Planilha1!A:M,13,0)</f>
        <v>3220.2324129890262</v>
      </c>
      <c r="K1028" s="10">
        <f t="shared" si="32"/>
        <v>1519.5172171036604</v>
      </c>
      <c r="L1028" s="10">
        <f t="shared" si="33"/>
        <v>300.12621103859465</v>
      </c>
    </row>
    <row r="1029" spans="1:12" x14ac:dyDescent="0.25">
      <c r="A1029" s="2">
        <v>0</v>
      </c>
      <c r="B1029" s="4">
        <v>23</v>
      </c>
      <c r="C1029" s="4">
        <v>25.8</v>
      </c>
      <c r="D1029" s="4">
        <v>0</v>
      </c>
      <c r="E1029" s="4" t="s">
        <v>11</v>
      </c>
      <c r="F1029" s="4" t="s">
        <v>12</v>
      </c>
      <c r="G1029" s="4" t="s">
        <v>14</v>
      </c>
      <c r="H1029" s="4">
        <v>1515.0842381574853</v>
      </c>
      <c r="I1029" s="4">
        <v>1782.4520448911601</v>
      </c>
      <c r="J1029" s="2">
        <f>VLOOKUP(A1029,Planilha1!A:M,13,0)</f>
        <v>2511.8220480829059</v>
      </c>
      <c r="K1029" s="10">
        <f t="shared" si="32"/>
        <v>996.73780992542061</v>
      </c>
      <c r="L1029" s="10">
        <f t="shared" si="33"/>
        <v>267.3678067336748</v>
      </c>
    </row>
    <row r="1030" spans="1:12" x14ac:dyDescent="0.25">
      <c r="A1030" s="2">
        <v>1</v>
      </c>
      <c r="B1030" s="4">
        <v>54</v>
      </c>
      <c r="C1030" s="4">
        <v>31.6</v>
      </c>
      <c r="D1030" s="4">
        <v>0</v>
      </c>
      <c r="E1030" s="4" t="s">
        <v>11</v>
      </c>
      <c r="F1030" s="4" t="s">
        <v>12</v>
      </c>
      <c r="G1030" s="4" t="s">
        <v>10</v>
      </c>
      <c r="H1030" s="4">
        <v>4093.3640964526735</v>
      </c>
      <c r="I1030" s="4">
        <v>3898.4419966215951</v>
      </c>
      <c r="J1030" s="2">
        <f>VLOOKUP(A1030,Planilha1!A:M,13,0)</f>
        <v>6326.3485212104815</v>
      </c>
      <c r="K1030" s="10">
        <f t="shared" si="32"/>
        <v>2232.984424757808</v>
      </c>
      <c r="L1030" s="10">
        <f t="shared" si="33"/>
        <v>-194.92209983107841</v>
      </c>
    </row>
    <row r="1031" spans="1:12" x14ac:dyDescent="0.25">
      <c r="A1031" s="2">
        <v>0</v>
      </c>
      <c r="B1031" s="4">
        <v>37</v>
      </c>
      <c r="C1031" s="4">
        <v>17.3</v>
      </c>
      <c r="D1031" s="4">
        <v>2</v>
      </c>
      <c r="E1031" s="4" t="s">
        <v>8</v>
      </c>
      <c r="F1031" s="4" t="s">
        <v>12</v>
      </c>
      <c r="G1031" s="4" t="s">
        <v>15</v>
      </c>
      <c r="H1031" s="4">
        <v>2211.7272888231992</v>
      </c>
      <c r="I1031" s="4">
        <v>2602.0321044978818</v>
      </c>
      <c r="J1031" s="2">
        <f>VLOOKUP(A1031,Planilha1!A:M,13,0)</f>
        <v>2511.8220480829059</v>
      </c>
      <c r="K1031" s="10">
        <f t="shared" si="32"/>
        <v>300.09475925970673</v>
      </c>
      <c r="L1031" s="10">
        <f t="shared" si="33"/>
        <v>390.30481567468269</v>
      </c>
    </row>
    <row r="1032" spans="1:12" x14ac:dyDescent="0.25">
      <c r="A1032" s="2">
        <v>2</v>
      </c>
      <c r="B1032" s="4">
        <v>46</v>
      </c>
      <c r="C1032" s="4">
        <v>23.7</v>
      </c>
      <c r="D1032" s="4">
        <v>1</v>
      </c>
      <c r="E1032" s="4" t="s">
        <v>8</v>
      </c>
      <c r="F1032" s="4" t="s">
        <v>9</v>
      </c>
      <c r="G1032" s="4" t="s">
        <v>14</v>
      </c>
      <c r="H1032" s="4">
        <v>1960.5165556743063</v>
      </c>
      <c r="I1032" s="4">
        <v>2306.4900654991848</v>
      </c>
      <c r="J1032" s="2">
        <f>VLOOKUP(A1032,Planilha1!A:M,13,0)</f>
        <v>3220.2324129890262</v>
      </c>
      <c r="K1032" s="10">
        <f t="shared" si="32"/>
        <v>1259.7158573147199</v>
      </c>
      <c r="L1032" s="10">
        <f t="shared" si="33"/>
        <v>345.97350982487842</v>
      </c>
    </row>
    <row r="1033" spans="1:12" x14ac:dyDescent="0.25">
      <c r="A1033" s="2">
        <v>2</v>
      </c>
      <c r="B1033" s="4">
        <v>55</v>
      </c>
      <c r="C1033" s="4">
        <v>35.200000000000003</v>
      </c>
      <c r="D1033" s="4">
        <v>0</v>
      </c>
      <c r="E1033" s="4" t="s">
        <v>8</v>
      </c>
      <c r="F1033" s="4" t="s">
        <v>9</v>
      </c>
      <c r="G1033" s="4" t="s">
        <v>13</v>
      </c>
      <c r="H1033" s="4">
        <v>5030.0204642134659</v>
      </c>
      <c r="I1033" s="4">
        <v>4790.4956802033021</v>
      </c>
      <c r="J1033" s="2">
        <f>VLOOKUP(A1033,Planilha1!A:M,13,0)</f>
        <v>3220.2324129890262</v>
      </c>
      <c r="K1033" s="10">
        <f t="shared" si="32"/>
        <v>-1809.7880512244396</v>
      </c>
      <c r="L1033" s="10">
        <f t="shared" si="33"/>
        <v>-239.52478401016378</v>
      </c>
    </row>
    <row r="1034" spans="1:12" x14ac:dyDescent="0.25">
      <c r="A1034" s="2">
        <v>0</v>
      </c>
      <c r="B1034" s="4">
        <v>30</v>
      </c>
      <c r="C1034" s="4">
        <v>21.8</v>
      </c>
      <c r="D1034" s="4">
        <v>0</v>
      </c>
      <c r="E1034" s="4" t="s">
        <v>8</v>
      </c>
      <c r="F1034" s="4" t="s">
        <v>12</v>
      </c>
      <c r="G1034" s="4" t="s">
        <v>15</v>
      </c>
      <c r="H1034" s="4">
        <v>2036.3672938737784</v>
      </c>
      <c r="I1034" s="4">
        <v>2395.726228086799</v>
      </c>
      <c r="J1034" s="2">
        <f>VLOOKUP(A1034,Planilha1!A:M,13,0)</f>
        <v>2511.8220480829059</v>
      </c>
      <c r="K1034" s="10">
        <f t="shared" si="32"/>
        <v>475.45475420912749</v>
      </c>
      <c r="L1034" s="10">
        <f t="shared" si="33"/>
        <v>359.35893421302058</v>
      </c>
    </row>
    <row r="1035" spans="1:12" x14ac:dyDescent="0.25">
      <c r="A1035" s="2">
        <v>2</v>
      </c>
      <c r="B1035" s="4">
        <v>18</v>
      </c>
      <c r="C1035" s="4">
        <v>25.9</v>
      </c>
      <c r="D1035" s="4">
        <v>0</v>
      </c>
      <c r="E1035" s="4" t="s">
        <v>11</v>
      </c>
      <c r="F1035" s="4" t="s">
        <v>9</v>
      </c>
      <c r="G1035" s="4" t="s">
        <v>15</v>
      </c>
      <c r="H1035" s="4">
        <v>2478.1722215728996</v>
      </c>
      <c r="I1035" s="4">
        <v>2915.4967312622357</v>
      </c>
      <c r="J1035" s="2">
        <f>VLOOKUP(A1035,Planilha1!A:M,13,0)</f>
        <v>3220.2324129890262</v>
      </c>
      <c r="K1035" s="10">
        <f t="shared" si="32"/>
        <v>742.0601914161266</v>
      </c>
      <c r="L1035" s="10">
        <f t="shared" si="33"/>
        <v>437.32450968933608</v>
      </c>
    </row>
    <row r="1036" spans="1:12" x14ac:dyDescent="0.25">
      <c r="A1036" s="2">
        <v>1</v>
      </c>
      <c r="B1036" s="4">
        <v>61</v>
      </c>
      <c r="C1036" s="4">
        <v>38.4</v>
      </c>
      <c r="D1036" s="4">
        <v>0</v>
      </c>
      <c r="E1036" s="4" t="s">
        <v>11</v>
      </c>
      <c r="F1036" s="4" t="s">
        <v>12</v>
      </c>
      <c r="G1036" s="4" t="s">
        <v>14</v>
      </c>
      <c r="H1036" s="4">
        <v>4748.1390443990495</v>
      </c>
      <c r="I1036" s="4">
        <v>4522.0371851419532</v>
      </c>
      <c r="J1036" s="2">
        <f>VLOOKUP(A1036,Planilha1!A:M,13,0)</f>
        <v>6326.3485212104815</v>
      </c>
      <c r="K1036" s="10">
        <f t="shared" si="32"/>
        <v>1578.2094768114321</v>
      </c>
      <c r="L1036" s="10">
        <f t="shared" si="33"/>
        <v>-226.10185925709629</v>
      </c>
    </row>
    <row r="1037" spans="1:12" x14ac:dyDescent="0.25">
      <c r="A1037" s="2">
        <v>3</v>
      </c>
      <c r="B1037" s="4">
        <v>54</v>
      </c>
      <c r="C1037" s="4">
        <v>23</v>
      </c>
      <c r="D1037" s="4">
        <v>3</v>
      </c>
      <c r="E1037" s="4" t="s">
        <v>8</v>
      </c>
      <c r="F1037" s="4" t="s">
        <v>12</v>
      </c>
      <c r="G1037" s="4" t="s">
        <v>10</v>
      </c>
      <c r="H1037" s="4">
        <v>1457.5881306508979</v>
      </c>
      <c r="I1037" s="4">
        <v>1943.4508408678639</v>
      </c>
      <c r="J1037" s="2">
        <f>VLOOKUP(A1037,Planilha1!A:M,13,0)</f>
        <v>3049.3550806113421</v>
      </c>
      <c r="K1037" s="10">
        <f t="shared" si="32"/>
        <v>1591.7669499604442</v>
      </c>
      <c r="L1037" s="10">
        <f t="shared" si="33"/>
        <v>485.86271021696598</v>
      </c>
    </row>
    <row r="1038" spans="1:12" x14ac:dyDescent="0.25">
      <c r="A1038" s="2">
        <v>2</v>
      </c>
      <c r="B1038" s="4">
        <v>22</v>
      </c>
      <c r="C1038" s="4">
        <v>37.1</v>
      </c>
      <c r="D1038" s="4">
        <v>2</v>
      </c>
      <c r="E1038" s="4" t="s">
        <v>11</v>
      </c>
      <c r="F1038" s="4" t="s">
        <v>9</v>
      </c>
      <c r="G1038" s="4" t="s">
        <v>13</v>
      </c>
      <c r="H1038" s="4">
        <v>1741.7797794669095</v>
      </c>
      <c r="I1038" s="4">
        <v>2322.3730392892126</v>
      </c>
      <c r="J1038" s="2">
        <f>VLOOKUP(A1038,Planilha1!A:M,13,0)</f>
        <v>3220.2324129890262</v>
      </c>
      <c r="K1038" s="10">
        <f t="shared" si="32"/>
        <v>1478.4526335221167</v>
      </c>
      <c r="L1038" s="10">
        <f t="shared" si="33"/>
        <v>580.59325982230303</v>
      </c>
    </row>
    <row r="1039" spans="1:12" x14ac:dyDescent="0.25">
      <c r="A1039" s="2">
        <v>2</v>
      </c>
      <c r="B1039" s="4">
        <v>45</v>
      </c>
      <c r="C1039" s="4">
        <v>30.5</v>
      </c>
      <c r="D1039" s="4">
        <v>1</v>
      </c>
      <c r="E1039" s="4" t="s">
        <v>8</v>
      </c>
      <c r="F1039" s="4" t="s">
        <v>9</v>
      </c>
      <c r="G1039" s="4" t="s">
        <v>14</v>
      </c>
      <c r="H1039" s="4">
        <v>4036.0757557225165</v>
      </c>
      <c r="I1039" s="4">
        <v>3843.8816721166841</v>
      </c>
      <c r="J1039" s="2">
        <f>VLOOKUP(A1039,Planilha1!A:M,13,0)</f>
        <v>3220.2324129890262</v>
      </c>
      <c r="K1039" s="10">
        <f t="shared" si="32"/>
        <v>-815.84334273349032</v>
      </c>
      <c r="L1039" s="10">
        <f t="shared" si="33"/>
        <v>-192.19408360583247</v>
      </c>
    </row>
    <row r="1040" spans="1:12" x14ac:dyDescent="0.25">
      <c r="A1040" s="2">
        <v>0</v>
      </c>
      <c r="B1040" s="4">
        <v>22</v>
      </c>
      <c r="C1040" s="4">
        <v>23.1</v>
      </c>
      <c r="D1040" s="4">
        <v>0</v>
      </c>
      <c r="E1040" s="4" t="s">
        <v>11</v>
      </c>
      <c r="F1040" s="4" t="s">
        <v>12</v>
      </c>
      <c r="G1040" s="4" t="s">
        <v>15</v>
      </c>
      <c r="H1040" s="4">
        <v>1683.8623423984259</v>
      </c>
      <c r="I1040" s="4">
        <v>1981.0145204687371</v>
      </c>
      <c r="J1040" s="2">
        <f>VLOOKUP(A1040,Planilha1!A:M,13,0)</f>
        <v>2511.8220480829059</v>
      </c>
      <c r="K1040" s="10">
        <f t="shared" si="32"/>
        <v>827.95970568448001</v>
      </c>
      <c r="L1040" s="10">
        <f t="shared" si="33"/>
        <v>297.15217807031127</v>
      </c>
    </row>
    <row r="1041" spans="1:12" x14ac:dyDescent="0.25">
      <c r="A1041" s="2">
        <v>0</v>
      </c>
      <c r="B1041" s="4">
        <v>19</v>
      </c>
      <c r="C1041" s="4">
        <v>21.4</v>
      </c>
      <c r="D1041" s="4">
        <v>2</v>
      </c>
      <c r="E1041" s="4" t="s">
        <v>11</v>
      </c>
      <c r="F1041" s="4" t="s">
        <v>12</v>
      </c>
      <c r="G1041" s="4" t="s">
        <v>14</v>
      </c>
      <c r="H1041" s="4">
        <v>1754.8784640103825</v>
      </c>
      <c r="I1041" s="4">
        <v>2064.5628988357448</v>
      </c>
      <c r="J1041" s="2">
        <f>VLOOKUP(A1041,Planilha1!A:M,13,0)</f>
        <v>2511.8220480829059</v>
      </c>
      <c r="K1041" s="10">
        <f t="shared" si="32"/>
        <v>756.94358407252344</v>
      </c>
      <c r="L1041" s="10">
        <f t="shared" si="33"/>
        <v>309.68443482536236</v>
      </c>
    </row>
    <row r="1042" spans="1:12" x14ac:dyDescent="0.25">
      <c r="A1042" s="2">
        <v>2</v>
      </c>
      <c r="B1042" s="4">
        <v>35</v>
      </c>
      <c r="C1042" s="4">
        <v>24</v>
      </c>
      <c r="D1042" s="4">
        <v>0</v>
      </c>
      <c r="E1042" s="4" t="s">
        <v>8</v>
      </c>
      <c r="F1042" s="4" t="s">
        <v>9</v>
      </c>
      <c r="G1042" s="4" t="s">
        <v>14</v>
      </c>
      <c r="H1042" s="4">
        <v>1598.2892007261344</v>
      </c>
      <c r="I1042" s="4">
        <v>1880.3402361483943</v>
      </c>
      <c r="J1042" s="2">
        <f>VLOOKUP(A1042,Planilha1!A:M,13,0)</f>
        <v>3220.2324129890262</v>
      </c>
      <c r="K1042" s="10">
        <f t="shared" si="32"/>
        <v>1621.9432122628918</v>
      </c>
      <c r="L1042" s="10">
        <f t="shared" si="33"/>
        <v>282.05103542225993</v>
      </c>
    </row>
    <row r="1043" spans="1:12" x14ac:dyDescent="0.25">
      <c r="A1043" s="2">
        <v>0</v>
      </c>
      <c r="B1043" s="4">
        <v>18</v>
      </c>
      <c r="C1043" s="4">
        <v>24.8</v>
      </c>
      <c r="D1043" s="4">
        <v>0</v>
      </c>
      <c r="E1043" s="4" t="s">
        <v>11</v>
      </c>
      <c r="F1043" s="4" t="s">
        <v>12</v>
      </c>
      <c r="G1043" s="4" t="s">
        <v>15</v>
      </c>
      <c r="H1043" s="4">
        <v>1457.3416037085512</v>
      </c>
      <c r="I1043" s="4">
        <v>1714.5195337747671</v>
      </c>
      <c r="J1043" s="2">
        <f>VLOOKUP(A1043,Planilha1!A:M,13,0)</f>
        <v>2511.8220480829059</v>
      </c>
      <c r="K1043" s="10">
        <f t="shared" si="32"/>
        <v>1054.4804443743546</v>
      </c>
      <c r="L1043" s="10">
        <f t="shared" si="33"/>
        <v>257.17793006621582</v>
      </c>
    </row>
    <row r="1044" spans="1:12" x14ac:dyDescent="0.25">
      <c r="A1044" s="2">
        <v>2</v>
      </c>
      <c r="B1044" s="4">
        <v>20</v>
      </c>
      <c r="C1044" s="4">
        <v>21.9</v>
      </c>
      <c r="D1044" s="4">
        <v>0</v>
      </c>
      <c r="E1044" s="4" t="s">
        <v>11</v>
      </c>
      <c r="F1044" s="4" t="s">
        <v>9</v>
      </c>
      <c r="G1044" s="4" t="s">
        <v>15</v>
      </c>
      <c r="H1044" s="4">
        <v>1636.6726650662445</v>
      </c>
      <c r="I1044" s="4">
        <v>1925.4972530191119</v>
      </c>
      <c r="J1044" s="2">
        <f>VLOOKUP(A1044,Planilha1!A:M,13,0)</f>
        <v>3220.2324129890262</v>
      </c>
      <c r="K1044" s="10">
        <f t="shared" si="32"/>
        <v>1583.5597479227818</v>
      </c>
      <c r="L1044" s="10">
        <f t="shared" si="33"/>
        <v>288.82458795286743</v>
      </c>
    </row>
    <row r="1045" spans="1:12" x14ac:dyDescent="0.25">
      <c r="A1045" s="2">
        <v>0</v>
      </c>
      <c r="B1045" s="4">
        <v>28</v>
      </c>
      <c r="C1045" s="4">
        <v>25.9</v>
      </c>
      <c r="D1045" s="4">
        <v>0</v>
      </c>
      <c r="E1045" s="4" t="s">
        <v>8</v>
      </c>
      <c r="F1045" s="4" t="s">
        <v>12</v>
      </c>
      <c r="G1045" s="4" t="s">
        <v>10</v>
      </c>
      <c r="H1045" s="4">
        <v>1760.3325038563974</v>
      </c>
      <c r="I1045" s="4">
        <v>2070.979416301645</v>
      </c>
      <c r="J1045" s="2">
        <f>VLOOKUP(A1045,Planilha1!A:M,13,0)</f>
        <v>2511.8220480829059</v>
      </c>
      <c r="K1045" s="10">
        <f t="shared" si="32"/>
        <v>751.48954422650854</v>
      </c>
      <c r="L1045" s="10">
        <f t="shared" si="33"/>
        <v>310.64691244524761</v>
      </c>
    </row>
    <row r="1046" spans="1:12" x14ac:dyDescent="0.25">
      <c r="A1046" s="2">
        <v>1</v>
      </c>
      <c r="B1046" s="4">
        <v>55</v>
      </c>
      <c r="C1046" s="4">
        <v>35.200000000000003</v>
      </c>
      <c r="D1046" s="4">
        <v>1</v>
      </c>
      <c r="E1046" s="4" t="s">
        <v>11</v>
      </c>
      <c r="F1046" s="4" t="s">
        <v>12</v>
      </c>
      <c r="G1046" s="4" t="s">
        <v>15</v>
      </c>
      <c r="H1046" s="4">
        <v>5468.5587565672231</v>
      </c>
      <c r="I1046" s="4">
        <v>5208.1511967306906</v>
      </c>
      <c r="J1046" s="2">
        <f>VLOOKUP(A1046,Planilha1!A:M,13,0)</f>
        <v>6326.3485212104815</v>
      </c>
      <c r="K1046" s="10">
        <f t="shared" si="32"/>
        <v>857.78976464325842</v>
      </c>
      <c r="L1046" s="10">
        <f t="shared" si="33"/>
        <v>-260.40755983653253</v>
      </c>
    </row>
    <row r="1047" spans="1:12" x14ac:dyDescent="0.25">
      <c r="A1047" s="2">
        <v>2</v>
      </c>
      <c r="B1047" s="4">
        <v>43</v>
      </c>
      <c r="C1047" s="4">
        <v>24.7</v>
      </c>
      <c r="D1047" s="4">
        <v>2</v>
      </c>
      <c r="E1047" s="4" t="s">
        <v>8</v>
      </c>
      <c r="F1047" s="4" t="s">
        <v>9</v>
      </c>
      <c r="G1047" s="4" t="s">
        <v>14</v>
      </c>
      <c r="H1047" s="4">
        <v>1489.3803363185136</v>
      </c>
      <c r="I1047" s="4">
        <v>1985.8404484246848</v>
      </c>
      <c r="J1047" s="2">
        <f>VLOOKUP(A1047,Planilha1!A:M,13,0)</f>
        <v>3220.2324129890262</v>
      </c>
      <c r="K1047" s="10">
        <f t="shared" si="32"/>
        <v>1730.8520766705126</v>
      </c>
      <c r="L1047" s="10">
        <f t="shared" si="33"/>
        <v>496.46011210617121</v>
      </c>
    </row>
    <row r="1048" spans="1:12" x14ac:dyDescent="0.25">
      <c r="A1048" s="2">
        <v>1</v>
      </c>
      <c r="B1048" s="4">
        <v>43</v>
      </c>
      <c r="C1048" s="4">
        <v>25.1</v>
      </c>
      <c r="D1048" s="4">
        <v>0</v>
      </c>
      <c r="E1048" s="4" t="s">
        <v>8</v>
      </c>
      <c r="F1048" s="4" t="s">
        <v>12</v>
      </c>
      <c r="G1048" s="4" t="s">
        <v>15</v>
      </c>
      <c r="H1048" s="4">
        <v>2103.8070158121673</v>
      </c>
      <c r="I1048" s="4">
        <v>2475.0670774260798</v>
      </c>
      <c r="J1048" s="2">
        <f>VLOOKUP(A1048,Planilha1!A:M,13,0)</f>
        <v>6326.3485212104815</v>
      </c>
      <c r="K1048" s="10">
        <f t="shared" si="32"/>
        <v>4222.5415053983143</v>
      </c>
      <c r="L1048" s="10">
        <f t="shared" si="33"/>
        <v>371.26006161391251</v>
      </c>
    </row>
    <row r="1049" spans="1:12" x14ac:dyDescent="0.25">
      <c r="A1049" s="2">
        <v>2</v>
      </c>
      <c r="B1049" s="4">
        <v>22</v>
      </c>
      <c r="C1049" s="4">
        <v>23.4</v>
      </c>
      <c r="D1049" s="4">
        <v>1</v>
      </c>
      <c r="E1049" s="4" t="s">
        <v>11</v>
      </c>
      <c r="F1049" s="4" t="s">
        <v>9</v>
      </c>
      <c r="G1049" s="4" t="s">
        <v>13</v>
      </c>
      <c r="H1049" s="4">
        <v>1403.8974556700741</v>
      </c>
      <c r="I1049" s="4">
        <v>1651.6440654942055</v>
      </c>
      <c r="J1049" s="2">
        <f>VLOOKUP(A1049,Planilha1!A:M,13,0)</f>
        <v>3220.2324129890262</v>
      </c>
      <c r="K1049" s="10">
        <f t="shared" si="32"/>
        <v>1816.3349573189521</v>
      </c>
      <c r="L1049" s="10">
        <f t="shared" si="33"/>
        <v>247.74660982413138</v>
      </c>
    </row>
    <row r="1050" spans="1:12" x14ac:dyDescent="0.25">
      <c r="A1050" s="2">
        <v>0</v>
      </c>
      <c r="B1050" s="4">
        <v>25</v>
      </c>
      <c r="C1050" s="4">
        <v>24.2</v>
      </c>
      <c r="D1050" s="4">
        <v>1</v>
      </c>
      <c r="E1050" s="4" t="s">
        <v>8</v>
      </c>
      <c r="F1050" s="4" t="s">
        <v>12</v>
      </c>
      <c r="G1050" s="4" t="s">
        <v>14</v>
      </c>
      <c r="H1050" s="4">
        <v>1583.8321306523108</v>
      </c>
      <c r="I1050" s="4">
        <v>1863.3319184144841</v>
      </c>
      <c r="J1050" s="2">
        <f>VLOOKUP(A1050,Planilha1!A:M,13,0)</f>
        <v>2511.8220480829059</v>
      </c>
      <c r="K1050" s="10">
        <f t="shared" si="32"/>
        <v>927.98991743059514</v>
      </c>
      <c r="L1050" s="10">
        <f t="shared" si="33"/>
        <v>279.49978776217336</v>
      </c>
    </row>
    <row r="1051" spans="1:12" x14ac:dyDescent="0.25">
      <c r="A1051" s="2">
        <v>2</v>
      </c>
      <c r="B1051" s="4">
        <v>49</v>
      </c>
      <c r="C1051" s="4">
        <v>30.9</v>
      </c>
      <c r="D1051" s="4">
        <v>0</v>
      </c>
      <c r="E1051" s="4" t="s">
        <v>11</v>
      </c>
      <c r="F1051" s="4" t="s">
        <v>9</v>
      </c>
      <c r="G1051" s="4" t="s">
        <v>10</v>
      </c>
      <c r="H1051" s="4">
        <v>4670.6446827084419</v>
      </c>
      <c r="I1051" s="4">
        <v>4448.2330311508986</v>
      </c>
      <c r="J1051" s="2">
        <f>VLOOKUP(A1051,Planilha1!A:M,13,0)</f>
        <v>3220.2324129890262</v>
      </c>
      <c r="K1051" s="10">
        <f t="shared" si="32"/>
        <v>-1450.4122697194157</v>
      </c>
      <c r="L1051" s="10">
        <f t="shared" si="33"/>
        <v>-222.41165155754334</v>
      </c>
    </row>
    <row r="1052" spans="1:12" x14ac:dyDescent="0.25">
      <c r="A1052" s="2">
        <v>1</v>
      </c>
      <c r="B1052" s="4">
        <v>44</v>
      </c>
      <c r="C1052" s="4">
        <v>37</v>
      </c>
      <c r="D1052" s="4">
        <v>1</v>
      </c>
      <c r="E1052" s="4" t="s">
        <v>8</v>
      </c>
      <c r="F1052" s="4" t="s">
        <v>12</v>
      </c>
      <c r="G1052" s="4" t="s">
        <v>14</v>
      </c>
      <c r="H1052" s="4">
        <v>6035.3364342030563</v>
      </c>
      <c r="I1052" s="4">
        <v>5747.9394611457692</v>
      </c>
      <c r="J1052" s="2">
        <f>VLOOKUP(A1052,Planilha1!A:M,13,0)</f>
        <v>6326.3485212104815</v>
      </c>
      <c r="K1052" s="10">
        <f t="shared" si="32"/>
        <v>291.01208700742518</v>
      </c>
      <c r="L1052" s="10">
        <f t="shared" si="33"/>
        <v>-287.39697305728714</v>
      </c>
    </row>
    <row r="1053" spans="1:12" x14ac:dyDescent="0.25">
      <c r="A1053" s="2">
        <v>1</v>
      </c>
      <c r="B1053" s="4">
        <v>64</v>
      </c>
      <c r="C1053" s="4">
        <v>26.4</v>
      </c>
      <c r="D1053" s="4">
        <v>0</v>
      </c>
      <c r="E1053" s="4" t="s">
        <v>11</v>
      </c>
      <c r="F1053" s="4" t="s">
        <v>12</v>
      </c>
      <c r="G1053" s="4" t="s">
        <v>15</v>
      </c>
      <c r="H1053" s="4">
        <v>4227.2754731988944</v>
      </c>
      <c r="I1053" s="4">
        <v>4025.9766411418059</v>
      </c>
      <c r="J1053" s="2">
        <f>VLOOKUP(A1053,Planilha1!A:M,13,0)</f>
        <v>6326.3485212104815</v>
      </c>
      <c r="K1053" s="10">
        <f t="shared" si="32"/>
        <v>2099.0730480115872</v>
      </c>
      <c r="L1053" s="10">
        <f t="shared" si="33"/>
        <v>-201.29883205708848</v>
      </c>
    </row>
    <row r="1054" spans="1:12" x14ac:dyDescent="0.25">
      <c r="A1054" s="2">
        <v>1</v>
      </c>
      <c r="B1054" s="4">
        <v>49</v>
      </c>
      <c r="C1054" s="4">
        <v>29.8</v>
      </c>
      <c r="D1054" s="4">
        <v>1</v>
      </c>
      <c r="E1054" s="4" t="s">
        <v>11</v>
      </c>
      <c r="F1054" s="4" t="s">
        <v>12</v>
      </c>
      <c r="G1054" s="4" t="s">
        <v>15</v>
      </c>
      <c r="H1054" s="4">
        <v>5840.448922180859</v>
      </c>
      <c r="I1054" s="4">
        <v>5562.3323068389145</v>
      </c>
      <c r="J1054" s="2">
        <f>VLOOKUP(A1054,Planilha1!A:M,13,0)</f>
        <v>6326.3485212104815</v>
      </c>
      <c r="K1054" s="10">
        <f t="shared" si="32"/>
        <v>485.89959902962255</v>
      </c>
      <c r="L1054" s="10">
        <f t="shared" si="33"/>
        <v>-278.11661534194445</v>
      </c>
    </row>
    <row r="1055" spans="1:12" x14ac:dyDescent="0.25">
      <c r="A1055" s="2">
        <v>2</v>
      </c>
      <c r="B1055" s="4">
        <v>47</v>
      </c>
      <c r="C1055" s="4">
        <v>29.8</v>
      </c>
      <c r="D1055" s="4">
        <v>3</v>
      </c>
      <c r="E1055" s="4" t="s">
        <v>11</v>
      </c>
      <c r="F1055" s="4" t="s">
        <v>9</v>
      </c>
      <c r="G1055" s="4" t="s">
        <v>10</v>
      </c>
      <c r="H1055" s="4">
        <v>1703.2005875176774</v>
      </c>
      <c r="I1055" s="4">
        <v>2270.9341166902364</v>
      </c>
      <c r="J1055" s="2">
        <f>VLOOKUP(A1055,Planilha1!A:M,13,0)</f>
        <v>3220.2324129890262</v>
      </c>
      <c r="K1055" s="10">
        <f t="shared" si="32"/>
        <v>1517.0318254713488</v>
      </c>
      <c r="L1055" s="10">
        <f t="shared" si="33"/>
        <v>567.73352917255897</v>
      </c>
    </row>
    <row r="1056" spans="1:12" x14ac:dyDescent="0.25">
      <c r="A1056" s="2">
        <v>0</v>
      </c>
      <c r="B1056" s="4">
        <v>27</v>
      </c>
      <c r="C1056" s="4">
        <v>22.3</v>
      </c>
      <c r="D1056" s="4">
        <v>0</v>
      </c>
      <c r="E1056" s="4" t="s">
        <v>8</v>
      </c>
      <c r="F1056" s="4" t="s">
        <v>12</v>
      </c>
      <c r="G1056" s="4" t="s">
        <v>14</v>
      </c>
      <c r="H1056" s="4">
        <v>2291.9274457970755</v>
      </c>
      <c r="I1056" s="4">
        <v>2696.3852303495014</v>
      </c>
      <c r="J1056" s="2">
        <f>VLOOKUP(A1056,Planilha1!A:M,13,0)</f>
        <v>2511.8220480829059</v>
      </c>
      <c r="K1056" s="10">
        <f t="shared" si="32"/>
        <v>219.89460228583039</v>
      </c>
      <c r="L1056" s="10">
        <f t="shared" si="33"/>
        <v>404.45778455242589</v>
      </c>
    </row>
    <row r="1057" spans="1:12" x14ac:dyDescent="0.25">
      <c r="A1057" s="2">
        <v>1</v>
      </c>
      <c r="B1057" s="4">
        <v>55</v>
      </c>
      <c r="C1057" s="4">
        <v>27.6</v>
      </c>
      <c r="D1057" s="4">
        <v>0</v>
      </c>
      <c r="E1057" s="4" t="s">
        <v>11</v>
      </c>
      <c r="F1057" s="4" t="s">
        <v>12</v>
      </c>
      <c r="G1057" s="4" t="s">
        <v>14</v>
      </c>
      <c r="H1057" s="4">
        <v>3679.3955930165366</v>
      </c>
      <c r="I1057" s="4">
        <v>3504.1862790633695</v>
      </c>
      <c r="J1057" s="2">
        <f>VLOOKUP(A1057,Planilha1!A:M,13,0)</f>
        <v>6326.3485212104815</v>
      </c>
      <c r="K1057" s="10">
        <f t="shared" si="32"/>
        <v>2646.9529281939449</v>
      </c>
      <c r="L1057" s="10">
        <f t="shared" si="33"/>
        <v>-175.20931395316711</v>
      </c>
    </row>
    <row r="1058" spans="1:12" x14ac:dyDescent="0.25">
      <c r="A1058" s="2">
        <v>1</v>
      </c>
      <c r="B1058" s="4">
        <v>48</v>
      </c>
      <c r="C1058" s="4">
        <v>28.9</v>
      </c>
      <c r="D1058" s="4">
        <v>0</v>
      </c>
      <c r="E1058" s="4" t="s">
        <v>8</v>
      </c>
      <c r="F1058" s="4" t="s">
        <v>12</v>
      </c>
      <c r="G1058" s="4" t="s">
        <v>10</v>
      </c>
      <c r="H1058" s="4">
        <v>4504.2452876915622</v>
      </c>
      <c r="I1058" s="4">
        <v>4289.7574168491083</v>
      </c>
      <c r="J1058" s="2">
        <f>VLOOKUP(A1058,Planilha1!A:M,13,0)</f>
        <v>6326.3485212104815</v>
      </c>
      <c r="K1058" s="10">
        <f t="shared" si="32"/>
        <v>1822.1032335189193</v>
      </c>
      <c r="L1058" s="10">
        <f t="shared" si="33"/>
        <v>-214.48787084245396</v>
      </c>
    </row>
    <row r="1059" spans="1:12" x14ac:dyDescent="0.25">
      <c r="A1059" s="2">
        <v>1</v>
      </c>
      <c r="B1059" s="4">
        <v>45</v>
      </c>
      <c r="C1059" s="4">
        <v>31.8</v>
      </c>
      <c r="D1059" s="4">
        <v>0</v>
      </c>
      <c r="E1059" s="4" t="s">
        <v>8</v>
      </c>
      <c r="F1059" s="4" t="s">
        <v>12</v>
      </c>
      <c r="G1059" s="4" t="s">
        <v>13</v>
      </c>
      <c r="H1059" s="4">
        <v>5107.7361104540205</v>
      </c>
      <c r="I1059" s="4">
        <v>4864.5105813847822</v>
      </c>
      <c r="J1059" s="2">
        <f>VLOOKUP(A1059,Planilha1!A:M,13,0)</f>
        <v>6326.3485212104815</v>
      </c>
      <c r="K1059" s="10">
        <f t="shared" si="32"/>
        <v>1218.612410756461</v>
      </c>
      <c r="L1059" s="10">
        <f t="shared" si="33"/>
        <v>-243.22552906923829</v>
      </c>
    </row>
    <row r="1060" spans="1:12" x14ac:dyDescent="0.25">
      <c r="A1060" s="2">
        <v>0</v>
      </c>
      <c r="B1060" s="4">
        <v>24</v>
      </c>
      <c r="C1060" s="4">
        <v>24.5</v>
      </c>
      <c r="D1060" s="4">
        <v>0</v>
      </c>
      <c r="E1060" s="4" t="s">
        <v>8</v>
      </c>
      <c r="F1060" s="4" t="s">
        <v>12</v>
      </c>
      <c r="G1060" s="4" t="s">
        <v>13</v>
      </c>
      <c r="H1060" s="4">
        <v>1523.6591255520352</v>
      </c>
      <c r="I1060" s="4">
        <v>1792.5401477082776</v>
      </c>
      <c r="J1060" s="2">
        <f>VLOOKUP(A1060,Planilha1!A:M,13,0)</f>
        <v>2511.8220480829059</v>
      </c>
      <c r="K1060" s="10">
        <f t="shared" si="32"/>
        <v>988.16292253087067</v>
      </c>
      <c r="L1060" s="10">
        <f t="shared" si="33"/>
        <v>268.88102215624235</v>
      </c>
    </row>
    <row r="1061" spans="1:12" x14ac:dyDescent="0.25">
      <c r="A1061" s="2">
        <v>0</v>
      </c>
      <c r="B1061" s="4">
        <v>32</v>
      </c>
      <c r="C1061" s="4">
        <v>20.3</v>
      </c>
      <c r="D1061" s="4">
        <v>1</v>
      </c>
      <c r="E1061" s="4" t="s">
        <v>11</v>
      </c>
      <c r="F1061" s="4" t="s">
        <v>12</v>
      </c>
      <c r="G1061" s="4" t="s">
        <v>14</v>
      </c>
      <c r="H1061" s="4">
        <v>1641.5686871612636</v>
      </c>
      <c r="I1061" s="4">
        <v>1931.2572790132519</v>
      </c>
      <c r="J1061" s="2">
        <f>VLOOKUP(A1061,Planilha1!A:M,13,0)</f>
        <v>2511.8220480829059</v>
      </c>
      <c r="K1061" s="10">
        <f t="shared" si="32"/>
        <v>870.2533609216423</v>
      </c>
      <c r="L1061" s="10">
        <f t="shared" si="33"/>
        <v>289.68859185198835</v>
      </c>
    </row>
    <row r="1062" spans="1:12" x14ac:dyDescent="0.25">
      <c r="A1062" s="2">
        <v>0</v>
      </c>
      <c r="B1062" s="4">
        <v>24</v>
      </c>
      <c r="C1062" s="4">
        <v>25.1</v>
      </c>
      <c r="D1062" s="4">
        <v>0</v>
      </c>
      <c r="E1062" s="4" t="s">
        <v>11</v>
      </c>
      <c r="F1062" s="4" t="s">
        <v>12</v>
      </c>
      <c r="G1062" s="4" t="s">
        <v>13</v>
      </c>
      <c r="H1062" s="4">
        <v>1872.0232723000147</v>
      </c>
      <c r="I1062" s="4">
        <v>2202.3803203529592</v>
      </c>
      <c r="J1062" s="2">
        <f>VLOOKUP(A1062,Planilha1!A:M,13,0)</f>
        <v>2511.8220480829059</v>
      </c>
      <c r="K1062" s="10">
        <f t="shared" si="32"/>
        <v>639.7987757828912</v>
      </c>
      <c r="L1062" s="10">
        <f t="shared" si="33"/>
        <v>330.35704805294449</v>
      </c>
    </row>
    <row r="1063" spans="1:12" x14ac:dyDescent="0.25">
      <c r="A1063" s="2">
        <v>1</v>
      </c>
      <c r="B1063" s="4">
        <v>57</v>
      </c>
      <c r="C1063" s="4">
        <v>27.9</v>
      </c>
      <c r="D1063" s="4">
        <v>1</v>
      </c>
      <c r="E1063" s="4" t="s">
        <v>11</v>
      </c>
      <c r="F1063" s="4" t="s">
        <v>12</v>
      </c>
      <c r="G1063" s="4" t="s">
        <v>13</v>
      </c>
      <c r="H1063" s="4">
        <v>5019.5994184593956</v>
      </c>
      <c r="I1063" s="4">
        <v>4780.5708747232347</v>
      </c>
      <c r="J1063" s="2">
        <f>VLOOKUP(A1063,Planilha1!A:M,13,0)</f>
        <v>6326.3485212104815</v>
      </c>
      <c r="K1063" s="10">
        <f t="shared" si="32"/>
        <v>1306.749102751086</v>
      </c>
      <c r="L1063" s="10">
        <f t="shared" si="33"/>
        <v>-239.02854373616083</v>
      </c>
    </row>
    <row r="1064" spans="1:12" x14ac:dyDescent="0.25">
      <c r="A1064" s="2">
        <v>2</v>
      </c>
      <c r="B1064" s="4">
        <v>59</v>
      </c>
      <c r="C1064" s="4">
        <v>41.1</v>
      </c>
      <c r="D1064" s="4">
        <v>1</v>
      </c>
      <c r="E1064" s="4" t="s">
        <v>11</v>
      </c>
      <c r="F1064" s="4" t="s">
        <v>9</v>
      </c>
      <c r="G1064" s="4" t="s">
        <v>13</v>
      </c>
      <c r="H1064" s="4">
        <v>4519.2535492514589</v>
      </c>
      <c r="I1064" s="4">
        <v>4304.0509992871057</v>
      </c>
      <c r="J1064" s="2">
        <f>VLOOKUP(A1064,Planilha1!A:M,13,0)</f>
        <v>3220.2324129890262</v>
      </c>
      <c r="K1064" s="10">
        <f t="shared" si="32"/>
        <v>-1299.0211362624327</v>
      </c>
      <c r="L1064" s="10">
        <f t="shared" si="33"/>
        <v>-215.20254996435324</v>
      </c>
    </row>
    <row r="1065" spans="1:12" x14ac:dyDescent="0.25">
      <c r="A1065" s="2">
        <v>3</v>
      </c>
      <c r="B1065" s="4">
        <v>36</v>
      </c>
      <c r="C1065" s="4">
        <v>28.6</v>
      </c>
      <c r="D1065" s="4">
        <v>3</v>
      </c>
      <c r="E1065" s="4" t="s">
        <v>11</v>
      </c>
      <c r="F1065" s="4" t="s">
        <v>12</v>
      </c>
      <c r="G1065" s="4" t="s">
        <v>14</v>
      </c>
      <c r="H1065" s="4">
        <v>1711.3842855211078</v>
      </c>
      <c r="I1065" s="4">
        <v>2281.8457140281439</v>
      </c>
      <c r="J1065" s="2">
        <f>VLOOKUP(A1065,Planilha1!A:M,13,0)</f>
        <v>3049.3550806113421</v>
      </c>
      <c r="K1065" s="10">
        <f t="shared" si="32"/>
        <v>1337.9707950902343</v>
      </c>
      <c r="L1065" s="10">
        <f t="shared" si="33"/>
        <v>570.46142850703609</v>
      </c>
    </row>
    <row r="1066" spans="1:12" x14ac:dyDescent="0.25">
      <c r="A1066" s="2">
        <v>3</v>
      </c>
      <c r="B1066" s="4">
        <v>29</v>
      </c>
      <c r="C1066" s="4">
        <v>25.6</v>
      </c>
      <c r="D1066" s="4">
        <v>4</v>
      </c>
      <c r="E1066" s="4" t="s">
        <v>8</v>
      </c>
      <c r="F1066" s="4" t="s">
        <v>12</v>
      </c>
      <c r="G1066" s="4" t="s">
        <v>10</v>
      </c>
      <c r="H1066" s="4">
        <v>2037.5325546459676</v>
      </c>
      <c r="I1066" s="4">
        <v>2716.71007286129</v>
      </c>
      <c r="J1066" s="2">
        <f>VLOOKUP(A1066,Planilha1!A:M,13,0)</f>
        <v>3049.3550806113421</v>
      </c>
      <c r="K1066" s="10">
        <f t="shared" si="32"/>
        <v>1011.8225259653746</v>
      </c>
      <c r="L1066" s="10">
        <f t="shared" si="33"/>
        <v>679.17751821532238</v>
      </c>
    </row>
    <row r="1067" spans="1:12" x14ac:dyDescent="0.25">
      <c r="A1067" s="2">
        <v>0</v>
      </c>
      <c r="B1067" s="4">
        <v>42</v>
      </c>
      <c r="C1067" s="4">
        <v>25.3</v>
      </c>
      <c r="D1067" s="4">
        <v>1</v>
      </c>
      <c r="E1067" s="4" t="s">
        <v>8</v>
      </c>
      <c r="F1067" s="4" t="s">
        <v>12</v>
      </c>
      <c r="G1067" s="4" t="s">
        <v>10</v>
      </c>
      <c r="H1067" s="4">
        <v>2130.9581090674492</v>
      </c>
      <c r="I1067" s="4">
        <v>2507.0095400793525</v>
      </c>
      <c r="J1067" s="2">
        <f>VLOOKUP(A1067,Planilha1!A:M,13,0)</f>
        <v>2511.8220480829059</v>
      </c>
      <c r="K1067" s="10">
        <f t="shared" si="32"/>
        <v>380.86393901545671</v>
      </c>
      <c r="L1067" s="10">
        <f t="shared" si="33"/>
        <v>376.05143101190333</v>
      </c>
    </row>
    <row r="1068" spans="1:12" x14ac:dyDescent="0.25">
      <c r="A1068" s="2">
        <v>3</v>
      </c>
      <c r="B1068" s="4">
        <v>48</v>
      </c>
      <c r="C1068" s="4">
        <v>37.299999999999997</v>
      </c>
      <c r="D1068" s="4">
        <v>2</v>
      </c>
      <c r="E1068" s="4" t="s">
        <v>11</v>
      </c>
      <c r="F1068" s="4" t="s">
        <v>12</v>
      </c>
      <c r="G1068" s="4" t="s">
        <v>13</v>
      </c>
      <c r="H1068" s="4">
        <v>1531.1793644389777</v>
      </c>
      <c r="I1068" s="4">
        <v>2041.5724859186369</v>
      </c>
      <c r="J1068" s="2">
        <f>VLOOKUP(A1068,Planilha1!A:M,13,0)</f>
        <v>3049.3550806113421</v>
      </c>
      <c r="K1068" s="10">
        <f t="shared" si="32"/>
        <v>1518.1757161723644</v>
      </c>
      <c r="L1068" s="10">
        <f t="shared" si="33"/>
        <v>510.39312147965916</v>
      </c>
    </row>
    <row r="1069" spans="1:12" x14ac:dyDescent="0.25">
      <c r="A1069" s="2">
        <v>1</v>
      </c>
      <c r="B1069" s="4">
        <v>39</v>
      </c>
      <c r="C1069" s="4">
        <v>42.7</v>
      </c>
      <c r="D1069" s="4">
        <v>0</v>
      </c>
      <c r="E1069" s="4" t="s">
        <v>11</v>
      </c>
      <c r="F1069" s="4" t="s">
        <v>12</v>
      </c>
      <c r="G1069" s="4" t="s">
        <v>15</v>
      </c>
      <c r="H1069" s="4">
        <v>4032.4108735329005</v>
      </c>
      <c r="I1069" s="4">
        <v>3840.3913081265732</v>
      </c>
      <c r="J1069" s="2">
        <f>VLOOKUP(A1069,Planilha1!A:M,13,0)</f>
        <v>6326.3485212104815</v>
      </c>
      <c r="K1069" s="10">
        <f t="shared" si="32"/>
        <v>2293.937647677581</v>
      </c>
      <c r="L1069" s="10">
        <f t="shared" si="33"/>
        <v>-192.01956540632727</v>
      </c>
    </row>
    <row r="1070" spans="1:12" x14ac:dyDescent="0.25">
      <c r="A1070" s="2">
        <v>1</v>
      </c>
      <c r="B1070" s="4">
        <v>63</v>
      </c>
      <c r="C1070" s="4">
        <v>21.7</v>
      </c>
      <c r="D1070" s="4">
        <v>1</v>
      </c>
      <c r="E1070" s="4" t="s">
        <v>11</v>
      </c>
      <c r="F1070" s="4" t="s">
        <v>12</v>
      </c>
      <c r="G1070" s="4" t="s">
        <v>14</v>
      </c>
      <c r="H1070" s="4">
        <v>4152.4206232771076</v>
      </c>
      <c r="I1070" s="4">
        <v>3954.686307882961</v>
      </c>
      <c r="J1070" s="2">
        <f>VLOOKUP(A1070,Planilha1!A:M,13,0)</f>
        <v>6326.3485212104815</v>
      </c>
      <c r="K1070" s="10">
        <f t="shared" si="32"/>
        <v>2173.927897933374</v>
      </c>
      <c r="L1070" s="10">
        <f t="shared" si="33"/>
        <v>-197.73431539414651</v>
      </c>
    </row>
    <row r="1071" spans="1:12" x14ac:dyDescent="0.25">
      <c r="A1071" s="2">
        <v>1</v>
      </c>
      <c r="B1071" s="4">
        <v>54</v>
      </c>
      <c r="C1071" s="4">
        <v>31.9</v>
      </c>
      <c r="D1071" s="4">
        <v>1</v>
      </c>
      <c r="E1071" s="4" t="s">
        <v>8</v>
      </c>
      <c r="F1071" s="4" t="s">
        <v>12</v>
      </c>
      <c r="G1071" s="4" t="s">
        <v>13</v>
      </c>
      <c r="H1071" s="4">
        <v>5570.6653222694995</v>
      </c>
      <c r="I1071" s="4">
        <v>5305.3955450185731</v>
      </c>
      <c r="J1071" s="2">
        <f>VLOOKUP(A1071,Planilha1!A:M,13,0)</f>
        <v>6326.3485212104815</v>
      </c>
      <c r="K1071" s="10">
        <f t="shared" si="32"/>
        <v>755.68319894098204</v>
      </c>
      <c r="L1071" s="10">
        <f t="shared" si="33"/>
        <v>-265.26977725092638</v>
      </c>
    </row>
    <row r="1072" spans="1:12" x14ac:dyDescent="0.25">
      <c r="A1072" s="2">
        <v>2</v>
      </c>
      <c r="B1072" s="4">
        <v>37</v>
      </c>
      <c r="C1072" s="4">
        <v>37.1</v>
      </c>
      <c r="D1072" s="4">
        <v>1</v>
      </c>
      <c r="E1072" s="4" t="s">
        <v>11</v>
      </c>
      <c r="F1072" s="4" t="s">
        <v>9</v>
      </c>
      <c r="G1072" s="4" t="s">
        <v>13</v>
      </c>
      <c r="H1072" s="4">
        <v>5427.7938781035227</v>
      </c>
      <c r="I1072" s="4">
        <v>5169.3275029557371</v>
      </c>
      <c r="J1072" s="2">
        <f>VLOOKUP(A1072,Planilha1!A:M,13,0)</f>
        <v>3220.2324129890262</v>
      </c>
      <c r="K1072" s="10">
        <f t="shared" si="32"/>
        <v>-2207.5614651144965</v>
      </c>
      <c r="L1072" s="10">
        <f t="shared" si="33"/>
        <v>-258.46637514778558</v>
      </c>
    </row>
    <row r="1073" spans="1:12" x14ac:dyDescent="0.25">
      <c r="A1073" s="2">
        <v>1</v>
      </c>
      <c r="B1073" s="4">
        <v>63</v>
      </c>
      <c r="C1073" s="4">
        <v>31.4</v>
      </c>
      <c r="D1073" s="4">
        <v>0</v>
      </c>
      <c r="E1073" s="4" t="s">
        <v>11</v>
      </c>
      <c r="F1073" s="4" t="s">
        <v>12</v>
      </c>
      <c r="G1073" s="4" t="s">
        <v>15</v>
      </c>
      <c r="H1073" s="4">
        <v>5221.9425605370825</v>
      </c>
      <c r="I1073" s="4">
        <v>4973.2786290829363</v>
      </c>
      <c r="J1073" s="2">
        <f>VLOOKUP(A1073,Planilha1!A:M,13,0)</f>
        <v>6326.3485212104815</v>
      </c>
      <c r="K1073" s="10">
        <f t="shared" si="32"/>
        <v>1104.405960673399</v>
      </c>
      <c r="L1073" s="10">
        <f t="shared" si="33"/>
        <v>-248.66393145414622</v>
      </c>
    </row>
    <row r="1074" spans="1:12" x14ac:dyDescent="0.25">
      <c r="A1074" s="2">
        <v>0</v>
      </c>
      <c r="B1074" s="4">
        <v>21</v>
      </c>
      <c r="C1074" s="4">
        <v>21.5</v>
      </c>
      <c r="D1074" s="4">
        <v>0</v>
      </c>
      <c r="E1074" s="4" t="s">
        <v>11</v>
      </c>
      <c r="F1074" s="4" t="s">
        <v>12</v>
      </c>
      <c r="G1074" s="4" t="s">
        <v>14</v>
      </c>
      <c r="H1074" s="4">
        <v>1412.0310235780269</v>
      </c>
      <c r="I1074" s="4">
        <v>1661.2129689153267</v>
      </c>
      <c r="J1074" s="2">
        <f>VLOOKUP(A1074,Planilha1!A:M,13,0)</f>
        <v>2511.8220480829059</v>
      </c>
      <c r="K1074" s="10">
        <f t="shared" si="32"/>
        <v>1099.791024504879</v>
      </c>
      <c r="L1074" s="10">
        <f t="shared" si="33"/>
        <v>249.18194533729979</v>
      </c>
    </row>
    <row r="1075" spans="1:12" x14ac:dyDescent="0.25">
      <c r="A1075" s="2">
        <v>3</v>
      </c>
      <c r="B1075" s="4">
        <v>54</v>
      </c>
      <c r="C1075" s="4">
        <v>28.9</v>
      </c>
      <c r="D1075" s="4">
        <v>2</v>
      </c>
      <c r="E1075" s="4" t="s">
        <v>8</v>
      </c>
      <c r="F1075" s="4" t="s">
        <v>12</v>
      </c>
      <c r="G1075" s="4" t="s">
        <v>15</v>
      </c>
      <c r="H1075" s="4">
        <v>1919.1017903131349</v>
      </c>
      <c r="I1075" s="4">
        <v>2558.8023870841798</v>
      </c>
      <c r="J1075" s="2">
        <f>VLOOKUP(A1075,Planilha1!A:M,13,0)</f>
        <v>3049.3550806113421</v>
      </c>
      <c r="K1075" s="10">
        <f t="shared" si="32"/>
        <v>1130.2532902982073</v>
      </c>
      <c r="L1075" s="10">
        <f t="shared" si="33"/>
        <v>639.70059677104496</v>
      </c>
    </row>
    <row r="1076" spans="1:12" x14ac:dyDescent="0.25">
      <c r="A1076" s="2">
        <v>1</v>
      </c>
      <c r="B1076" s="4">
        <v>60</v>
      </c>
      <c r="C1076" s="4">
        <v>18.3</v>
      </c>
      <c r="D1076" s="4">
        <v>0</v>
      </c>
      <c r="E1076" s="4" t="s">
        <v>8</v>
      </c>
      <c r="F1076" s="4" t="s">
        <v>12</v>
      </c>
      <c r="G1076" s="4" t="s">
        <v>15</v>
      </c>
      <c r="H1076" s="4">
        <v>5589.9913769262203</v>
      </c>
      <c r="I1076" s="4">
        <v>5323.8013113583056</v>
      </c>
      <c r="J1076" s="2">
        <f>VLOOKUP(A1076,Planilha1!A:M,13,0)</f>
        <v>6326.3485212104815</v>
      </c>
      <c r="K1076" s="10">
        <f t="shared" si="32"/>
        <v>736.35714428426127</v>
      </c>
      <c r="L1076" s="10">
        <f t="shared" si="33"/>
        <v>-266.19006556791464</v>
      </c>
    </row>
    <row r="1077" spans="1:12" x14ac:dyDescent="0.25">
      <c r="A1077" s="2">
        <v>0</v>
      </c>
      <c r="B1077" s="4">
        <v>32</v>
      </c>
      <c r="C1077" s="4">
        <v>23.8</v>
      </c>
      <c r="D1077" s="4">
        <v>1</v>
      </c>
      <c r="E1077" s="4" t="s">
        <v>8</v>
      </c>
      <c r="F1077" s="4" t="s">
        <v>12</v>
      </c>
      <c r="G1077" s="4" t="s">
        <v>13</v>
      </c>
      <c r="H1077" s="4">
        <v>1741.8165311944856</v>
      </c>
      <c r="I1077" s="4">
        <v>2049.1959190523366</v>
      </c>
      <c r="J1077" s="2">
        <f>VLOOKUP(A1077,Planilha1!A:M,13,0)</f>
        <v>2511.8220480829059</v>
      </c>
      <c r="K1077" s="10">
        <f t="shared" si="32"/>
        <v>770.00551688842029</v>
      </c>
      <c r="L1077" s="10">
        <f t="shared" si="33"/>
        <v>307.37938785785104</v>
      </c>
    </row>
    <row r="1078" spans="1:12" x14ac:dyDescent="0.25">
      <c r="A1078" s="2">
        <v>1</v>
      </c>
      <c r="B1078" s="4">
        <v>47</v>
      </c>
      <c r="C1078" s="4">
        <v>32</v>
      </c>
      <c r="D1078" s="4">
        <v>1</v>
      </c>
      <c r="E1078" s="4" t="s">
        <v>8</v>
      </c>
      <c r="F1078" s="4" t="s">
        <v>12</v>
      </c>
      <c r="G1078" s="4" t="s">
        <v>10</v>
      </c>
      <c r="H1078" s="4">
        <v>4775.8163899403735</v>
      </c>
      <c r="I1078" s="4">
        <v>4548.396561847977</v>
      </c>
      <c r="J1078" s="2">
        <f>VLOOKUP(A1078,Planilha1!A:M,13,0)</f>
        <v>6326.3485212104815</v>
      </c>
      <c r="K1078" s="10">
        <f t="shared" si="32"/>
        <v>1550.532131270108</v>
      </c>
      <c r="L1078" s="10">
        <f t="shared" si="33"/>
        <v>-227.41982809239653</v>
      </c>
    </row>
    <row r="1079" spans="1:12" x14ac:dyDescent="0.25">
      <c r="A1079" s="2">
        <v>0</v>
      </c>
      <c r="B1079" s="4">
        <v>21</v>
      </c>
      <c r="C1079" s="4">
        <v>24.4</v>
      </c>
      <c r="D1079" s="4">
        <v>0</v>
      </c>
      <c r="E1079" s="4" t="s">
        <v>11</v>
      </c>
      <c r="F1079" s="4" t="s">
        <v>12</v>
      </c>
      <c r="G1079" s="4" t="s">
        <v>15</v>
      </c>
      <c r="H1079" s="4">
        <v>1596.7062974165797</v>
      </c>
      <c r="I1079" s="4">
        <v>1878.477996960683</v>
      </c>
      <c r="J1079" s="2">
        <f>VLOOKUP(A1079,Planilha1!A:M,13,0)</f>
        <v>2511.8220480829059</v>
      </c>
      <c r="K1079" s="10">
        <f t="shared" si="32"/>
        <v>915.11575066632622</v>
      </c>
      <c r="L1079" s="10">
        <f t="shared" si="33"/>
        <v>281.77169954410329</v>
      </c>
    </row>
    <row r="1080" spans="1:12" x14ac:dyDescent="0.25">
      <c r="A1080" s="2">
        <v>2</v>
      </c>
      <c r="B1080" s="4">
        <v>28</v>
      </c>
      <c r="C1080" s="4">
        <v>21.1</v>
      </c>
      <c r="D1080" s="4">
        <v>0</v>
      </c>
      <c r="E1080" s="4" t="s">
        <v>11</v>
      </c>
      <c r="F1080" s="4" t="s">
        <v>9</v>
      </c>
      <c r="G1080" s="4" t="s">
        <v>13</v>
      </c>
      <c r="H1080" s="4">
        <v>1992.0756758797852</v>
      </c>
      <c r="I1080" s="4">
        <v>2343.618442211513</v>
      </c>
      <c r="J1080" s="2">
        <f>VLOOKUP(A1080,Planilha1!A:M,13,0)</f>
        <v>3220.2324129890262</v>
      </c>
      <c r="K1080" s="10">
        <f t="shared" si="32"/>
        <v>1228.156737109241</v>
      </c>
      <c r="L1080" s="10">
        <f t="shared" si="33"/>
        <v>351.54276633172776</v>
      </c>
    </row>
    <row r="1081" spans="1:12" x14ac:dyDescent="0.25">
      <c r="A1081" s="2">
        <v>3</v>
      </c>
      <c r="B1081" s="4">
        <v>63</v>
      </c>
      <c r="C1081" s="4">
        <v>33.700000000000003</v>
      </c>
      <c r="D1081" s="4">
        <v>3</v>
      </c>
      <c r="E1081" s="4" t="s">
        <v>11</v>
      </c>
      <c r="F1081" s="4" t="s">
        <v>12</v>
      </c>
      <c r="G1081" s="4" t="s">
        <v>13</v>
      </c>
      <c r="H1081" s="4">
        <v>3475.1706017141305</v>
      </c>
      <c r="I1081" s="4">
        <v>4633.5608022855076</v>
      </c>
      <c r="J1081" s="2">
        <f>VLOOKUP(A1081,Planilha1!A:M,13,0)</f>
        <v>3049.3550806113421</v>
      </c>
      <c r="K1081" s="10">
        <f t="shared" si="32"/>
        <v>-425.81552110278835</v>
      </c>
      <c r="L1081" s="10">
        <f t="shared" si="33"/>
        <v>1158.3902005713771</v>
      </c>
    </row>
    <row r="1082" spans="1:12" x14ac:dyDescent="0.25">
      <c r="A1082" s="2">
        <v>0</v>
      </c>
      <c r="B1082" s="4">
        <v>18</v>
      </c>
      <c r="C1082" s="4">
        <v>25.1</v>
      </c>
      <c r="D1082" s="4">
        <v>2</v>
      </c>
      <c r="E1082" s="4" t="s">
        <v>11</v>
      </c>
      <c r="F1082" s="4" t="s">
        <v>12</v>
      </c>
      <c r="G1082" s="4" t="s">
        <v>13</v>
      </c>
      <c r="H1082" s="4">
        <v>1524.6047501329999</v>
      </c>
      <c r="I1082" s="4">
        <v>1793.652647215295</v>
      </c>
      <c r="J1082" s="2">
        <f>VLOOKUP(A1082,Planilha1!A:M,13,0)</f>
        <v>2511.8220480829059</v>
      </c>
      <c r="K1082" s="10">
        <f t="shared" si="32"/>
        <v>987.21729794990597</v>
      </c>
      <c r="L1082" s="10">
        <f t="shared" si="33"/>
        <v>269.04789708229509</v>
      </c>
    </row>
    <row r="1083" spans="1:12" x14ac:dyDescent="0.25">
      <c r="A1083" s="2">
        <v>0</v>
      </c>
      <c r="B1083" s="4">
        <v>32</v>
      </c>
      <c r="C1083" s="4">
        <v>20.3</v>
      </c>
      <c r="D1083" s="4">
        <v>1</v>
      </c>
      <c r="E1083" s="4" t="s">
        <v>11</v>
      </c>
      <c r="F1083" s="4" t="s">
        <v>12</v>
      </c>
      <c r="G1083" s="4" t="s">
        <v>14</v>
      </c>
      <c r="H1083" s="4">
        <v>2061.749807570864</v>
      </c>
      <c r="I1083" s="4">
        <v>2425.5880089068992</v>
      </c>
      <c r="J1083" s="2">
        <f>VLOOKUP(A1083,Planilha1!A:M,13,0)</f>
        <v>2511.8220480829059</v>
      </c>
      <c r="K1083" s="10">
        <f t="shared" si="32"/>
        <v>450.07224051204184</v>
      </c>
      <c r="L1083" s="10">
        <f t="shared" si="33"/>
        <v>363.83820133603513</v>
      </c>
    </row>
    <row r="1084" spans="1:12" x14ac:dyDescent="0.25">
      <c r="A1084" s="2">
        <v>0</v>
      </c>
      <c r="B1084" s="4">
        <v>38</v>
      </c>
      <c r="C1084" s="4">
        <v>20.8</v>
      </c>
      <c r="D1084" s="4">
        <v>1</v>
      </c>
      <c r="E1084" s="4" t="s">
        <v>11</v>
      </c>
      <c r="F1084" s="4" t="s">
        <v>12</v>
      </c>
      <c r="G1084" s="4" t="s">
        <v>14</v>
      </c>
      <c r="H1084" s="4">
        <v>1520.9504873222211</v>
      </c>
      <c r="I1084" s="4">
        <v>1789.3535144967313</v>
      </c>
      <c r="J1084" s="2">
        <f>VLOOKUP(A1084,Planilha1!A:M,13,0)</f>
        <v>2511.8220480829059</v>
      </c>
      <c r="K1084" s="10">
        <f t="shared" si="32"/>
        <v>990.87156076068482</v>
      </c>
      <c r="L1084" s="10">
        <f t="shared" si="33"/>
        <v>268.40302717451027</v>
      </c>
    </row>
    <row r="1085" spans="1:12" x14ac:dyDescent="0.25">
      <c r="A1085" s="2">
        <v>0</v>
      </c>
      <c r="B1085" s="4">
        <v>32</v>
      </c>
      <c r="C1085" s="4">
        <v>25.8</v>
      </c>
      <c r="D1085" s="4">
        <v>1</v>
      </c>
      <c r="E1085" s="4" t="s">
        <v>11</v>
      </c>
      <c r="F1085" s="4" t="s">
        <v>12</v>
      </c>
      <c r="G1085" s="4" t="s">
        <v>10</v>
      </c>
      <c r="H1085" s="4">
        <v>2011.5630690675853</v>
      </c>
      <c r="I1085" s="4">
        <v>2366.5447871383362</v>
      </c>
      <c r="J1085" s="2">
        <f>VLOOKUP(A1085,Planilha1!A:M,13,0)</f>
        <v>2511.8220480829059</v>
      </c>
      <c r="K1085" s="10">
        <f t="shared" si="32"/>
        <v>500.25897901532062</v>
      </c>
      <c r="L1085" s="10">
        <f t="shared" si="33"/>
        <v>354.98171807075096</v>
      </c>
    </row>
    <row r="1086" spans="1:12" x14ac:dyDescent="0.25">
      <c r="A1086" s="2">
        <v>1</v>
      </c>
      <c r="B1086" s="4">
        <v>62</v>
      </c>
      <c r="C1086" s="4">
        <v>30.5</v>
      </c>
      <c r="D1086" s="4">
        <v>2</v>
      </c>
      <c r="E1086" s="4" t="s">
        <v>8</v>
      </c>
      <c r="F1086" s="4" t="s">
        <v>12</v>
      </c>
      <c r="G1086" s="4" t="s">
        <v>14</v>
      </c>
      <c r="H1086" s="4">
        <v>3861.7566518788713</v>
      </c>
      <c r="I1086" s="4">
        <v>3677.863477979879</v>
      </c>
      <c r="J1086" s="2">
        <f>VLOOKUP(A1086,Planilha1!A:M,13,0)</f>
        <v>6326.3485212104815</v>
      </c>
      <c r="K1086" s="10">
        <f t="shared" si="32"/>
        <v>2464.5918693316103</v>
      </c>
      <c r="L1086" s="10">
        <f t="shared" si="33"/>
        <v>-183.89317389899225</v>
      </c>
    </row>
    <row r="1087" spans="1:12" x14ac:dyDescent="0.25">
      <c r="A1087" s="2">
        <v>2</v>
      </c>
      <c r="B1087" s="4">
        <v>39</v>
      </c>
      <c r="C1087" s="4">
        <v>18.3</v>
      </c>
      <c r="D1087" s="4">
        <v>5</v>
      </c>
      <c r="E1087" s="4" t="s">
        <v>8</v>
      </c>
      <c r="F1087" s="4" t="s">
        <v>9</v>
      </c>
      <c r="G1087" s="4" t="s">
        <v>10</v>
      </c>
      <c r="H1087" s="4">
        <v>1159.0161856990621</v>
      </c>
      <c r="I1087" s="4">
        <v>1545.3549142654163</v>
      </c>
      <c r="J1087" s="2">
        <f>VLOOKUP(A1087,Planilha1!A:M,13,0)</f>
        <v>3220.2324129890262</v>
      </c>
      <c r="K1087" s="10">
        <f t="shared" si="32"/>
        <v>2061.2162272899641</v>
      </c>
      <c r="L1087" s="10">
        <f t="shared" si="33"/>
        <v>386.33872856635412</v>
      </c>
    </row>
    <row r="1088" spans="1:12" x14ac:dyDescent="0.25">
      <c r="A1088" s="2">
        <v>1</v>
      </c>
      <c r="B1088" s="4">
        <v>55</v>
      </c>
      <c r="C1088" s="4">
        <v>29</v>
      </c>
      <c r="D1088" s="4">
        <v>0</v>
      </c>
      <c r="E1088" s="4" t="s">
        <v>11</v>
      </c>
      <c r="F1088" s="4" t="s">
        <v>12</v>
      </c>
      <c r="G1088" s="4" t="s">
        <v>15</v>
      </c>
      <c r="H1088" s="4">
        <v>5417.4595229667593</v>
      </c>
      <c r="I1088" s="4">
        <v>5159.4852599683436</v>
      </c>
      <c r="J1088" s="2">
        <f>VLOOKUP(A1088,Planilha1!A:M,13,0)</f>
        <v>6326.3485212104815</v>
      </c>
      <c r="K1088" s="10">
        <f t="shared" si="32"/>
        <v>908.8889982437222</v>
      </c>
      <c r="L1088" s="10">
        <f t="shared" si="33"/>
        <v>-257.97426299841572</v>
      </c>
    </row>
    <row r="1089" spans="1:12" x14ac:dyDescent="0.25">
      <c r="A1089" s="2">
        <v>1</v>
      </c>
      <c r="B1089" s="4">
        <v>57</v>
      </c>
      <c r="C1089" s="4">
        <v>31.5</v>
      </c>
      <c r="D1089" s="4">
        <v>0</v>
      </c>
      <c r="E1089" s="4" t="s">
        <v>11</v>
      </c>
      <c r="F1089" s="4" t="s">
        <v>12</v>
      </c>
      <c r="G1089" s="4" t="s">
        <v>14</v>
      </c>
      <c r="H1089" s="4">
        <v>5588.9963239420467</v>
      </c>
      <c r="I1089" s="4">
        <v>5322.8536418495705</v>
      </c>
      <c r="J1089" s="2">
        <f>VLOOKUP(A1089,Planilha1!A:M,13,0)</f>
        <v>6326.3485212104815</v>
      </c>
      <c r="K1089" s="10">
        <f t="shared" si="32"/>
        <v>737.35219726843479</v>
      </c>
      <c r="L1089" s="10">
        <f t="shared" si="33"/>
        <v>-266.14268209247621</v>
      </c>
    </row>
    <row r="1090" spans="1:12" x14ac:dyDescent="0.25">
      <c r="A1090" s="2">
        <v>1</v>
      </c>
      <c r="B1090" s="4">
        <v>52</v>
      </c>
      <c r="C1090" s="4">
        <v>47.7</v>
      </c>
      <c r="D1090" s="4">
        <v>1</v>
      </c>
      <c r="E1090" s="4" t="s">
        <v>11</v>
      </c>
      <c r="F1090" s="4" t="s">
        <v>12</v>
      </c>
      <c r="G1090" s="4" t="s">
        <v>13</v>
      </c>
      <c r="H1090" s="4">
        <v>4920.3113204769625</v>
      </c>
      <c r="I1090" s="4">
        <v>4686.0107814066323</v>
      </c>
      <c r="J1090" s="2">
        <f>VLOOKUP(A1090,Planilha1!A:M,13,0)</f>
        <v>6326.3485212104815</v>
      </c>
      <c r="K1090" s="10">
        <f t="shared" si="32"/>
        <v>1406.0372007335191</v>
      </c>
      <c r="L1090" s="10">
        <f t="shared" si="33"/>
        <v>-234.30053907033016</v>
      </c>
    </row>
    <row r="1091" spans="1:12" x14ac:dyDescent="0.25">
      <c r="A1091" s="2">
        <v>1</v>
      </c>
      <c r="B1091" s="4">
        <v>56</v>
      </c>
      <c r="C1091" s="4">
        <v>22.1</v>
      </c>
      <c r="D1091" s="4">
        <v>0</v>
      </c>
      <c r="E1091" s="4" t="s">
        <v>11</v>
      </c>
      <c r="F1091" s="4" t="s">
        <v>12</v>
      </c>
      <c r="G1091" s="4" t="s">
        <v>10</v>
      </c>
      <c r="H1091" s="4">
        <v>4554.9488794309855</v>
      </c>
      <c r="I1091" s="4">
        <v>4338.0465518390347</v>
      </c>
      <c r="J1091" s="2">
        <f>VLOOKUP(A1091,Planilha1!A:M,13,0)</f>
        <v>6326.3485212104815</v>
      </c>
      <c r="K1091" s="10">
        <f t="shared" ref="K1091:K1154" si="34">J1091-H1091</f>
        <v>1771.3996417794961</v>
      </c>
      <c r="L1091" s="10">
        <f t="shared" ref="L1091:L1154" si="35">I1091-H1091</f>
        <v>-216.90232759195078</v>
      </c>
    </row>
    <row r="1092" spans="1:12" x14ac:dyDescent="0.25">
      <c r="A1092" s="2">
        <v>2</v>
      </c>
      <c r="B1092" s="4">
        <v>47</v>
      </c>
      <c r="C1092" s="4">
        <v>36.200000000000003</v>
      </c>
      <c r="D1092" s="4">
        <v>0</v>
      </c>
      <c r="E1092" s="4" t="s">
        <v>11</v>
      </c>
      <c r="F1092" s="4" t="s">
        <v>9</v>
      </c>
      <c r="G1092" s="4" t="s">
        <v>13</v>
      </c>
      <c r="H1092" s="4">
        <v>5152.1519845069624</v>
      </c>
      <c r="I1092" s="4">
        <v>4906.8114138161563</v>
      </c>
      <c r="J1092" s="2">
        <f>VLOOKUP(A1092,Planilha1!A:M,13,0)</f>
        <v>3220.2324129890262</v>
      </c>
      <c r="K1092" s="10">
        <f t="shared" si="34"/>
        <v>-1931.9195715179362</v>
      </c>
      <c r="L1092" s="10">
        <f t="shared" si="35"/>
        <v>-245.34057069080609</v>
      </c>
    </row>
    <row r="1093" spans="1:12" x14ac:dyDescent="0.25">
      <c r="A1093" s="2">
        <v>1</v>
      </c>
      <c r="B1093" s="4">
        <v>55</v>
      </c>
      <c r="C1093" s="4">
        <v>29.8</v>
      </c>
      <c r="D1093" s="4">
        <v>0</v>
      </c>
      <c r="E1093" s="4" t="s">
        <v>8</v>
      </c>
      <c r="F1093" s="4" t="s">
        <v>12</v>
      </c>
      <c r="G1093" s="4" t="s">
        <v>15</v>
      </c>
      <c r="H1093" s="4">
        <v>4731.6515357468252</v>
      </c>
      <c r="I1093" s="4">
        <v>4506.3347959493585</v>
      </c>
      <c r="J1093" s="2">
        <f>VLOOKUP(A1093,Planilha1!A:M,13,0)</f>
        <v>6326.3485212104815</v>
      </c>
      <c r="K1093" s="10">
        <f t="shared" si="34"/>
        <v>1594.6969854636563</v>
      </c>
      <c r="L1093" s="10">
        <f t="shared" si="35"/>
        <v>-225.31673979746665</v>
      </c>
    </row>
    <row r="1094" spans="1:12" x14ac:dyDescent="0.25">
      <c r="A1094" s="2">
        <v>3</v>
      </c>
      <c r="B1094" s="4">
        <v>23</v>
      </c>
      <c r="C1094" s="4">
        <v>32.700000000000003</v>
      </c>
      <c r="D1094" s="4">
        <v>3</v>
      </c>
      <c r="E1094" s="4" t="s">
        <v>11</v>
      </c>
      <c r="F1094" s="4" t="s">
        <v>12</v>
      </c>
      <c r="G1094" s="4" t="s">
        <v>10</v>
      </c>
      <c r="H1094" s="4">
        <v>1076.9622344689758</v>
      </c>
      <c r="I1094" s="4">
        <v>1435.9496459586344</v>
      </c>
      <c r="J1094" s="2">
        <f>VLOOKUP(A1094,Planilha1!A:M,13,0)</f>
        <v>3049.3550806113421</v>
      </c>
      <c r="K1094" s="10">
        <f t="shared" si="34"/>
        <v>1972.3928461423664</v>
      </c>
      <c r="L1094" s="10">
        <f t="shared" si="35"/>
        <v>358.9874114896586</v>
      </c>
    </row>
    <row r="1095" spans="1:12" x14ac:dyDescent="0.25">
      <c r="A1095" s="2">
        <v>2</v>
      </c>
      <c r="B1095" s="4">
        <v>22</v>
      </c>
      <c r="C1095" s="4">
        <v>22.2</v>
      </c>
      <c r="D1095" s="4">
        <v>0</v>
      </c>
      <c r="E1095" s="4" t="s">
        <v>8</v>
      </c>
      <c r="F1095" s="4" t="s">
        <v>9</v>
      </c>
      <c r="G1095" s="4" t="s">
        <v>14</v>
      </c>
      <c r="H1095" s="4">
        <v>1972.8371144516482</v>
      </c>
      <c r="I1095" s="4">
        <v>2320.9848405313514</v>
      </c>
      <c r="J1095" s="2">
        <f>VLOOKUP(A1095,Planilha1!A:M,13,0)</f>
        <v>3220.2324129890262</v>
      </c>
      <c r="K1095" s="10">
        <f t="shared" si="34"/>
        <v>1247.395298537378</v>
      </c>
      <c r="L1095" s="10">
        <f t="shared" si="35"/>
        <v>348.14772607970326</v>
      </c>
    </row>
    <row r="1096" spans="1:12" x14ac:dyDescent="0.25">
      <c r="A1096" s="2">
        <v>3</v>
      </c>
      <c r="B1096" s="4">
        <v>50</v>
      </c>
      <c r="C1096" s="4">
        <v>33.700000000000003</v>
      </c>
      <c r="D1096" s="4">
        <v>4</v>
      </c>
      <c r="E1096" s="4" t="s">
        <v>8</v>
      </c>
      <c r="F1096" s="4" t="s">
        <v>12</v>
      </c>
      <c r="G1096" s="4" t="s">
        <v>10</v>
      </c>
      <c r="H1096" s="4">
        <v>1841.1928397445038</v>
      </c>
      <c r="I1096" s="4">
        <v>2454.923786326005</v>
      </c>
      <c r="J1096" s="2">
        <f>VLOOKUP(A1096,Planilha1!A:M,13,0)</f>
        <v>3049.3550806113421</v>
      </c>
      <c r="K1096" s="10">
        <f t="shared" si="34"/>
        <v>1208.1622408668384</v>
      </c>
      <c r="L1096" s="10">
        <f t="shared" si="35"/>
        <v>613.73094658150126</v>
      </c>
    </row>
    <row r="1097" spans="1:12" x14ac:dyDescent="0.25">
      <c r="A1097" s="2">
        <v>3</v>
      </c>
      <c r="B1097" s="4">
        <v>18</v>
      </c>
      <c r="C1097" s="4">
        <v>31.4</v>
      </c>
      <c r="D1097" s="4">
        <v>4</v>
      </c>
      <c r="E1097" s="4" t="s">
        <v>8</v>
      </c>
      <c r="F1097" s="4" t="s">
        <v>12</v>
      </c>
      <c r="G1097" s="4" t="s">
        <v>15</v>
      </c>
      <c r="H1097" s="4">
        <v>1263.3851748121324</v>
      </c>
      <c r="I1097" s="4">
        <v>1684.5135664161764</v>
      </c>
      <c r="J1097" s="2">
        <f>VLOOKUP(A1097,Planilha1!A:M,13,0)</f>
        <v>3049.3550806113421</v>
      </c>
      <c r="K1097" s="10">
        <f t="shared" si="34"/>
        <v>1785.9699057992098</v>
      </c>
      <c r="L1097" s="10">
        <f t="shared" si="35"/>
        <v>421.12839160404405</v>
      </c>
    </row>
    <row r="1098" spans="1:12" x14ac:dyDescent="0.25">
      <c r="A1098" s="2">
        <v>2</v>
      </c>
      <c r="B1098" s="4">
        <v>51</v>
      </c>
      <c r="C1098" s="4">
        <v>35</v>
      </c>
      <c r="D1098" s="4">
        <v>2</v>
      </c>
      <c r="E1098" s="4" t="s">
        <v>8</v>
      </c>
      <c r="F1098" s="4" t="s">
        <v>9</v>
      </c>
      <c r="G1098" s="4" t="s">
        <v>15</v>
      </c>
      <c r="H1098" s="4">
        <v>2525.8093854614881</v>
      </c>
      <c r="I1098" s="4">
        <v>3367.7458472819844</v>
      </c>
      <c r="J1098" s="2">
        <f>VLOOKUP(A1098,Planilha1!A:M,13,0)</f>
        <v>3220.2324129890262</v>
      </c>
      <c r="K1098" s="10">
        <f t="shared" si="34"/>
        <v>694.42302752753812</v>
      </c>
      <c r="L1098" s="10">
        <f t="shared" si="35"/>
        <v>841.93646182049633</v>
      </c>
    </row>
    <row r="1099" spans="1:12" x14ac:dyDescent="0.25">
      <c r="A1099" s="2">
        <v>0</v>
      </c>
      <c r="B1099" s="4">
        <v>22</v>
      </c>
      <c r="C1099" s="4">
        <v>25.6</v>
      </c>
      <c r="D1099" s="4">
        <v>0</v>
      </c>
      <c r="E1099" s="4" t="s">
        <v>11</v>
      </c>
      <c r="F1099" s="4" t="s">
        <v>12</v>
      </c>
      <c r="G1099" s="4" t="s">
        <v>13</v>
      </c>
      <c r="H1099" s="4">
        <v>2255.9898903267772</v>
      </c>
      <c r="I1099" s="4">
        <v>2654.1057533256212</v>
      </c>
      <c r="J1099" s="2">
        <f>VLOOKUP(A1099,Planilha1!A:M,13,0)</f>
        <v>2511.8220480829059</v>
      </c>
      <c r="K1099" s="10">
        <f t="shared" si="34"/>
        <v>255.83215775612871</v>
      </c>
      <c r="L1099" s="10">
        <f t="shared" si="35"/>
        <v>398.11586299884402</v>
      </c>
    </row>
    <row r="1100" spans="1:12" x14ac:dyDescent="0.25">
      <c r="A1100" s="2">
        <v>1</v>
      </c>
      <c r="B1100" s="4">
        <v>52</v>
      </c>
      <c r="C1100" s="4">
        <v>30.9</v>
      </c>
      <c r="D1100" s="4">
        <v>0</v>
      </c>
      <c r="E1100" s="4" t="s">
        <v>8</v>
      </c>
      <c r="F1100" s="4" t="s">
        <v>12</v>
      </c>
      <c r="G1100" s="4" t="s">
        <v>15</v>
      </c>
      <c r="H1100" s="4">
        <v>5354.3032703448753</v>
      </c>
      <c r="I1100" s="4">
        <v>5099.3364479475003</v>
      </c>
      <c r="J1100" s="2">
        <f>VLOOKUP(A1100,Planilha1!A:M,13,0)</f>
        <v>6326.3485212104815</v>
      </c>
      <c r="K1100" s="10">
        <f t="shared" si="34"/>
        <v>972.04525086560625</v>
      </c>
      <c r="L1100" s="10">
        <f t="shared" si="35"/>
        <v>-254.96682239737493</v>
      </c>
    </row>
    <row r="1101" spans="1:12" x14ac:dyDescent="0.25">
      <c r="A1101" s="2">
        <v>0</v>
      </c>
      <c r="B1101" s="4">
        <v>25</v>
      </c>
      <c r="C1101" s="4">
        <v>21.5</v>
      </c>
      <c r="D1101" s="4">
        <v>1</v>
      </c>
      <c r="E1101" s="4" t="s">
        <v>8</v>
      </c>
      <c r="F1101" s="4" t="s">
        <v>12</v>
      </c>
      <c r="G1101" s="4" t="s">
        <v>13</v>
      </c>
      <c r="H1101" s="4">
        <v>2036.5188812111187</v>
      </c>
      <c r="I1101" s="4">
        <v>2395.9045661307287</v>
      </c>
      <c r="J1101" s="2">
        <f>VLOOKUP(A1101,Planilha1!A:M,13,0)</f>
        <v>2511.8220480829059</v>
      </c>
      <c r="K1101" s="10">
        <f t="shared" si="34"/>
        <v>475.3031668717872</v>
      </c>
      <c r="L1101" s="10">
        <f t="shared" si="35"/>
        <v>359.38568491960996</v>
      </c>
    </row>
    <row r="1102" spans="1:12" x14ac:dyDescent="0.25">
      <c r="A1102" s="2">
        <v>2</v>
      </c>
      <c r="B1102" s="4">
        <v>33</v>
      </c>
      <c r="C1102" s="4">
        <v>19.100000000000001</v>
      </c>
      <c r="D1102" s="4">
        <v>2</v>
      </c>
      <c r="E1102" s="4" t="s">
        <v>8</v>
      </c>
      <c r="F1102" s="4" t="s">
        <v>9</v>
      </c>
      <c r="G1102" s="4" t="s">
        <v>15</v>
      </c>
      <c r="H1102" s="4">
        <v>2708.81778027357</v>
      </c>
      <c r="I1102" s="4">
        <v>3186.8444473806717</v>
      </c>
      <c r="J1102" s="2">
        <f>VLOOKUP(A1102,Planilha1!A:M,13,0)</f>
        <v>3220.2324129890262</v>
      </c>
      <c r="K1102" s="10">
        <f t="shared" si="34"/>
        <v>511.41463271545626</v>
      </c>
      <c r="L1102" s="10">
        <f t="shared" si="35"/>
        <v>478.02666710710173</v>
      </c>
    </row>
    <row r="1103" spans="1:12" x14ac:dyDescent="0.25">
      <c r="A1103" s="2">
        <v>3</v>
      </c>
      <c r="B1103" s="4">
        <v>53</v>
      </c>
      <c r="C1103" s="4">
        <v>28.6</v>
      </c>
      <c r="D1103" s="4">
        <v>3</v>
      </c>
      <c r="E1103" s="4" t="s">
        <v>11</v>
      </c>
      <c r="F1103" s="4" t="s">
        <v>12</v>
      </c>
      <c r="G1103" s="4" t="s">
        <v>10</v>
      </c>
      <c r="H1103" s="4">
        <v>1207.4768178743359</v>
      </c>
      <c r="I1103" s="4">
        <v>1609.9690904991146</v>
      </c>
      <c r="J1103" s="2">
        <f>VLOOKUP(A1103,Planilha1!A:M,13,0)</f>
        <v>3049.3550806113421</v>
      </c>
      <c r="K1103" s="10">
        <f t="shared" si="34"/>
        <v>1841.8782627370063</v>
      </c>
      <c r="L1103" s="10">
        <f t="shared" si="35"/>
        <v>402.49227262477871</v>
      </c>
    </row>
    <row r="1104" spans="1:12" x14ac:dyDescent="0.25">
      <c r="A1104" s="2">
        <v>0</v>
      </c>
      <c r="B1104" s="4">
        <v>29</v>
      </c>
      <c r="C1104" s="4">
        <v>25.3</v>
      </c>
      <c r="D1104" s="4">
        <v>1</v>
      </c>
      <c r="E1104" s="4" t="s">
        <v>11</v>
      </c>
      <c r="F1104" s="4" t="s">
        <v>12</v>
      </c>
      <c r="G1104" s="4" t="s">
        <v>13</v>
      </c>
      <c r="H1104" s="4">
        <v>2219.2781174511592</v>
      </c>
      <c r="I1104" s="4">
        <v>2610.9154322954828</v>
      </c>
      <c r="J1104" s="2">
        <f>VLOOKUP(A1104,Planilha1!A:M,13,0)</f>
        <v>2511.8220480829059</v>
      </c>
      <c r="K1104" s="10">
        <f t="shared" si="34"/>
        <v>292.54393063174666</v>
      </c>
      <c r="L1104" s="10">
        <f t="shared" si="35"/>
        <v>391.63731484432356</v>
      </c>
    </row>
    <row r="1105" spans="1:12" x14ac:dyDescent="0.25">
      <c r="A1105" s="2">
        <v>1</v>
      </c>
      <c r="B1105" s="4">
        <v>58</v>
      </c>
      <c r="C1105" s="4">
        <v>36.1</v>
      </c>
      <c r="D1105" s="4">
        <v>0</v>
      </c>
      <c r="E1105" s="4" t="s">
        <v>11</v>
      </c>
      <c r="F1105" s="4" t="s">
        <v>12</v>
      </c>
      <c r="G1105" s="4" t="s">
        <v>13</v>
      </c>
      <c r="H1105" s="4">
        <v>6294.8813658228619</v>
      </c>
      <c r="I1105" s="4">
        <v>5995.1251103074892</v>
      </c>
      <c r="J1105" s="2">
        <f>VLOOKUP(A1105,Planilha1!A:M,13,0)</f>
        <v>6326.3485212104815</v>
      </c>
      <c r="K1105" s="10">
        <f t="shared" si="34"/>
        <v>31.467155387619641</v>
      </c>
      <c r="L1105" s="10">
        <f t="shared" si="35"/>
        <v>-299.75625551537269</v>
      </c>
    </row>
    <row r="1106" spans="1:12" x14ac:dyDescent="0.25">
      <c r="A1106" s="2">
        <v>0</v>
      </c>
      <c r="B1106" s="4">
        <v>37</v>
      </c>
      <c r="C1106" s="4">
        <v>21.4</v>
      </c>
      <c r="D1106" s="4">
        <v>0</v>
      </c>
      <c r="E1106" s="4" t="s">
        <v>11</v>
      </c>
      <c r="F1106" s="4" t="s">
        <v>12</v>
      </c>
      <c r="G1106" s="4" t="s">
        <v>10</v>
      </c>
      <c r="H1106" s="4">
        <v>1713.0738334346652</v>
      </c>
      <c r="I1106" s="4">
        <v>2015.3809805113715</v>
      </c>
      <c r="J1106" s="2">
        <f>VLOOKUP(A1106,Planilha1!A:M,13,0)</f>
        <v>2511.8220480829059</v>
      </c>
      <c r="K1106" s="10">
        <f t="shared" si="34"/>
        <v>798.74821464824072</v>
      </c>
      <c r="L1106" s="10">
        <f t="shared" si="35"/>
        <v>302.30714707670631</v>
      </c>
    </row>
    <row r="1107" spans="1:12" x14ac:dyDescent="0.25">
      <c r="A1107" s="2">
        <v>1</v>
      </c>
      <c r="B1107" s="4">
        <v>54</v>
      </c>
      <c r="C1107" s="4">
        <v>31.2</v>
      </c>
      <c r="D1107" s="4">
        <v>0</v>
      </c>
      <c r="E1107" s="4" t="s">
        <v>8</v>
      </c>
      <c r="F1107" s="4" t="s">
        <v>12</v>
      </c>
      <c r="G1107" s="4" t="s">
        <v>13</v>
      </c>
      <c r="H1107" s="4">
        <v>5261.4683353449973</v>
      </c>
      <c r="I1107" s="4">
        <v>5010.9222241380949</v>
      </c>
      <c r="J1107" s="2">
        <f>VLOOKUP(A1107,Planilha1!A:M,13,0)</f>
        <v>6326.3485212104815</v>
      </c>
      <c r="K1107" s="10">
        <f t="shared" si="34"/>
        <v>1064.8801858654842</v>
      </c>
      <c r="L1107" s="10">
        <f t="shared" si="35"/>
        <v>-250.54611120690242</v>
      </c>
    </row>
    <row r="1108" spans="1:12" x14ac:dyDescent="0.25">
      <c r="A1108" s="2">
        <v>1</v>
      </c>
      <c r="B1108" s="4">
        <v>49</v>
      </c>
      <c r="C1108" s="4">
        <v>29.9</v>
      </c>
      <c r="D1108" s="4">
        <v>0</v>
      </c>
      <c r="E1108" s="4" t="s">
        <v>8</v>
      </c>
      <c r="F1108" s="4" t="s">
        <v>12</v>
      </c>
      <c r="G1108" s="4" t="s">
        <v>14</v>
      </c>
      <c r="H1108" s="4">
        <v>4107.1775954388577</v>
      </c>
      <c r="I1108" s="4">
        <v>3911.5977099417705</v>
      </c>
      <c r="J1108" s="2">
        <f>VLOOKUP(A1108,Planilha1!A:M,13,0)</f>
        <v>6326.3485212104815</v>
      </c>
      <c r="K1108" s="10">
        <f t="shared" si="34"/>
        <v>2219.1709257716238</v>
      </c>
      <c r="L1108" s="10">
        <f t="shared" si="35"/>
        <v>-195.57988549708716</v>
      </c>
    </row>
    <row r="1109" spans="1:12" x14ac:dyDescent="0.25">
      <c r="A1109" s="2">
        <v>3</v>
      </c>
      <c r="B1109" s="4">
        <v>50</v>
      </c>
      <c r="C1109" s="4">
        <v>26.2</v>
      </c>
      <c r="D1109" s="4">
        <v>2</v>
      </c>
      <c r="E1109" s="4" t="s">
        <v>8</v>
      </c>
      <c r="F1109" s="4" t="s">
        <v>12</v>
      </c>
      <c r="G1109" s="4" t="s">
        <v>14</v>
      </c>
      <c r="H1109" s="4">
        <v>2488.1397920585041</v>
      </c>
      <c r="I1109" s="4">
        <v>3317.5197227446724</v>
      </c>
      <c r="J1109" s="2">
        <f>VLOOKUP(A1109,Planilha1!A:M,13,0)</f>
        <v>3049.3550806113421</v>
      </c>
      <c r="K1109" s="10">
        <f t="shared" si="34"/>
        <v>561.21528855283805</v>
      </c>
      <c r="L1109" s="10">
        <f t="shared" si="35"/>
        <v>829.37993068616834</v>
      </c>
    </row>
    <row r="1110" spans="1:12" x14ac:dyDescent="0.25">
      <c r="A1110" s="2">
        <v>0</v>
      </c>
      <c r="B1110" s="4">
        <v>26</v>
      </c>
      <c r="C1110" s="4">
        <v>25.8</v>
      </c>
      <c r="D1110" s="4">
        <v>1</v>
      </c>
      <c r="E1110" s="4" t="s">
        <v>11</v>
      </c>
      <c r="F1110" s="4" t="s">
        <v>12</v>
      </c>
      <c r="G1110" s="4" t="s">
        <v>10</v>
      </c>
      <c r="H1110" s="4">
        <v>2045.3876378739849</v>
      </c>
      <c r="I1110" s="4">
        <v>2406.3383974988064</v>
      </c>
      <c r="J1110" s="2">
        <f>VLOOKUP(A1110,Planilha1!A:M,13,0)</f>
        <v>2511.8220480829059</v>
      </c>
      <c r="K1110" s="10">
        <f t="shared" si="34"/>
        <v>466.43441020892101</v>
      </c>
      <c r="L1110" s="10">
        <f t="shared" si="35"/>
        <v>360.95075962482156</v>
      </c>
    </row>
    <row r="1111" spans="1:12" x14ac:dyDescent="0.25">
      <c r="A1111" s="2">
        <v>3</v>
      </c>
      <c r="B1111" s="4">
        <v>45</v>
      </c>
      <c r="C1111" s="4">
        <v>20.399999999999999</v>
      </c>
      <c r="D1111" s="4">
        <v>3</v>
      </c>
      <c r="E1111" s="4" t="s">
        <v>11</v>
      </c>
      <c r="F1111" s="4" t="s">
        <v>12</v>
      </c>
      <c r="G1111" s="4" t="s">
        <v>13</v>
      </c>
      <c r="H1111" s="4">
        <v>1938.199337943601</v>
      </c>
      <c r="I1111" s="4">
        <v>2584.2657839248013</v>
      </c>
      <c r="J1111" s="2">
        <f>VLOOKUP(A1111,Planilha1!A:M,13,0)</f>
        <v>3049.3550806113421</v>
      </c>
      <c r="K1111" s="10">
        <f t="shared" si="34"/>
        <v>1111.1557426677412</v>
      </c>
      <c r="L1111" s="10">
        <f t="shared" si="35"/>
        <v>646.06644598120033</v>
      </c>
    </row>
    <row r="1112" spans="1:12" x14ac:dyDescent="0.25">
      <c r="A1112" s="2">
        <v>1</v>
      </c>
      <c r="B1112" s="4">
        <v>54</v>
      </c>
      <c r="C1112" s="4">
        <v>32.299999999999997</v>
      </c>
      <c r="D1112" s="4">
        <v>1</v>
      </c>
      <c r="E1112" s="4" t="s">
        <v>8</v>
      </c>
      <c r="F1112" s="4" t="s">
        <v>12</v>
      </c>
      <c r="G1112" s="4" t="s">
        <v>15</v>
      </c>
      <c r="H1112" s="4">
        <v>5065.7206836023925</v>
      </c>
      <c r="I1112" s="4">
        <v>4824.495889145137</v>
      </c>
      <c r="J1112" s="2">
        <f>VLOOKUP(A1112,Planilha1!A:M,13,0)</f>
        <v>6326.3485212104815</v>
      </c>
      <c r="K1112" s="10">
        <f t="shared" si="34"/>
        <v>1260.6278376080891</v>
      </c>
      <c r="L1112" s="10">
        <f t="shared" si="35"/>
        <v>-241.22479445725548</v>
      </c>
    </row>
    <row r="1113" spans="1:12" x14ac:dyDescent="0.25">
      <c r="A1113" s="2">
        <v>2</v>
      </c>
      <c r="B1113" s="4">
        <v>38</v>
      </c>
      <c r="C1113" s="4">
        <v>38.4</v>
      </c>
      <c r="D1113" s="4">
        <v>3</v>
      </c>
      <c r="E1113" s="4" t="s">
        <v>11</v>
      </c>
      <c r="F1113" s="4" t="s">
        <v>9</v>
      </c>
      <c r="G1113" s="4" t="s">
        <v>13</v>
      </c>
      <c r="H1113" s="4">
        <v>2510.7586824907708</v>
      </c>
      <c r="I1113" s="4">
        <v>3347.6782433210278</v>
      </c>
      <c r="J1113" s="2">
        <f>VLOOKUP(A1113,Planilha1!A:M,13,0)</f>
        <v>3220.2324129890262</v>
      </c>
      <c r="K1113" s="10">
        <f t="shared" si="34"/>
        <v>709.47373049825546</v>
      </c>
      <c r="L1113" s="10">
        <f t="shared" si="35"/>
        <v>836.91956083025707</v>
      </c>
    </row>
    <row r="1114" spans="1:12" x14ac:dyDescent="0.25">
      <c r="A1114" s="2">
        <v>2</v>
      </c>
      <c r="B1114" s="4">
        <v>48</v>
      </c>
      <c r="C1114" s="4">
        <v>25.9</v>
      </c>
      <c r="D1114" s="4">
        <v>3</v>
      </c>
      <c r="E1114" s="4" t="s">
        <v>8</v>
      </c>
      <c r="F1114" s="4" t="s">
        <v>9</v>
      </c>
      <c r="G1114" s="4" t="s">
        <v>13</v>
      </c>
      <c r="H1114" s="4">
        <v>1261.8929327874898</v>
      </c>
      <c r="I1114" s="4">
        <v>1682.5239103833198</v>
      </c>
      <c r="J1114" s="2">
        <f>VLOOKUP(A1114,Planilha1!A:M,13,0)</f>
        <v>3220.2324129890262</v>
      </c>
      <c r="K1114" s="10">
        <f t="shared" si="34"/>
        <v>1958.3394802015364</v>
      </c>
      <c r="L1114" s="10">
        <f t="shared" si="35"/>
        <v>420.63097759583002</v>
      </c>
    </row>
    <row r="1115" spans="1:12" x14ac:dyDescent="0.25">
      <c r="A1115" s="2">
        <v>3</v>
      </c>
      <c r="B1115" s="4">
        <v>28</v>
      </c>
      <c r="C1115" s="4">
        <v>26.3</v>
      </c>
      <c r="D1115" s="4">
        <v>3</v>
      </c>
      <c r="E1115" s="4" t="s">
        <v>8</v>
      </c>
      <c r="F1115" s="4" t="s">
        <v>12</v>
      </c>
      <c r="G1115" s="4" t="s">
        <v>14</v>
      </c>
      <c r="H1115" s="4">
        <v>1384.4110165028533</v>
      </c>
      <c r="I1115" s="4">
        <v>1845.8813553371378</v>
      </c>
      <c r="J1115" s="2">
        <f>VLOOKUP(A1115,Planilha1!A:M,13,0)</f>
        <v>3049.3550806113421</v>
      </c>
      <c r="K1115" s="10">
        <f t="shared" si="34"/>
        <v>1664.9440641084889</v>
      </c>
      <c r="L1115" s="10">
        <f t="shared" si="35"/>
        <v>461.47033883428458</v>
      </c>
    </row>
    <row r="1116" spans="1:12" x14ac:dyDescent="0.25">
      <c r="A1116" s="2">
        <v>0</v>
      </c>
      <c r="B1116" s="4">
        <v>23</v>
      </c>
      <c r="C1116" s="4">
        <v>24.2</v>
      </c>
      <c r="D1116" s="4">
        <v>0</v>
      </c>
      <c r="E1116" s="4" t="s">
        <v>11</v>
      </c>
      <c r="F1116" s="4" t="s">
        <v>12</v>
      </c>
      <c r="G1116" s="4" t="s">
        <v>15</v>
      </c>
      <c r="H1116" s="4">
        <v>2158.0564867335152</v>
      </c>
      <c r="I1116" s="4">
        <v>2538.8899843923718</v>
      </c>
      <c r="J1116" s="2">
        <f>VLOOKUP(A1116,Planilha1!A:M,13,0)</f>
        <v>2511.8220480829059</v>
      </c>
      <c r="K1116" s="10">
        <f t="shared" si="34"/>
        <v>353.76556134939074</v>
      </c>
      <c r="L1116" s="10">
        <f t="shared" si="35"/>
        <v>380.83349765885669</v>
      </c>
    </row>
    <row r="1117" spans="1:12" x14ac:dyDescent="0.25">
      <c r="A1117" s="2">
        <v>1</v>
      </c>
      <c r="B1117" s="4">
        <v>55</v>
      </c>
      <c r="C1117" s="4">
        <v>32.700000000000003</v>
      </c>
      <c r="D1117" s="4">
        <v>1</v>
      </c>
      <c r="E1117" s="4" t="s">
        <v>11</v>
      </c>
      <c r="F1117" s="4" t="s">
        <v>12</v>
      </c>
      <c r="G1117" s="4" t="s">
        <v>13</v>
      </c>
      <c r="H1117" s="4">
        <v>4656.6803582857274</v>
      </c>
      <c r="I1117" s="4">
        <v>4434.9336745578366</v>
      </c>
      <c r="J1117" s="2">
        <f>VLOOKUP(A1117,Planilha1!A:M,13,0)</f>
        <v>6326.3485212104815</v>
      </c>
      <c r="K1117" s="10">
        <f t="shared" si="34"/>
        <v>1669.6681629247541</v>
      </c>
      <c r="L1117" s="10">
        <f t="shared" si="35"/>
        <v>-221.74668372789074</v>
      </c>
    </row>
    <row r="1118" spans="1:12" x14ac:dyDescent="0.25">
      <c r="A1118" s="2">
        <v>3</v>
      </c>
      <c r="B1118" s="4">
        <v>41</v>
      </c>
      <c r="C1118" s="4">
        <v>29.6</v>
      </c>
      <c r="D1118" s="4">
        <v>5</v>
      </c>
      <c r="E1118" s="4" t="s">
        <v>11</v>
      </c>
      <c r="F1118" s="4" t="s">
        <v>12</v>
      </c>
      <c r="G1118" s="4" t="s">
        <v>15</v>
      </c>
      <c r="H1118" s="4">
        <v>2114.5125599579669</v>
      </c>
      <c r="I1118" s="4">
        <v>2819.3500799439557</v>
      </c>
      <c r="J1118" s="2">
        <f>VLOOKUP(A1118,Planilha1!A:M,13,0)</f>
        <v>3049.3550806113421</v>
      </c>
      <c r="K1118" s="10">
        <f t="shared" si="34"/>
        <v>934.84252065337523</v>
      </c>
      <c r="L1118" s="10">
        <f t="shared" si="35"/>
        <v>704.83751998598882</v>
      </c>
    </row>
    <row r="1119" spans="1:12" x14ac:dyDescent="0.25">
      <c r="A1119" s="2">
        <v>2</v>
      </c>
      <c r="B1119" s="4">
        <v>25</v>
      </c>
      <c r="C1119" s="4">
        <v>33.299999999999997</v>
      </c>
      <c r="D1119" s="4">
        <v>2</v>
      </c>
      <c r="E1119" s="4" t="s">
        <v>11</v>
      </c>
      <c r="F1119" s="4" t="s">
        <v>9</v>
      </c>
      <c r="G1119" s="4" t="s">
        <v>13</v>
      </c>
      <c r="H1119" s="4">
        <v>1069.4044552872585</v>
      </c>
      <c r="I1119" s="4">
        <v>1425.872607049678</v>
      </c>
      <c r="J1119" s="2">
        <f>VLOOKUP(A1119,Planilha1!A:M,13,0)</f>
        <v>3220.2324129890262</v>
      </c>
      <c r="K1119" s="10">
        <f t="shared" si="34"/>
        <v>2150.8279577017674</v>
      </c>
      <c r="L1119" s="10">
        <f t="shared" si="35"/>
        <v>356.46815176241944</v>
      </c>
    </row>
    <row r="1120" spans="1:12" x14ac:dyDescent="0.25">
      <c r="A1120" s="2">
        <v>2</v>
      </c>
      <c r="B1120" s="4">
        <v>33</v>
      </c>
      <c r="C1120" s="4">
        <v>24.1</v>
      </c>
      <c r="D1120" s="4">
        <v>1</v>
      </c>
      <c r="E1120" s="4" t="s">
        <v>11</v>
      </c>
      <c r="F1120" s="4" t="s">
        <v>9</v>
      </c>
      <c r="G1120" s="4" t="s">
        <v>13</v>
      </c>
      <c r="H1120" s="4">
        <v>1939.6676792807723</v>
      </c>
      <c r="I1120" s="4">
        <v>2281.9619756244388</v>
      </c>
      <c r="J1120" s="2">
        <f>VLOOKUP(A1120,Planilha1!A:M,13,0)</f>
        <v>3220.2324129890262</v>
      </c>
      <c r="K1120" s="10">
        <f t="shared" si="34"/>
        <v>1280.5647337082539</v>
      </c>
      <c r="L1120" s="10">
        <f t="shared" si="35"/>
        <v>342.29429634366647</v>
      </c>
    </row>
    <row r="1121" spans="1:12" x14ac:dyDescent="0.25">
      <c r="A1121" s="2">
        <v>3</v>
      </c>
      <c r="B1121" s="4">
        <v>30</v>
      </c>
      <c r="C1121" s="4">
        <v>20</v>
      </c>
      <c r="D1121" s="4">
        <v>3</v>
      </c>
      <c r="E1121" s="4" t="s">
        <v>8</v>
      </c>
      <c r="F1121" s="4" t="s">
        <v>12</v>
      </c>
      <c r="G1121" s="4" t="s">
        <v>14</v>
      </c>
      <c r="H1121" s="4">
        <v>1392.1706165699159</v>
      </c>
      <c r="I1121" s="4">
        <v>1856.2274887598878</v>
      </c>
      <c r="J1121" s="2">
        <f>VLOOKUP(A1121,Planilha1!A:M,13,0)</f>
        <v>3049.3550806113421</v>
      </c>
      <c r="K1121" s="10">
        <f t="shared" si="34"/>
        <v>1657.1844640414263</v>
      </c>
      <c r="L1121" s="10">
        <f t="shared" si="35"/>
        <v>464.05687218997195</v>
      </c>
    </row>
    <row r="1122" spans="1:12" x14ac:dyDescent="0.25">
      <c r="A1122" s="2">
        <v>2</v>
      </c>
      <c r="B1122" s="4">
        <v>23</v>
      </c>
      <c r="C1122" s="4">
        <v>21</v>
      </c>
      <c r="D1122" s="4">
        <v>0</v>
      </c>
      <c r="E1122" s="4" t="s">
        <v>8</v>
      </c>
      <c r="F1122" s="4" t="s">
        <v>9</v>
      </c>
      <c r="G1122" s="4" t="s">
        <v>10</v>
      </c>
      <c r="H1122" s="4">
        <v>1813.54341974317</v>
      </c>
      <c r="I1122" s="4">
        <v>2133.5804938154952</v>
      </c>
      <c r="J1122" s="2">
        <f>VLOOKUP(A1122,Planilha1!A:M,13,0)</f>
        <v>3220.2324129890262</v>
      </c>
      <c r="K1122" s="10">
        <f t="shared" si="34"/>
        <v>1406.6889932458562</v>
      </c>
      <c r="L1122" s="10">
        <f t="shared" si="35"/>
        <v>320.03707407232514</v>
      </c>
    </row>
    <row r="1123" spans="1:12" x14ac:dyDescent="0.25">
      <c r="A1123" s="2">
        <v>3</v>
      </c>
      <c r="B1123" s="4">
        <v>46</v>
      </c>
      <c r="C1123" s="4">
        <v>38.200000000000003</v>
      </c>
      <c r="D1123" s="4">
        <v>2</v>
      </c>
      <c r="E1123" s="4" t="s">
        <v>11</v>
      </c>
      <c r="F1123" s="4" t="s">
        <v>12</v>
      </c>
      <c r="G1123" s="4" t="s">
        <v>13</v>
      </c>
      <c r="H1123" s="4">
        <v>1632.5003968795218</v>
      </c>
      <c r="I1123" s="4">
        <v>2176.6671958393622</v>
      </c>
      <c r="J1123" s="2">
        <f>VLOOKUP(A1123,Planilha1!A:M,13,0)</f>
        <v>3049.3550806113421</v>
      </c>
      <c r="K1123" s="10">
        <f t="shared" si="34"/>
        <v>1416.8546837318204</v>
      </c>
      <c r="L1123" s="10">
        <f t="shared" si="35"/>
        <v>544.16679895984043</v>
      </c>
    </row>
    <row r="1124" spans="1:12" x14ac:dyDescent="0.25">
      <c r="A1124" s="2">
        <v>2</v>
      </c>
      <c r="B1124" s="4">
        <v>53</v>
      </c>
      <c r="C1124" s="4">
        <v>36.9</v>
      </c>
      <c r="D1124" s="4">
        <v>3</v>
      </c>
      <c r="E1124" s="4" t="s">
        <v>8</v>
      </c>
      <c r="F1124" s="4" t="s">
        <v>9</v>
      </c>
      <c r="G1124" s="4" t="s">
        <v>14</v>
      </c>
      <c r="H1124" s="4">
        <v>1748.8271868605361</v>
      </c>
      <c r="I1124" s="4">
        <v>2331.7695824807147</v>
      </c>
      <c r="J1124" s="2">
        <f>VLOOKUP(A1124,Planilha1!A:M,13,0)</f>
        <v>3220.2324129890262</v>
      </c>
      <c r="K1124" s="10">
        <f t="shared" si="34"/>
        <v>1471.4052261284901</v>
      </c>
      <c r="L1124" s="10">
        <f t="shared" si="35"/>
        <v>582.94239562017856</v>
      </c>
    </row>
    <row r="1125" spans="1:12" x14ac:dyDescent="0.25">
      <c r="A1125" s="2">
        <v>0</v>
      </c>
      <c r="B1125" s="4">
        <v>27</v>
      </c>
      <c r="C1125" s="4">
        <v>23.4</v>
      </c>
      <c r="D1125" s="4">
        <v>1</v>
      </c>
      <c r="E1125" s="4" t="s">
        <v>8</v>
      </c>
      <c r="F1125" s="4" t="s">
        <v>12</v>
      </c>
      <c r="G1125" s="4" t="s">
        <v>15</v>
      </c>
      <c r="H1125" s="4">
        <v>1764.0052041706501</v>
      </c>
      <c r="I1125" s="4">
        <v>2075.300240200766</v>
      </c>
      <c r="J1125" s="2">
        <f>VLOOKUP(A1125,Planilha1!A:M,13,0)</f>
        <v>2511.8220480829059</v>
      </c>
      <c r="K1125" s="10">
        <f t="shared" si="34"/>
        <v>747.81684391225576</v>
      </c>
      <c r="L1125" s="10">
        <f t="shared" si="35"/>
        <v>311.29503603011585</v>
      </c>
    </row>
    <row r="1126" spans="1:12" x14ac:dyDescent="0.25">
      <c r="A1126" s="2">
        <v>2</v>
      </c>
      <c r="B1126" s="4">
        <v>23</v>
      </c>
      <c r="C1126" s="4">
        <v>22</v>
      </c>
      <c r="D1126" s="4">
        <v>1</v>
      </c>
      <c r="E1126" s="4" t="s">
        <v>8</v>
      </c>
      <c r="F1126" s="4" t="s">
        <v>9</v>
      </c>
      <c r="G1126" s="4" t="s">
        <v>15</v>
      </c>
      <c r="H1126" s="4">
        <v>1379.4881747900549</v>
      </c>
      <c r="I1126" s="4">
        <v>1622.9272644588889</v>
      </c>
      <c r="J1126" s="2">
        <f>VLOOKUP(A1126,Planilha1!A:M,13,0)</f>
        <v>3220.2324129890262</v>
      </c>
      <c r="K1126" s="10">
        <f t="shared" si="34"/>
        <v>1840.7442381989713</v>
      </c>
      <c r="L1126" s="10">
        <f t="shared" si="35"/>
        <v>243.43908966883396</v>
      </c>
    </row>
    <row r="1127" spans="1:12" x14ac:dyDescent="0.25">
      <c r="A1127" s="2">
        <v>1</v>
      </c>
      <c r="B1127" s="4">
        <v>63</v>
      </c>
      <c r="C1127" s="4">
        <v>25.1</v>
      </c>
      <c r="D1127" s="4">
        <v>0</v>
      </c>
      <c r="E1127" s="4" t="s">
        <v>8</v>
      </c>
      <c r="F1127" s="4" t="s">
        <v>12</v>
      </c>
      <c r="G1127" s="4" t="s">
        <v>14</v>
      </c>
      <c r="H1127" s="4">
        <v>4121.9155823878555</v>
      </c>
      <c r="I1127" s="4">
        <v>3925.6338879884361</v>
      </c>
      <c r="J1127" s="2">
        <f>VLOOKUP(A1127,Planilha1!A:M,13,0)</f>
        <v>6326.3485212104815</v>
      </c>
      <c r="K1127" s="10">
        <f t="shared" si="34"/>
        <v>2204.4329388226261</v>
      </c>
      <c r="L1127" s="10">
        <f t="shared" si="35"/>
        <v>-196.28169439941939</v>
      </c>
    </row>
    <row r="1128" spans="1:12" x14ac:dyDescent="0.25">
      <c r="A1128" s="2">
        <v>1</v>
      </c>
      <c r="B1128" s="4">
        <v>55</v>
      </c>
      <c r="C1128" s="4">
        <v>29.9</v>
      </c>
      <c r="D1128" s="4">
        <v>0</v>
      </c>
      <c r="E1128" s="4" t="s">
        <v>11</v>
      </c>
      <c r="F1128" s="4" t="s">
        <v>12</v>
      </c>
      <c r="G1128" s="4" t="s">
        <v>10</v>
      </c>
      <c r="H1128" s="4">
        <v>4234.8832224391663</v>
      </c>
      <c r="I1128" s="4">
        <v>4033.2221166087315</v>
      </c>
      <c r="J1128" s="2">
        <f>VLOOKUP(A1128,Planilha1!A:M,13,0)</f>
        <v>6326.3485212104815</v>
      </c>
      <c r="K1128" s="10">
        <f t="shared" si="34"/>
        <v>2091.4652987713152</v>
      </c>
      <c r="L1128" s="10">
        <f t="shared" si="35"/>
        <v>-201.66110583043474</v>
      </c>
    </row>
    <row r="1129" spans="1:12" x14ac:dyDescent="0.25">
      <c r="A1129" s="2">
        <v>3</v>
      </c>
      <c r="B1129" s="4">
        <v>35</v>
      </c>
      <c r="C1129" s="4">
        <v>35.9</v>
      </c>
      <c r="D1129" s="4">
        <v>2</v>
      </c>
      <c r="E1129" s="4" t="s">
        <v>8</v>
      </c>
      <c r="F1129" s="4" t="s">
        <v>12</v>
      </c>
      <c r="G1129" s="4" t="s">
        <v>13</v>
      </c>
      <c r="H1129" s="4">
        <v>1229.8167626607212</v>
      </c>
      <c r="I1129" s="4">
        <v>1639.7556835476282</v>
      </c>
      <c r="J1129" s="2">
        <f>VLOOKUP(A1129,Planilha1!A:M,13,0)</f>
        <v>3049.3550806113421</v>
      </c>
      <c r="K1129" s="10">
        <f t="shared" si="34"/>
        <v>1819.5383179506209</v>
      </c>
      <c r="L1129" s="10">
        <f t="shared" si="35"/>
        <v>409.938920886907</v>
      </c>
    </row>
    <row r="1130" spans="1:12" x14ac:dyDescent="0.25">
      <c r="A1130" s="2">
        <v>0</v>
      </c>
      <c r="B1130" s="4">
        <v>34</v>
      </c>
      <c r="C1130" s="4">
        <v>25</v>
      </c>
      <c r="D1130" s="4">
        <v>1</v>
      </c>
      <c r="E1130" s="4" t="s">
        <v>11</v>
      </c>
      <c r="F1130" s="4" t="s">
        <v>12</v>
      </c>
      <c r="G1130" s="4" t="s">
        <v>10</v>
      </c>
      <c r="H1130" s="4">
        <v>2329.0537506827977</v>
      </c>
      <c r="I1130" s="4">
        <v>2740.0632360974096</v>
      </c>
      <c r="J1130" s="2">
        <f>VLOOKUP(A1130,Planilha1!A:M,13,0)</f>
        <v>2511.8220480829059</v>
      </c>
      <c r="K1130" s="10">
        <f t="shared" si="34"/>
        <v>182.76829740010817</v>
      </c>
      <c r="L1130" s="10">
        <f t="shared" si="35"/>
        <v>411.00948541461185</v>
      </c>
    </row>
    <row r="1131" spans="1:12" x14ac:dyDescent="0.25">
      <c r="A1131" s="2">
        <v>0</v>
      </c>
      <c r="B1131" s="4">
        <v>19</v>
      </c>
      <c r="C1131" s="4">
        <v>21.7</v>
      </c>
      <c r="D1131" s="4">
        <v>0</v>
      </c>
      <c r="E1131" s="4" t="s">
        <v>8</v>
      </c>
      <c r="F1131" s="4" t="s">
        <v>12</v>
      </c>
      <c r="G1131" s="4" t="s">
        <v>10</v>
      </c>
      <c r="H1131" s="4">
        <v>1708.5260865149435</v>
      </c>
      <c r="I1131" s="4">
        <v>2010.0306900175813</v>
      </c>
      <c r="J1131" s="2">
        <f>VLOOKUP(A1131,Planilha1!A:M,13,0)</f>
        <v>2511.8220480829059</v>
      </c>
      <c r="K1131" s="10">
        <f t="shared" si="34"/>
        <v>803.29596156796242</v>
      </c>
      <c r="L1131" s="10">
        <f t="shared" si="35"/>
        <v>301.50460350263779</v>
      </c>
    </row>
    <row r="1132" spans="1:12" x14ac:dyDescent="0.25">
      <c r="A1132" s="2">
        <v>3</v>
      </c>
      <c r="B1132" s="4">
        <v>39</v>
      </c>
      <c r="C1132" s="4">
        <v>23.9</v>
      </c>
      <c r="D1132" s="4">
        <v>5</v>
      </c>
      <c r="E1132" s="4" t="s">
        <v>8</v>
      </c>
      <c r="F1132" s="4" t="s">
        <v>12</v>
      </c>
      <c r="G1132" s="4" t="s">
        <v>13</v>
      </c>
      <c r="H1132" s="4">
        <v>2747.1692663894464</v>
      </c>
      <c r="I1132" s="4">
        <v>3662.8923551859289</v>
      </c>
      <c r="J1132" s="2">
        <f>VLOOKUP(A1132,Planilha1!A:M,13,0)</f>
        <v>3049.3550806113421</v>
      </c>
      <c r="K1132" s="10">
        <f t="shared" si="34"/>
        <v>302.18581422189573</v>
      </c>
      <c r="L1132" s="10">
        <f t="shared" si="35"/>
        <v>915.72308879648244</v>
      </c>
    </row>
    <row r="1133" spans="1:12" x14ac:dyDescent="0.25">
      <c r="A1133" s="2">
        <v>3</v>
      </c>
      <c r="B1133" s="4">
        <v>27</v>
      </c>
      <c r="C1133" s="4">
        <v>45.9</v>
      </c>
      <c r="D1133" s="4">
        <v>2</v>
      </c>
      <c r="E1133" s="4" t="s">
        <v>11</v>
      </c>
      <c r="F1133" s="4" t="s">
        <v>12</v>
      </c>
      <c r="G1133" s="4" t="s">
        <v>10</v>
      </c>
      <c r="H1133" s="4">
        <v>2565.9316788557485</v>
      </c>
      <c r="I1133" s="4">
        <v>3421.2422384743313</v>
      </c>
      <c r="J1133" s="2">
        <f>VLOOKUP(A1133,Planilha1!A:M,13,0)</f>
        <v>3049.3550806113421</v>
      </c>
      <c r="K1133" s="10">
        <f t="shared" si="34"/>
        <v>483.42340175559366</v>
      </c>
      <c r="L1133" s="10">
        <f t="shared" si="35"/>
        <v>855.31055961858283</v>
      </c>
    </row>
    <row r="1134" spans="1:12" x14ac:dyDescent="0.25">
      <c r="A1134" s="2">
        <v>1</v>
      </c>
      <c r="B1134" s="4">
        <v>57</v>
      </c>
      <c r="C1134" s="4">
        <v>40.299999999999997</v>
      </c>
      <c r="D1134" s="4">
        <v>0</v>
      </c>
      <c r="E1134" s="4" t="s">
        <v>11</v>
      </c>
      <c r="F1134" s="4" t="s">
        <v>12</v>
      </c>
      <c r="G1134" s="4" t="s">
        <v>15</v>
      </c>
      <c r="H1134" s="4">
        <v>5120.5655945150756</v>
      </c>
      <c r="I1134" s="4">
        <v>4876.7291376334069</v>
      </c>
      <c r="J1134" s="2">
        <f>VLOOKUP(A1134,Planilha1!A:M,13,0)</f>
        <v>6326.3485212104815</v>
      </c>
      <c r="K1134" s="10">
        <f t="shared" si="34"/>
        <v>1205.7829266954059</v>
      </c>
      <c r="L1134" s="10">
        <f t="shared" si="35"/>
        <v>-243.83645688166871</v>
      </c>
    </row>
    <row r="1135" spans="1:12" x14ac:dyDescent="0.25">
      <c r="A1135" s="2">
        <v>0</v>
      </c>
      <c r="B1135" s="4">
        <v>52</v>
      </c>
      <c r="C1135" s="4">
        <v>18.3</v>
      </c>
      <c r="D1135" s="4">
        <v>0</v>
      </c>
      <c r="E1135" s="4" t="s">
        <v>8</v>
      </c>
      <c r="F1135" s="4" t="s">
        <v>12</v>
      </c>
      <c r="G1135" s="4" t="s">
        <v>14</v>
      </c>
      <c r="H1135" s="4">
        <v>1535.7138035250678</v>
      </c>
      <c r="I1135" s="4">
        <v>1806.7221217941981</v>
      </c>
      <c r="J1135" s="2">
        <f>VLOOKUP(A1135,Planilha1!A:M,13,0)</f>
        <v>2511.8220480829059</v>
      </c>
      <c r="K1135" s="10">
        <f t="shared" si="34"/>
        <v>976.10824455783813</v>
      </c>
      <c r="L1135" s="10">
        <f t="shared" si="35"/>
        <v>271.00831826913031</v>
      </c>
    </row>
    <row r="1136" spans="1:12" x14ac:dyDescent="0.25">
      <c r="A1136" s="2">
        <v>0</v>
      </c>
      <c r="B1136" s="4">
        <v>28</v>
      </c>
      <c r="C1136" s="4">
        <v>21.4</v>
      </c>
      <c r="D1136" s="4">
        <v>0</v>
      </c>
      <c r="E1136" s="4" t="s">
        <v>11</v>
      </c>
      <c r="F1136" s="4" t="s">
        <v>12</v>
      </c>
      <c r="G1136" s="4" t="s">
        <v>14</v>
      </c>
      <c r="H1136" s="4">
        <v>1767.0139424303238</v>
      </c>
      <c r="I1136" s="4">
        <v>2078.8399322709702</v>
      </c>
      <c r="J1136" s="2">
        <f>VLOOKUP(A1136,Planilha1!A:M,13,0)</f>
        <v>2511.8220480829059</v>
      </c>
      <c r="K1136" s="10">
        <f t="shared" si="34"/>
        <v>744.80810565258207</v>
      </c>
      <c r="L1136" s="10">
        <f t="shared" si="35"/>
        <v>311.82598984064634</v>
      </c>
    </row>
    <row r="1137" spans="1:12" x14ac:dyDescent="0.25">
      <c r="A1137" s="2">
        <v>3</v>
      </c>
      <c r="B1137" s="4">
        <v>50</v>
      </c>
      <c r="C1137" s="4">
        <v>28.1</v>
      </c>
      <c r="D1137" s="4">
        <v>3</v>
      </c>
      <c r="E1137" s="4" t="s">
        <v>8</v>
      </c>
      <c r="F1137" s="4" t="s">
        <v>12</v>
      </c>
      <c r="G1137" s="4" t="s">
        <v>14</v>
      </c>
      <c r="H1137" s="4">
        <v>2149.4353178833599</v>
      </c>
      <c r="I1137" s="4">
        <v>2865.9137571778133</v>
      </c>
      <c r="J1137" s="2">
        <f>VLOOKUP(A1137,Planilha1!A:M,13,0)</f>
        <v>3049.3550806113421</v>
      </c>
      <c r="K1137" s="10">
        <f t="shared" si="34"/>
        <v>899.91976272798229</v>
      </c>
      <c r="L1137" s="10">
        <f t="shared" si="35"/>
        <v>716.47843929445344</v>
      </c>
    </row>
    <row r="1138" spans="1:12" x14ac:dyDescent="0.25">
      <c r="A1138" s="2">
        <v>1</v>
      </c>
      <c r="B1138" s="4">
        <v>44</v>
      </c>
      <c r="C1138" s="4">
        <v>25</v>
      </c>
      <c r="D1138" s="4">
        <v>1</v>
      </c>
      <c r="E1138" s="4" t="s">
        <v>8</v>
      </c>
      <c r="F1138" s="4" t="s">
        <v>12</v>
      </c>
      <c r="G1138" s="4" t="s">
        <v>10</v>
      </c>
      <c r="H1138" s="4">
        <v>2845.831537329037</v>
      </c>
      <c r="I1138" s="4">
        <v>3348.0371027400442</v>
      </c>
      <c r="J1138" s="2">
        <f>VLOOKUP(A1138,Planilha1!A:M,13,0)</f>
        <v>6326.3485212104815</v>
      </c>
      <c r="K1138" s="10">
        <f t="shared" si="34"/>
        <v>3480.5169838814445</v>
      </c>
      <c r="L1138" s="10">
        <f t="shared" si="35"/>
        <v>502.20556541100723</v>
      </c>
    </row>
    <row r="1139" spans="1:12" x14ac:dyDescent="0.25">
      <c r="A1139" s="2">
        <v>0</v>
      </c>
      <c r="B1139" s="4">
        <v>26</v>
      </c>
      <c r="C1139" s="4">
        <v>22.7</v>
      </c>
      <c r="D1139" s="4">
        <v>0</v>
      </c>
      <c r="E1139" s="4" t="s">
        <v>8</v>
      </c>
      <c r="F1139" s="4" t="s">
        <v>12</v>
      </c>
      <c r="G1139" s="4" t="s">
        <v>14</v>
      </c>
      <c r="H1139" s="4">
        <v>1850.9318882678276</v>
      </c>
      <c r="I1139" s="4">
        <v>2177.5669273739154</v>
      </c>
      <c r="J1139" s="2">
        <f>VLOOKUP(A1139,Planilha1!A:M,13,0)</f>
        <v>2511.8220480829059</v>
      </c>
      <c r="K1139" s="10">
        <f t="shared" si="34"/>
        <v>660.89015981507828</v>
      </c>
      <c r="L1139" s="10">
        <f t="shared" si="35"/>
        <v>326.63503910608779</v>
      </c>
    </row>
    <row r="1140" spans="1:12" x14ac:dyDescent="0.25">
      <c r="A1140" s="2">
        <v>0</v>
      </c>
      <c r="B1140" s="4">
        <v>33</v>
      </c>
      <c r="C1140" s="4">
        <v>23</v>
      </c>
      <c r="D1140" s="4">
        <v>0</v>
      </c>
      <c r="E1140" s="4" t="s">
        <v>11</v>
      </c>
      <c r="F1140" s="4" t="s">
        <v>12</v>
      </c>
      <c r="G1140" s="4" t="s">
        <v>13</v>
      </c>
      <c r="H1140" s="4">
        <v>1481.6712773234626</v>
      </c>
      <c r="I1140" s="4">
        <v>1743.1426792040743</v>
      </c>
      <c r="J1140" s="2">
        <f>VLOOKUP(A1140,Planilha1!A:M,13,0)</f>
        <v>2511.8220480829059</v>
      </c>
      <c r="K1140" s="10">
        <f t="shared" si="34"/>
        <v>1030.1507707594433</v>
      </c>
      <c r="L1140" s="10">
        <f t="shared" si="35"/>
        <v>261.47140188061167</v>
      </c>
    </row>
    <row r="1141" spans="1:12" x14ac:dyDescent="0.25">
      <c r="A1141" s="2">
        <v>2</v>
      </c>
      <c r="B1141" s="4">
        <v>19</v>
      </c>
      <c r="C1141" s="4">
        <v>24</v>
      </c>
      <c r="D1141" s="4">
        <v>0</v>
      </c>
      <c r="E1141" s="4" t="s">
        <v>8</v>
      </c>
      <c r="F1141" s="4" t="s">
        <v>9</v>
      </c>
      <c r="G1141" s="4" t="s">
        <v>14</v>
      </c>
      <c r="H1141" s="4">
        <v>1806.5192571123414</v>
      </c>
      <c r="I1141" s="4">
        <v>2125.3167730733435</v>
      </c>
      <c r="J1141" s="2">
        <f>VLOOKUP(A1141,Planilha1!A:M,13,0)</f>
        <v>3220.2324129890262</v>
      </c>
      <c r="K1141" s="10">
        <f t="shared" si="34"/>
        <v>1413.7131558766848</v>
      </c>
      <c r="L1141" s="10">
        <f t="shared" si="35"/>
        <v>318.79751596100209</v>
      </c>
    </row>
    <row r="1142" spans="1:12" x14ac:dyDescent="0.25">
      <c r="A1142" s="2">
        <v>1</v>
      </c>
      <c r="B1142" s="4">
        <v>50</v>
      </c>
      <c r="C1142" s="4">
        <v>37.1</v>
      </c>
      <c r="D1142" s="4">
        <v>1</v>
      </c>
      <c r="E1142" s="4" t="s">
        <v>11</v>
      </c>
      <c r="F1142" s="4" t="s">
        <v>12</v>
      </c>
      <c r="G1142" s="4" t="s">
        <v>13</v>
      </c>
      <c r="H1142" s="4">
        <v>5185.7366379293308</v>
      </c>
      <c r="I1142" s="4">
        <v>4938.7967980279354</v>
      </c>
      <c r="J1142" s="2">
        <f>VLOOKUP(A1142,Planilha1!A:M,13,0)</f>
        <v>6326.3485212104815</v>
      </c>
      <c r="K1142" s="10">
        <f t="shared" si="34"/>
        <v>1140.6118832811508</v>
      </c>
      <c r="L1142" s="10">
        <f t="shared" si="35"/>
        <v>-246.93983990139532</v>
      </c>
    </row>
    <row r="1143" spans="1:12" x14ac:dyDescent="0.25">
      <c r="A1143" s="2">
        <v>3</v>
      </c>
      <c r="B1143" s="4">
        <v>41</v>
      </c>
      <c r="C1143" s="4">
        <v>32.6</v>
      </c>
      <c r="D1143" s="4">
        <v>3</v>
      </c>
      <c r="E1143" s="4" t="s">
        <v>8</v>
      </c>
      <c r="F1143" s="4" t="s">
        <v>12</v>
      </c>
      <c r="G1143" s="4" t="s">
        <v>10</v>
      </c>
      <c r="H1143" s="4">
        <v>2663.7353035930141</v>
      </c>
      <c r="I1143" s="4">
        <v>3551.647071457352</v>
      </c>
      <c r="J1143" s="2">
        <f>VLOOKUP(A1143,Planilha1!A:M,13,0)</f>
        <v>3049.3550806113421</v>
      </c>
      <c r="K1143" s="10">
        <f t="shared" si="34"/>
        <v>385.61977701832802</v>
      </c>
      <c r="L1143" s="10">
        <f t="shared" si="35"/>
        <v>887.91176786433789</v>
      </c>
    </row>
    <row r="1144" spans="1:12" x14ac:dyDescent="0.25">
      <c r="A1144" s="2">
        <v>1</v>
      </c>
      <c r="B1144" s="4">
        <v>52</v>
      </c>
      <c r="C1144" s="4">
        <v>24.9</v>
      </c>
      <c r="D1144" s="4">
        <v>0</v>
      </c>
      <c r="E1144" s="4" t="s">
        <v>8</v>
      </c>
      <c r="F1144" s="4" t="s">
        <v>12</v>
      </c>
      <c r="G1144" s="4" t="s">
        <v>13</v>
      </c>
      <c r="H1144" s="4">
        <v>4078.6933006476384</v>
      </c>
      <c r="I1144" s="4">
        <v>3884.4698101406098</v>
      </c>
      <c r="J1144" s="2">
        <f>VLOOKUP(A1144,Planilha1!A:M,13,0)</f>
        <v>6326.3485212104815</v>
      </c>
      <c r="K1144" s="10">
        <f t="shared" si="34"/>
        <v>2247.6552205628432</v>
      </c>
      <c r="L1144" s="10">
        <f t="shared" si="35"/>
        <v>-194.2234905070286</v>
      </c>
    </row>
    <row r="1145" spans="1:12" x14ac:dyDescent="0.25">
      <c r="A1145" s="2">
        <v>3</v>
      </c>
      <c r="B1145" s="4">
        <v>39</v>
      </c>
      <c r="C1145" s="4">
        <v>32.299999999999997</v>
      </c>
      <c r="D1145" s="4">
        <v>2</v>
      </c>
      <c r="E1145" s="4" t="s">
        <v>11</v>
      </c>
      <c r="F1145" s="4" t="s">
        <v>12</v>
      </c>
      <c r="G1145" s="4" t="s">
        <v>13</v>
      </c>
      <c r="H1145" s="4">
        <v>2905.3350063889629</v>
      </c>
      <c r="I1145" s="4">
        <v>3873.7800085186173</v>
      </c>
      <c r="J1145" s="2">
        <f>VLOOKUP(A1145,Planilha1!A:M,13,0)</f>
        <v>3049.3550806113421</v>
      </c>
      <c r="K1145" s="10">
        <f t="shared" si="34"/>
        <v>144.02007422237921</v>
      </c>
      <c r="L1145" s="10">
        <f t="shared" si="35"/>
        <v>968.44500212965431</v>
      </c>
    </row>
    <row r="1146" spans="1:12" x14ac:dyDescent="0.25">
      <c r="A1146" s="2">
        <v>3</v>
      </c>
      <c r="B1146" s="4">
        <v>50</v>
      </c>
      <c r="C1146" s="4">
        <v>32.299999999999997</v>
      </c>
      <c r="D1146" s="4">
        <v>2</v>
      </c>
      <c r="E1146" s="4" t="s">
        <v>11</v>
      </c>
      <c r="F1146" s="4" t="s">
        <v>12</v>
      </c>
      <c r="G1146" s="4" t="s">
        <v>10</v>
      </c>
      <c r="H1146" s="4">
        <v>1819.2652398905657</v>
      </c>
      <c r="I1146" s="4">
        <v>2425.6869865207541</v>
      </c>
      <c r="J1146" s="2">
        <f>VLOOKUP(A1146,Planilha1!A:M,13,0)</f>
        <v>3049.3550806113421</v>
      </c>
      <c r="K1146" s="10">
        <f t="shared" si="34"/>
        <v>1230.0898407207765</v>
      </c>
      <c r="L1146" s="10">
        <f t="shared" si="35"/>
        <v>606.42174663018841</v>
      </c>
    </row>
    <row r="1147" spans="1:12" x14ac:dyDescent="0.25">
      <c r="A1147" s="2">
        <v>3</v>
      </c>
      <c r="B1147" s="4">
        <v>52</v>
      </c>
      <c r="C1147" s="4">
        <v>32.799999999999997</v>
      </c>
      <c r="D1147" s="4">
        <v>3</v>
      </c>
      <c r="E1147" s="4" t="s">
        <v>11</v>
      </c>
      <c r="F1147" s="4" t="s">
        <v>12</v>
      </c>
      <c r="G1147" s="4" t="s">
        <v>14</v>
      </c>
      <c r="H1147" s="4">
        <v>2364.427261600662</v>
      </c>
      <c r="I1147" s="4">
        <v>3152.5696821342158</v>
      </c>
      <c r="J1147" s="2">
        <f>VLOOKUP(A1147,Planilha1!A:M,13,0)</f>
        <v>3049.3550806113421</v>
      </c>
      <c r="K1147" s="10">
        <f t="shared" si="34"/>
        <v>684.9278190106802</v>
      </c>
      <c r="L1147" s="10">
        <f t="shared" si="35"/>
        <v>788.14242053355383</v>
      </c>
    </row>
    <row r="1148" spans="1:12" x14ac:dyDescent="0.25">
      <c r="A1148" s="2">
        <v>2</v>
      </c>
      <c r="B1148" s="4">
        <v>60</v>
      </c>
      <c r="C1148" s="4">
        <v>32.799999999999997</v>
      </c>
      <c r="D1148" s="4">
        <v>0</v>
      </c>
      <c r="E1148" s="4" t="s">
        <v>11</v>
      </c>
      <c r="F1148" s="4" t="s">
        <v>9</v>
      </c>
      <c r="G1148" s="4" t="s">
        <v>10</v>
      </c>
      <c r="H1148" s="4">
        <v>4660.810285309828</v>
      </c>
      <c r="I1148" s="4">
        <v>4438.8669383903134</v>
      </c>
      <c r="J1148" s="2">
        <f>VLOOKUP(A1148,Planilha1!A:M,13,0)</f>
        <v>3220.2324129890262</v>
      </c>
      <c r="K1148" s="10">
        <f t="shared" si="34"/>
        <v>-1440.5778723208018</v>
      </c>
      <c r="L1148" s="10">
        <f t="shared" si="35"/>
        <v>-221.94334691951462</v>
      </c>
    </row>
    <row r="1149" spans="1:12" x14ac:dyDescent="0.25">
      <c r="A1149" s="2">
        <v>0</v>
      </c>
      <c r="B1149" s="4">
        <v>20</v>
      </c>
      <c r="C1149" s="4">
        <v>24.8</v>
      </c>
      <c r="D1149" s="4">
        <v>0</v>
      </c>
      <c r="E1149" s="4" t="s">
        <v>8</v>
      </c>
      <c r="F1149" s="4" t="s">
        <v>12</v>
      </c>
      <c r="G1149" s="4" t="s">
        <v>14</v>
      </c>
      <c r="H1149" s="4">
        <v>1614.4057622945957</v>
      </c>
      <c r="I1149" s="4">
        <v>1899.3008968171721</v>
      </c>
      <c r="J1149" s="2">
        <f>VLOOKUP(A1149,Planilha1!A:M,13,0)</f>
        <v>2511.8220480829059</v>
      </c>
      <c r="K1149" s="10">
        <f t="shared" si="34"/>
        <v>897.41628578831023</v>
      </c>
      <c r="L1149" s="10">
        <f t="shared" si="35"/>
        <v>284.89513452257643</v>
      </c>
    </row>
    <row r="1150" spans="1:12" x14ac:dyDescent="0.25">
      <c r="A1150" s="2">
        <v>1</v>
      </c>
      <c r="B1150" s="4">
        <v>55</v>
      </c>
      <c r="C1150" s="4">
        <v>21.5</v>
      </c>
      <c r="D1150" s="4">
        <v>1</v>
      </c>
      <c r="E1150" s="4" t="s">
        <v>11</v>
      </c>
      <c r="F1150" s="4" t="s">
        <v>12</v>
      </c>
      <c r="G1150" s="4" t="s">
        <v>10</v>
      </c>
      <c r="H1150" s="4">
        <v>5018.0355710217291</v>
      </c>
      <c r="I1150" s="4">
        <v>4779.0814962111717</v>
      </c>
      <c r="J1150" s="2">
        <f>VLOOKUP(A1150,Planilha1!A:M,13,0)</f>
        <v>6326.3485212104815</v>
      </c>
      <c r="K1150" s="10">
        <f t="shared" si="34"/>
        <v>1308.3129501887524</v>
      </c>
      <c r="L1150" s="10">
        <f t="shared" si="35"/>
        <v>-238.95407481055736</v>
      </c>
    </row>
    <row r="1151" spans="1:12" x14ac:dyDescent="0.25">
      <c r="A1151" s="2">
        <v>1</v>
      </c>
      <c r="B1151" s="4">
        <v>42</v>
      </c>
      <c r="C1151" s="4">
        <v>34.1</v>
      </c>
      <c r="D1151" s="4">
        <v>0</v>
      </c>
      <c r="E1151" s="4" t="s">
        <v>11</v>
      </c>
      <c r="F1151" s="4" t="s">
        <v>12</v>
      </c>
      <c r="G1151" s="4" t="s">
        <v>10</v>
      </c>
      <c r="H1151" s="4">
        <v>5142.5321327294587</v>
      </c>
      <c r="I1151" s="4">
        <v>4897.6496502185337</v>
      </c>
      <c r="J1151" s="2">
        <f>VLOOKUP(A1151,Planilha1!A:M,13,0)</f>
        <v>6326.3485212104815</v>
      </c>
      <c r="K1151" s="10">
        <f t="shared" si="34"/>
        <v>1183.8163884810228</v>
      </c>
      <c r="L1151" s="10">
        <f t="shared" si="35"/>
        <v>-244.882482510925</v>
      </c>
    </row>
    <row r="1152" spans="1:12" x14ac:dyDescent="0.25">
      <c r="A1152" s="2">
        <v>0</v>
      </c>
      <c r="B1152" s="4">
        <v>18</v>
      </c>
      <c r="C1152" s="4">
        <v>20.7</v>
      </c>
      <c r="D1152" s="4">
        <v>0</v>
      </c>
      <c r="E1152" s="4" t="s">
        <v>8</v>
      </c>
      <c r="F1152" s="4" t="s">
        <v>12</v>
      </c>
      <c r="G1152" s="4" t="s">
        <v>15</v>
      </c>
      <c r="H1152" s="4">
        <v>2352.1177029313062</v>
      </c>
      <c r="I1152" s="4">
        <v>2767.1972975662438</v>
      </c>
      <c r="J1152" s="2">
        <f>VLOOKUP(A1152,Planilha1!A:M,13,0)</f>
        <v>2511.8220480829059</v>
      </c>
      <c r="K1152" s="10">
        <f t="shared" si="34"/>
        <v>159.70434515159968</v>
      </c>
      <c r="L1152" s="10">
        <f t="shared" si="35"/>
        <v>415.07959463493762</v>
      </c>
    </row>
    <row r="1153" spans="1:12" x14ac:dyDescent="0.25">
      <c r="A1153" s="2">
        <v>1</v>
      </c>
      <c r="B1153" s="4">
        <v>58</v>
      </c>
      <c r="C1153" s="4">
        <v>36.5</v>
      </c>
      <c r="D1153" s="4">
        <v>0</v>
      </c>
      <c r="E1153" s="4" t="s">
        <v>8</v>
      </c>
      <c r="F1153" s="4" t="s">
        <v>12</v>
      </c>
      <c r="G1153" s="4" t="s">
        <v>14</v>
      </c>
      <c r="H1153" s="4">
        <v>4979.4703701468825</v>
      </c>
      <c r="I1153" s="4">
        <v>4742.3527334732235</v>
      </c>
      <c r="J1153" s="2">
        <f>VLOOKUP(A1153,Planilha1!A:M,13,0)</f>
        <v>6326.3485212104815</v>
      </c>
      <c r="K1153" s="10">
        <f t="shared" si="34"/>
        <v>1346.878151063599</v>
      </c>
      <c r="L1153" s="10">
        <f t="shared" si="35"/>
        <v>-237.11763667365904</v>
      </c>
    </row>
    <row r="1154" spans="1:12" x14ac:dyDescent="0.25">
      <c r="A1154" s="2">
        <v>2</v>
      </c>
      <c r="B1154" s="4">
        <v>43</v>
      </c>
      <c r="C1154" s="4">
        <v>32.6</v>
      </c>
      <c r="D1154" s="4">
        <v>3</v>
      </c>
      <c r="E1154" s="4" t="s">
        <v>8</v>
      </c>
      <c r="F1154" s="4" t="s">
        <v>9</v>
      </c>
      <c r="G1154" s="4" t="s">
        <v>13</v>
      </c>
      <c r="H1154" s="4">
        <v>1228.7459242733712</v>
      </c>
      <c r="I1154" s="4">
        <v>1638.3278990311617</v>
      </c>
      <c r="J1154" s="2">
        <f>VLOOKUP(A1154,Planilha1!A:M,13,0)</f>
        <v>3220.2324129890262</v>
      </c>
      <c r="K1154" s="10">
        <f t="shared" si="34"/>
        <v>1991.486488715655</v>
      </c>
      <c r="L1154" s="10">
        <f t="shared" si="35"/>
        <v>409.58197475779048</v>
      </c>
    </row>
    <row r="1155" spans="1:12" x14ac:dyDescent="0.25">
      <c r="A1155" s="2">
        <v>0</v>
      </c>
      <c r="B1155" s="4">
        <v>35</v>
      </c>
      <c r="C1155" s="4">
        <v>22.7</v>
      </c>
      <c r="D1155" s="4">
        <v>1</v>
      </c>
      <c r="E1155" s="4" t="s">
        <v>8</v>
      </c>
      <c r="F1155" s="4" t="s">
        <v>12</v>
      </c>
      <c r="G1155" s="4" t="s">
        <v>14</v>
      </c>
      <c r="H1155" s="4">
        <v>2175.7755714728737</v>
      </c>
      <c r="I1155" s="4">
        <v>2559.7359664386754</v>
      </c>
      <c r="J1155" s="2">
        <f>VLOOKUP(A1155,Planilha1!A:M,13,0)</f>
        <v>2511.8220480829059</v>
      </c>
      <c r="K1155" s="10">
        <f t="shared" ref="K1155:K1218" si="36">J1155-H1155</f>
        <v>336.04647661003219</v>
      </c>
      <c r="L1155" s="10">
        <f t="shared" ref="L1155:L1218" si="37">I1155-H1155</f>
        <v>383.9603949658017</v>
      </c>
    </row>
    <row r="1156" spans="1:12" x14ac:dyDescent="0.25">
      <c r="A1156" s="2">
        <v>3</v>
      </c>
      <c r="B1156" s="4">
        <v>48</v>
      </c>
      <c r="C1156" s="4">
        <v>27.9</v>
      </c>
      <c r="D1156" s="4">
        <v>4</v>
      </c>
      <c r="E1156" s="4" t="s">
        <v>8</v>
      </c>
      <c r="F1156" s="4" t="s">
        <v>12</v>
      </c>
      <c r="G1156" s="4" t="s">
        <v>14</v>
      </c>
      <c r="H1156" s="4">
        <v>1290.7719709121366</v>
      </c>
      <c r="I1156" s="4">
        <v>1721.0292945495153</v>
      </c>
      <c r="J1156" s="2">
        <f>VLOOKUP(A1156,Planilha1!A:M,13,0)</f>
        <v>3049.3550806113421</v>
      </c>
      <c r="K1156" s="10">
        <f t="shared" si="36"/>
        <v>1758.5831096992056</v>
      </c>
      <c r="L1156" s="10">
        <f t="shared" si="37"/>
        <v>430.2573236373787</v>
      </c>
    </row>
    <row r="1157" spans="1:12" x14ac:dyDescent="0.25">
      <c r="A1157" s="2">
        <v>3</v>
      </c>
      <c r="B1157" s="4">
        <v>36</v>
      </c>
      <c r="C1157" s="4">
        <v>22.1</v>
      </c>
      <c r="D1157" s="4">
        <v>3</v>
      </c>
      <c r="E1157" s="4" t="s">
        <v>8</v>
      </c>
      <c r="F1157" s="4" t="s">
        <v>12</v>
      </c>
      <c r="G1157" s="4" t="s">
        <v>15</v>
      </c>
      <c r="H1157" s="4">
        <v>2063.0008245412569</v>
      </c>
      <c r="I1157" s="4">
        <v>2750.667766055009</v>
      </c>
      <c r="J1157" s="2">
        <f>VLOOKUP(A1157,Planilha1!A:M,13,0)</f>
        <v>3049.3550806113421</v>
      </c>
      <c r="K1157" s="10">
        <f t="shared" si="36"/>
        <v>986.35425607008528</v>
      </c>
      <c r="L1157" s="10">
        <f t="shared" si="37"/>
        <v>687.66694151375214</v>
      </c>
    </row>
    <row r="1158" spans="1:12" x14ac:dyDescent="0.25">
      <c r="A1158" s="2">
        <v>2</v>
      </c>
      <c r="B1158" s="4">
        <v>19</v>
      </c>
      <c r="C1158" s="4">
        <v>21.5</v>
      </c>
      <c r="D1158" s="4">
        <v>0</v>
      </c>
      <c r="E1158" s="4" t="s">
        <v>11</v>
      </c>
      <c r="F1158" s="4" t="s">
        <v>9</v>
      </c>
      <c r="G1158" s="4" t="s">
        <v>13</v>
      </c>
      <c r="H1158" s="4">
        <v>1487.8344806226792</v>
      </c>
      <c r="I1158" s="4">
        <v>1750.3935066149174</v>
      </c>
      <c r="J1158" s="2">
        <f>VLOOKUP(A1158,Planilha1!A:M,13,0)</f>
        <v>3220.2324129890262</v>
      </c>
      <c r="K1158" s="10">
        <f t="shared" si="36"/>
        <v>1732.397932366347</v>
      </c>
      <c r="L1158" s="10">
        <f t="shared" si="37"/>
        <v>262.55902599223828</v>
      </c>
    </row>
    <row r="1159" spans="1:12" x14ac:dyDescent="0.25">
      <c r="A1159" s="2">
        <v>0</v>
      </c>
      <c r="B1159" s="4">
        <v>23</v>
      </c>
      <c r="C1159" s="4">
        <v>24.8</v>
      </c>
      <c r="D1159" s="4">
        <v>2</v>
      </c>
      <c r="E1159" s="4" t="s">
        <v>8</v>
      </c>
      <c r="F1159" s="4" t="s">
        <v>12</v>
      </c>
      <c r="G1159" s="4" t="s">
        <v>14</v>
      </c>
      <c r="H1159" s="4">
        <v>1560.4851024012869</v>
      </c>
      <c r="I1159" s="4">
        <v>1835.864826354456</v>
      </c>
      <c r="J1159" s="2">
        <f>VLOOKUP(A1159,Planilha1!A:M,13,0)</f>
        <v>2511.8220480829059</v>
      </c>
      <c r="K1159" s="10">
        <f t="shared" si="36"/>
        <v>951.336945681619</v>
      </c>
      <c r="L1159" s="10">
        <f t="shared" si="37"/>
        <v>275.3797239531691</v>
      </c>
    </row>
    <row r="1160" spans="1:12" x14ac:dyDescent="0.25">
      <c r="A1160" s="2">
        <v>0</v>
      </c>
      <c r="B1160" s="4">
        <v>20</v>
      </c>
      <c r="C1160" s="4">
        <v>21.2</v>
      </c>
      <c r="D1160" s="4">
        <v>0</v>
      </c>
      <c r="E1160" s="4" t="s">
        <v>8</v>
      </c>
      <c r="F1160" s="4" t="s">
        <v>12</v>
      </c>
      <c r="G1160" s="4" t="s">
        <v>15</v>
      </c>
      <c r="H1160" s="4">
        <v>1562.3453275901929</v>
      </c>
      <c r="I1160" s="4">
        <v>1838.0533265766985</v>
      </c>
      <c r="J1160" s="2">
        <f>VLOOKUP(A1160,Planilha1!A:M,13,0)</f>
        <v>2511.8220480829059</v>
      </c>
      <c r="K1160" s="10">
        <f t="shared" si="36"/>
        <v>949.47672049271296</v>
      </c>
      <c r="L1160" s="10">
        <f t="shared" si="37"/>
        <v>275.70799898650557</v>
      </c>
    </row>
    <row r="1161" spans="1:12" x14ac:dyDescent="0.25">
      <c r="A1161" s="2">
        <v>0</v>
      </c>
      <c r="B1161" s="4">
        <v>32</v>
      </c>
      <c r="C1161" s="4">
        <v>20.6</v>
      </c>
      <c r="D1161" s="4">
        <v>0</v>
      </c>
      <c r="E1161" s="4" t="s">
        <v>8</v>
      </c>
      <c r="F1161" s="4" t="s">
        <v>12</v>
      </c>
      <c r="G1161" s="4" t="s">
        <v>10</v>
      </c>
      <c r="H1161" s="4">
        <v>2055.7311295093596</v>
      </c>
      <c r="I1161" s="4">
        <v>2418.5072111874829</v>
      </c>
      <c r="J1161" s="2">
        <f>VLOOKUP(A1161,Planilha1!A:M,13,0)</f>
        <v>2511.8220480829059</v>
      </c>
      <c r="K1161" s="10">
        <f t="shared" si="36"/>
        <v>456.09091857354633</v>
      </c>
      <c r="L1161" s="10">
        <f t="shared" si="37"/>
        <v>362.77608167812332</v>
      </c>
    </row>
    <row r="1162" spans="1:12" x14ac:dyDescent="0.25">
      <c r="A1162" s="2">
        <v>1</v>
      </c>
      <c r="B1162" s="4">
        <v>43</v>
      </c>
      <c r="C1162" s="4">
        <v>34.6</v>
      </c>
      <c r="D1162" s="4">
        <v>1</v>
      </c>
      <c r="E1162" s="4" t="s">
        <v>8</v>
      </c>
      <c r="F1162" s="4" t="s">
        <v>12</v>
      </c>
      <c r="G1162" s="4" t="s">
        <v>14</v>
      </c>
      <c r="H1162" s="4">
        <v>4881.3052814107323</v>
      </c>
      <c r="I1162" s="4">
        <v>4648.8621727721275</v>
      </c>
      <c r="J1162" s="2">
        <f>VLOOKUP(A1162,Planilha1!A:M,13,0)</f>
        <v>6326.3485212104815</v>
      </c>
      <c r="K1162" s="10">
        <f t="shared" si="36"/>
        <v>1445.0432397997492</v>
      </c>
      <c r="L1162" s="10">
        <f t="shared" si="37"/>
        <v>-232.44310863860483</v>
      </c>
    </row>
    <row r="1163" spans="1:12" x14ac:dyDescent="0.25">
      <c r="A1163" s="2">
        <v>3</v>
      </c>
      <c r="B1163" s="4">
        <v>34</v>
      </c>
      <c r="C1163" s="4">
        <v>42.1</v>
      </c>
      <c r="D1163" s="4">
        <v>2</v>
      </c>
      <c r="E1163" s="4" t="s">
        <v>11</v>
      </c>
      <c r="F1163" s="4" t="s">
        <v>12</v>
      </c>
      <c r="G1163" s="4" t="s">
        <v>13</v>
      </c>
      <c r="H1163" s="4">
        <v>3386.1180025179392</v>
      </c>
      <c r="I1163" s="4">
        <v>4514.824003357252</v>
      </c>
      <c r="J1163" s="2">
        <f>VLOOKUP(A1163,Planilha1!A:M,13,0)</f>
        <v>3049.3550806113421</v>
      </c>
      <c r="K1163" s="10">
        <f t="shared" si="36"/>
        <v>-336.76292190659706</v>
      </c>
      <c r="L1163" s="10">
        <f t="shared" si="37"/>
        <v>1128.7060008393128</v>
      </c>
    </row>
    <row r="1164" spans="1:12" x14ac:dyDescent="0.25">
      <c r="A1164" s="2">
        <v>0</v>
      </c>
      <c r="B1164" s="4">
        <v>30</v>
      </c>
      <c r="C1164" s="4">
        <v>21.2</v>
      </c>
      <c r="D1164" s="4">
        <v>1</v>
      </c>
      <c r="E1164" s="4" t="s">
        <v>11</v>
      </c>
      <c r="F1164" s="4" t="s">
        <v>12</v>
      </c>
      <c r="G1164" s="4" t="s">
        <v>13</v>
      </c>
      <c r="H1164" s="4">
        <v>2543.7884064148898</v>
      </c>
      <c r="I1164" s="4">
        <v>2992.6922428410476</v>
      </c>
      <c r="J1164" s="2">
        <f>VLOOKUP(A1164,Planilha1!A:M,13,0)</f>
        <v>2511.8220480829059</v>
      </c>
      <c r="K1164" s="10">
        <f t="shared" si="36"/>
        <v>-31.966358331983884</v>
      </c>
      <c r="L1164" s="10">
        <f t="shared" si="37"/>
        <v>448.9038364261578</v>
      </c>
    </row>
    <row r="1165" spans="1:12" x14ac:dyDescent="0.25">
      <c r="A1165" s="2">
        <v>0</v>
      </c>
      <c r="B1165" s="4">
        <v>18</v>
      </c>
      <c r="C1165" s="4">
        <v>20.5</v>
      </c>
      <c r="D1165" s="4">
        <v>0</v>
      </c>
      <c r="E1165" s="4" t="s">
        <v>8</v>
      </c>
      <c r="F1165" s="4" t="s">
        <v>12</v>
      </c>
      <c r="G1165" s="4" t="s">
        <v>15</v>
      </c>
      <c r="H1165" s="4">
        <v>1379.225892382198</v>
      </c>
      <c r="I1165" s="4">
        <v>1622.6186969202338</v>
      </c>
      <c r="J1165" s="2">
        <f>VLOOKUP(A1165,Planilha1!A:M,13,0)</f>
        <v>2511.8220480829059</v>
      </c>
      <c r="K1165" s="10">
        <f t="shared" si="36"/>
        <v>1132.5961557007079</v>
      </c>
      <c r="L1165" s="10">
        <f t="shared" si="37"/>
        <v>243.39280453803576</v>
      </c>
    </row>
    <row r="1166" spans="1:12" x14ac:dyDescent="0.25">
      <c r="A1166" s="2">
        <v>1</v>
      </c>
      <c r="B1166" s="4">
        <v>41</v>
      </c>
      <c r="C1166" s="4">
        <v>28.3</v>
      </c>
      <c r="D1166" s="4">
        <v>1</v>
      </c>
      <c r="E1166" s="4" t="s">
        <v>8</v>
      </c>
      <c r="F1166" s="4" t="s">
        <v>12</v>
      </c>
      <c r="G1166" s="4" t="s">
        <v>14</v>
      </c>
      <c r="H1166" s="4">
        <v>5879.2083576814684</v>
      </c>
      <c r="I1166" s="4">
        <v>5599.2460549347334</v>
      </c>
      <c r="J1166" s="2">
        <f>VLOOKUP(A1166,Planilha1!A:M,13,0)</f>
        <v>6326.3485212104815</v>
      </c>
      <c r="K1166" s="10">
        <f t="shared" si="36"/>
        <v>447.14016352901308</v>
      </c>
      <c r="L1166" s="10">
        <f t="shared" si="37"/>
        <v>-279.96230274673508</v>
      </c>
    </row>
    <row r="1167" spans="1:12" x14ac:dyDescent="0.25">
      <c r="A1167" s="2">
        <v>0</v>
      </c>
      <c r="B1167" s="4">
        <v>35</v>
      </c>
      <c r="C1167" s="4">
        <v>25.8</v>
      </c>
      <c r="D1167" s="4">
        <v>0</v>
      </c>
      <c r="E1167" s="4" t="s">
        <v>8</v>
      </c>
      <c r="F1167" s="4" t="s">
        <v>12</v>
      </c>
      <c r="G1167" s="4" t="s">
        <v>15</v>
      </c>
      <c r="H1167" s="4">
        <v>1686.8901640235338</v>
      </c>
      <c r="I1167" s="4">
        <v>1984.576663557099</v>
      </c>
      <c r="J1167" s="2">
        <f>VLOOKUP(A1167,Planilha1!A:M,13,0)</f>
        <v>2511.8220480829059</v>
      </c>
      <c r="K1167" s="10">
        <f t="shared" si="36"/>
        <v>824.93188405937212</v>
      </c>
      <c r="L1167" s="10">
        <f t="shared" si="37"/>
        <v>297.68649953356521</v>
      </c>
    </row>
    <row r="1168" spans="1:12" x14ac:dyDescent="0.25">
      <c r="A1168" s="2">
        <v>1</v>
      </c>
      <c r="B1168" s="4">
        <v>57</v>
      </c>
      <c r="C1168" s="4">
        <v>40.4</v>
      </c>
      <c r="D1168" s="4">
        <v>0</v>
      </c>
      <c r="E1168" s="4" t="s">
        <v>11</v>
      </c>
      <c r="F1168" s="4" t="s">
        <v>12</v>
      </c>
      <c r="G1168" s="4" t="s">
        <v>13</v>
      </c>
      <c r="H1168" s="4">
        <v>4321.894825598506</v>
      </c>
      <c r="I1168" s="4">
        <v>4116.0903100938167</v>
      </c>
      <c r="J1168" s="2">
        <f>VLOOKUP(A1168,Planilha1!A:M,13,0)</f>
        <v>6326.3485212104815</v>
      </c>
      <c r="K1168" s="10">
        <f t="shared" si="36"/>
        <v>2004.4536956119755</v>
      </c>
      <c r="L1168" s="10">
        <f t="shared" si="37"/>
        <v>-205.80451550468933</v>
      </c>
    </row>
    <row r="1169" spans="1:12" x14ac:dyDescent="0.25">
      <c r="A1169" s="2">
        <v>0</v>
      </c>
      <c r="B1169" s="4">
        <v>29</v>
      </c>
      <c r="C1169" s="4">
        <v>24.6</v>
      </c>
      <c r="D1169" s="4">
        <v>2</v>
      </c>
      <c r="E1169" s="4" t="s">
        <v>8</v>
      </c>
      <c r="F1169" s="4" t="s">
        <v>12</v>
      </c>
      <c r="G1169" s="4" t="s">
        <v>10</v>
      </c>
      <c r="H1169" s="4">
        <v>1921.5201433241823</v>
      </c>
      <c r="I1169" s="4">
        <v>2260.6119333225683</v>
      </c>
      <c r="J1169" s="2">
        <f>VLOOKUP(A1169,Planilha1!A:M,13,0)</f>
        <v>2511.8220480829059</v>
      </c>
      <c r="K1169" s="10">
        <f t="shared" si="36"/>
        <v>590.30190475872359</v>
      </c>
      <c r="L1169" s="10">
        <f t="shared" si="37"/>
        <v>339.09178999838605</v>
      </c>
    </row>
    <row r="1170" spans="1:12" x14ac:dyDescent="0.25">
      <c r="A1170" s="2">
        <v>3</v>
      </c>
      <c r="B1170" s="4">
        <v>32</v>
      </c>
      <c r="C1170" s="4">
        <v>35.200000000000003</v>
      </c>
      <c r="D1170" s="4">
        <v>2</v>
      </c>
      <c r="E1170" s="4" t="s">
        <v>11</v>
      </c>
      <c r="F1170" s="4" t="s">
        <v>12</v>
      </c>
      <c r="G1170" s="4" t="s">
        <v>10</v>
      </c>
      <c r="H1170" s="4">
        <v>2669.9180098681131</v>
      </c>
      <c r="I1170" s="4">
        <v>3559.890679824151</v>
      </c>
      <c r="J1170" s="2">
        <f>VLOOKUP(A1170,Planilha1!A:M,13,0)</f>
        <v>3049.3550806113421</v>
      </c>
      <c r="K1170" s="10">
        <f t="shared" si="36"/>
        <v>379.43707074322901</v>
      </c>
      <c r="L1170" s="10">
        <f t="shared" si="37"/>
        <v>889.97266995603786</v>
      </c>
    </row>
    <row r="1171" spans="1:12" x14ac:dyDescent="0.25">
      <c r="A1171" s="2">
        <v>0</v>
      </c>
      <c r="B1171" s="4">
        <v>37</v>
      </c>
      <c r="C1171" s="4">
        <v>20.9</v>
      </c>
      <c r="D1171" s="4">
        <v>1</v>
      </c>
      <c r="E1171" s="4" t="s">
        <v>8</v>
      </c>
      <c r="F1171" s="4" t="s">
        <v>12</v>
      </c>
      <c r="G1171" s="4" t="s">
        <v>14</v>
      </c>
      <c r="H1171" s="4">
        <v>2010.1798948544103</v>
      </c>
      <c r="I1171" s="4">
        <v>2364.9175233581304</v>
      </c>
      <c r="J1171" s="2">
        <f>VLOOKUP(A1171,Planilha1!A:M,13,0)</f>
        <v>2511.8220480829059</v>
      </c>
      <c r="K1171" s="10">
        <f t="shared" si="36"/>
        <v>501.64215322849554</v>
      </c>
      <c r="L1171" s="10">
        <f t="shared" si="37"/>
        <v>354.73762850372009</v>
      </c>
    </row>
    <row r="1172" spans="1:12" x14ac:dyDescent="0.25">
      <c r="A1172" s="2">
        <v>2</v>
      </c>
      <c r="B1172" s="4">
        <v>18</v>
      </c>
      <c r="C1172" s="4">
        <v>22.5</v>
      </c>
      <c r="D1172" s="4">
        <v>1</v>
      </c>
      <c r="E1172" s="4" t="s">
        <v>11</v>
      </c>
      <c r="F1172" s="4" t="s">
        <v>9</v>
      </c>
      <c r="G1172" s="4" t="s">
        <v>15</v>
      </c>
      <c r="H1172" s="4">
        <v>1283.8903771637515</v>
      </c>
      <c r="I1172" s="4">
        <v>1510.4592672514732</v>
      </c>
      <c r="J1172" s="2">
        <f>VLOOKUP(A1172,Planilha1!A:M,13,0)</f>
        <v>3220.2324129890262</v>
      </c>
      <c r="K1172" s="10">
        <f t="shared" si="36"/>
        <v>1936.3420358252747</v>
      </c>
      <c r="L1172" s="10">
        <f t="shared" si="37"/>
        <v>226.56889008772168</v>
      </c>
    </row>
    <row r="1173" spans="1:12" x14ac:dyDescent="0.25">
      <c r="A1173" s="2">
        <v>2</v>
      </c>
      <c r="B1173" s="4">
        <v>43</v>
      </c>
      <c r="C1173" s="4">
        <v>26.7</v>
      </c>
      <c r="D1173" s="4">
        <v>2</v>
      </c>
      <c r="E1173" s="4" t="s">
        <v>8</v>
      </c>
      <c r="F1173" s="4" t="s">
        <v>9</v>
      </c>
      <c r="G1173" s="4" t="s">
        <v>10</v>
      </c>
      <c r="H1173" s="4">
        <v>1104.8807591803168</v>
      </c>
      <c r="I1173" s="4">
        <v>1473.1743455737558</v>
      </c>
      <c r="J1173" s="2">
        <f>VLOOKUP(A1173,Planilha1!A:M,13,0)</f>
        <v>3220.2324129890262</v>
      </c>
      <c r="K1173" s="10">
        <f t="shared" si="36"/>
        <v>2115.3516538087097</v>
      </c>
      <c r="L1173" s="10">
        <f t="shared" si="37"/>
        <v>368.293586393439</v>
      </c>
    </row>
    <row r="1174" spans="1:12" x14ac:dyDescent="0.25">
      <c r="A1174" s="2">
        <v>1</v>
      </c>
      <c r="B1174" s="4">
        <v>56</v>
      </c>
      <c r="C1174" s="4">
        <v>41.9</v>
      </c>
      <c r="D1174" s="4">
        <v>0</v>
      </c>
      <c r="E1174" s="4" t="s">
        <v>8</v>
      </c>
      <c r="F1174" s="4" t="s">
        <v>12</v>
      </c>
      <c r="G1174" s="4" t="s">
        <v>13</v>
      </c>
      <c r="H1174" s="4">
        <v>4392.9191197526416</v>
      </c>
      <c r="I1174" s="4">
        <v>4183.7324950025177</v>
      </c>
      <c r="J1174" s="2">
        <f>VLOOKUP(A1174,Planilha1!A:M,13,0)</f>
        <v>6326.3485212104815</v>
      </c>
      <c r="K1174" s="10">
        <f t="shared" si="36"/>
        <v>1933.42940145784</v>
      </c>
      <c r="L1174" s="10">
        <f t="shared" si="37"/>
        <v>-209.18662475012388</v>
      </c>
    </row>
    <row r="1175" spans="1:12" x14ac:dyDescent="0.25">
      <c r="A1175" s="2">
        <v>3</v>
      </c>
      <c r="B1175" s="4">
        <v>38</v>
      </c>
      <c r="C1175" s="4">
        <v>29.3</v>
      </c>
      <c r="D1175" s="4">
        <v>2</v>
      </c>
      <c r="E1175" s="4" t="s">
        <v>11</v>
      </c>
      <c r="F1175" s="4" t="s">
        <v>12</v>
      </c>
      <c r="G1175" s="4" t="s">
        <v>14</v>
      </c>
      <c r="H1175" s="4">
        <v>1213.4537369366853</v>
      </c>
      <c r="I1175" s="4">
        <v>1617.9383159155805</v>
      </c>
      <c r="J1175" s="2">
        <f>VLOOKUP(A1175,Planilha1!A:M,13,0)</f>
        <v>3049.3550806113421</v>
      </c>
      <c r="K1175" s="10">
        <f t="shared" si="36"/>
        <v>1835.9013436746568</v>
      </c>
      <c r="L1175" s="10">
        <f t="shared" si="37"/>
        <v>404.48457897889512</v>
      </c>
    </row>
    <row r="1176" spans="1:12" x14ac:dyDescent="0.25">
      <c r="A1176" s="2">
        <v>3</v>
      </c>
      <c r="B1176" s="4">
        <v>29</v>
      </c>
      <c r="C1176" s="4">
        <v>32.1</v>
      </c>
      <c r="D1176" s="4">
        <v>2</v>
      </c>
      <c r="E1176" s="4" t="s">
        <v>11</v>
      </c>
      <c r="F1176" s="4" t="s">
        <v>12</v>
      </c>
      <c r="G1176" s="4" t="s">
        <v>14</v>
      </c>
      <c r="H1176" s="4">
        <v>1677.5255681699571</v>
      </c>
      <c r="I1176" s="4">
        <v>2236.7007575599428</v>
      </c>
      <c r="J1176" s="2">
        <f>VLOOKUP(A1176,Planilha1!A:M,13,0)</f>
        <v>3049.3550806113421</v>
      </c>
      <c r="K1176" s="10">
        <f t="shared" si="36"/>
        <v>1371.8295124413851</v>
      </c>
      <c r="L1176" s="10">
        <f t="shared" si="37"/>
        <v>559.17518938998569</v>
      </c>
    </row>
    <row r="1177" spans="1:12" x14ac:dyDescent="0.25">
      <c r="A1177" s="2">
        <v>0</v>
      </c>
      <c r="B1177" s="4">
        <v>22</v>
      </c>
      <c r="C1177" s="4">
        <v>23.4</v>
      </c>
      <c r="D1177" s="4">
        <v>0</v>
      </c>
      <c r="E1177" s="4" t="s">
        <v>8</v>
      </c>
      <c r="F1177" s="4" t="s">
        <v>12</v>
      </c>
      <c r="G1177" s="4" t="s">
        <v>10</v>
      </c>
      <c r="H1177" s="4">
        <v>1937.6314665148852</v>
      </c>
      <c r="I1177" s="4">
        <v>2279.5664311939831</v>
      </c>
      <c r="J1177" s="2">
        <f>VLOOKUP(A1177,Planilha1!A:M,13,0)</f>
        <v>2511.8220480829059</v>
      </c>
      <c r="K1177" s="10">
        <f t="shared" si="36"/>
        <v>574.19058156802066</v>
      </c>
      <c r="L1177" s="10">
        <f t="shared" si="37"/>
        <v>341.9349646790979</v>
      </c>
    </row>
    <row r="1178" spans="1:12" x14ac:dyDescent="0.25">
      <c r="A1178" s="2">
        <v>2</v>
      </c>
      <c r="B1178" s="4">
        <v>52</v>
      </c>
      <c r="C1178" s="4">
        <v>24.1</v>
      </c>
      <c r="D1178" s="4">
        <v>1</v>
      </c>
      <c r="E1178" s="4" t="s">
        <v>8</v>
      </c>
      <c r="F1178" s="4" t="s">
        <v>9</v>
      </c>
      <c r="G1178" s="4" t="s">
        <v>14</v>
      </c>
      <c r="H1178" s="4">
        <v>4160.3150781130062</v>
      </c>
      <c r="I1178" s="4">
        <v>3962.2048362981027</v>
      </c>
      <c r="J1178" s="2">
        <f>VLOOKUP(A1178,Planilha1!A:M,13,0)</f>
        <v>3220.2324129890262</v>
      </c>
      <c r="K1178" s="10">
        <f t="shared" si="36"/>
        <v>-940.08266512397995</v>
      </c>
      <c r="L1178" s="10">
        <f t="shared" si="37"/>
        <v>-198.11024181490347</v>
      </c>
    </row>
    <row r="1179" spans="1:12" x14ac:dyDescent="0.25">
      <c r="A1179" s="2">
        <v>0</v>
      </c>
      <c r="B1179" s="4">
        <v>40</v>
      </c>
      <c r="C1179" s="4">
        <v>23.9</v>
      </c>
      <c r="D1179" s="4">
        <v>1</v>
      </c>
      <c r="E1179" s="4" t="s">
        <v>8</v>
      </c>
      <c r="F1179" s="4" t="s">
        <v>12</v>
      </c>
      <c r="G1179" s="4" t="s">
        <v>10</v>
      </c>
      <c r="H1179" s="4">
        <v>1799.7076096806088</v>
      </c>
      <c r="I1179" s="4">
        <v>2117.3030702124815</v>
      </c>
      <c r="J1179" s="2">
        <f>VLOOKUP(A1179,Planilha1!A:M,13,0)</f>
        <v>2511.8220480829059</v>
      </c>
      <c r="K1179" s="10">
        <f t="shared" si="36"/>
        <v>712.11443840229708</v>
      </c>
      <c r="L1179" s="10">
        <f t="shared" si="37"/>
        <v>317.59546053187273</v>
      </c>
    </row>
    <row r="1180" spans="1:12" x14ac:dyDescent="0.25">
      <c r="A1180" s="2">
        <v>0</v>
      </c>
      <c r="B1180" s="4">
        <v>23</v>
      </c>
      <c r="C1180" s="4">
        <v>21.2</v>
      </c>
      <c r="D1180" s="4">
        <v>0</v>
      </c>
      <c r="E1180" s="4" t="s">
        <v>8</v>
      </c>
      <c r="F1180" s="4" t="s">
        <v>12</v>
      </c>
      <c r="G1180" s="4" t="s">
        <v>15</v>
      </c>
      <c r="H1180" s="4">
        <v>1857.0839130615625</v>
      </c>
      <c r="I1180" s="4">
        <v>2184.8046036018386</v>
      </c>
      <c r="J1180" s="2">
        <f>VLOOKUP(A1180,Planilha1!A:M,13,0)</f>
        <v>2511.8220480829059</v>
      </c>
      <c r="K1180" s="10">
        <f t="shared" si="36"/>
        <v>654.7381350213434</v>
      </c>
      <c r="L1180" s="10">
        <f t="shared" si="37"/>
        <v>327.72069054027611</v>
      </c>
    </row>
    <row r="1181" spans="1:12" x14ac:dyDescent="0.25">
      <c r="A1181" s="2">
        <v>2</v>
      </c>
      <c r="B1181" s="4">
        <v>31</v>
      </c>
      <c r="C1181" s="4">
        <v>23.8</v>
      </c>
      <c r="D1181" s="4">
        <v>0</v>
      </c>
      <c r="E1181" s="4" t="s">
        <v>11</v>
      </c>
      <c r="F1181" s="4" t="s">
        <v>9</v>
      </c>
      <c r="G1181" s="4" t="s">
        <v>13</v>
      </c>
      <c r="H1181" s="4">
        <v>1713.4848418716367</v>
      </c>
      <c r="I1181" s="4">
        <v>2015.8645198489851</v>
      </c>
      <c r="J1181" s="2">
        <f>VLOOKUP(A1181,Planilha1!A:M,13,0)</f>
        <v>3220.2324129890262</v>
      </c>
      <c r="K1181" s="10">
        <f t="shared" si="36"/>
        <v>1506.7475711173895</v>
      </c>
      <c r="L1181" s="10">
        <f t="shared" si="37"/>
        <v>302.37967797734836</v>
      </c>
    </row>
    <row r="1182" spans="1:12" x14ac:dyDescent="0.25">
      <c r="A1182" s="2">
        <v>1</v>
      </c>
      <c r="B1182" s="4">
        <v>42</v>
      </c>
      <c r="C1182" s="4">
        <v>41.3</v>
      </c>
      <c r="D1182" s="4">
        <v>1</v>
      </c>
      <c r="E1182" s="4" t="s">
        <v>8</v>
      </c>
      <c r="F1182" s="4" t="s">
        <v>12</v>
      </c>
      <c r="G1182" s="4" t="s">
        <v>15</v>
      </c>
      <c r="H1182" s="4">
        <v>3603.1329133594936</v>
      </c>
      <c r="I1182" s="4">
        <v>3431.5551555804714</v>
      </c>
      <c r="J1182" s="2">
        <f>VLOOKUP(A1182,Planilha1!A:M,13,0)</f>
        <v>6326.3485212104815</v>
      </c>
      <c r="K1182" s="10">
        <f t="shared" si="36"/>
        <v>2723.2156078509879</v>
      </c>
      <c r="L1182" s="10">
        <f t="shared" si="37"/>
        <v>-171.57775777902225</v>
      </c>
    </row>
    <row r="1183" spans="1:12" x14ac:dyDescent="0.25">
      <c r="A1183" s="2">
        <v>0</v>
      </c>
      <c r="B1183" s="4">
        <v>24</v>
      </c>
      <c r="C1183" s="4">
        <v>21.8</v>
      </c>
      <c r="D1183" s="4">
        <v>0</v>
      </c>
      <c r="E1183" s="4" t="s">
        <v>8</v>
      </c>
      <c r="F1183" s="4" t="s">
        <v>12</v>
      </c>
      <c r="G1183" s="4" t="s">
        <v>14</v>
      </c>
      <c r="H1183" s="4">
        <v>2032.5470674782953</v>
      </c>
      <c r="I1183" s="4">
        <v>2391.2318440921126</v>
      </c>
      <c r="J1183" s="2">
        <f>VLOOKUP(A1183,Planilha1!A:M,13,0)</f>
        <v>2511.8220480829059</v>
      </c>
      <c r="K1183" s="10">
        <f t="shared" si="36"/>
        <v>479.27498060461062</v>
      </c>
      <c r="L1183" s="10">
        <f t="shared" si="37"/>
        <v>358.68477661381735</v>
      </c>
    </row>
    <row r="1184" spans="1:12" x14ac:dyDescent="0.25">
      <c r="A1184" s="2">
        <v>0</v>
      </c>
      <c r="B1184" s="4">
        <v>25</v>
      </c>
      <c r="C1184" s="4">
        <v>24.7</v>
      </c>
      <c r="D1184" s="4">
        <v>0</v>
      </c>
      <c r="E1184" s="4" t="s">
        <v>8</v>
      </c>
      <c r="F1184" s="4" t="s">
        <v>12</v>
      </c>
      <c r="G1184" s="4" t="s">
        <v>10</v>
      </c>
      <c r="H1184" s="4">
        <v>1398.0615265311453</v>
      </c>
      <c r="I1184" s="4">
        <v>1644.7782665072307</v>
      </c>
      <c r="J1184" s="2">
        <f>VLOOKUP(A1184,Planilha1!A:M,13,0)</f>
        <v>2511.8220480829059</v>
      </c>
      <c r="K1184" s="10">
        <f t="shared" si="36"/>
        <v>1113.7605215517606</v>
      </c>
      <c r="L1184" s="10">
        <f t="shared" si="37"/>
        <v>246.71673997608536</v>
      </c>
    </row>
    <row r="1185" spans="1:12" x14ac:dyDescent="0.25">
      <c r="A1185" s="2">
        <v>1</v>
      </c>
      <c r="B1185" s="4">
        <v>48</v>
      </c>
      <c r="C1185" s="4">
        <v>27.4</v>
      </c>
      <c r="D1185" s="4">
        <v>1</v>
      </c>
      <c r="E1185" s="4" t="s">
        <v>8</v>
      </c>
      <c r="F1185" s="4" t="s">
        <v>12</v>
      </c>
      <c r="G1185" s="4" t="s">
        <v>15</v>
      </c>
      <c r="H1185" s="4">
        <v>4571.3446453612487</v>
      </c>
      <c r="I1185" s="4">
        <v>4353.661567010714</v>
      </c>
      <c r="J1185" s="2">
        <f>VLOOKUP(A1185,Planilha1!A:M,13,0)</f>
        <v>6326.3485212104815</v>
      </c>
      <c r="K1185" s="10">
        <f t="shared" si="36"/>
        <v>1755.0038758492328</v>
      </c>
      <c r="L1185" s="10">
        <f t="shared" si="37"/>
        <v>-217.68307835053474</v>
      </c>
    </row>
    <row r="1186" spans="1:12" x14ac:dyDescent="0.25">
      <c r="A1186" s="2">
        <v>2</v>
      </c>
      <c r="B1186" s="4">
        <v>23</v>
      </c>
      <c r="C1186" s="4">
        <v>25.9</v>
      </c>
      <c r="D1186" s="4">
        <v>1</v>
      </c>
      <c r="E1186" s="4" t="s">
        <v>8</v>
      </c>
      <c r="F1186" s="4" t="s">
        <v>9</v>
      </c>
      <c r="G1186" s="4" t="s">
        <v>13</v>
      </c>
      <c r="H1186" s="4">
        <v>1862.2297811137382</v>
      </c>
      <c r="I1186" s="4">
        <v>2190.8585660161634</v>
      </c>
      <c r="J1186" s="2">
        <f>VLOOKUP(A1186,Planilha1!A:M,13,0)</f>
        <v>3220.2324129890262</v>
      </c>
      <c r="K1186" s="10">
        <f t="shared" si="36"/>
        <v>1358.002631875288</v>
      </c>
      <c r="L1186" s="10">
        <f t="shared" si="37"/>
        <v>328.6287849024252</v>
      </c>
    </row>
    <row r="1187" spans="1:12" x14ac:dyDescent="0.25">
      <c r="A1187" s="2">
        <v>3</v>
      </c>
      <c r="B1187" s="4">
        <v>45</v>
      </c>
      <c r="C1187" s="4">
        <v>23.6</v>
      </c>
      <c r="D1187" s="4">
        <v>2</v>
      </c>
      <c r="E1187" s="4" t="s">
        <v>11</v>
      </c>
      <c r="F1187" s="4" t="s">
        <v>12</v>
      </c>
      <c r="G1187" s="4" t="s">
        <v>15</v>
      </c>
      <c r="H1187" s="4">
        <v>1711.4349761890612</v>
      </c>
      <c r="I1187" s="4">
        <v>2281.913301585415</v>
      </c>
      <c r="J1187" s="2">
        <f>VLOOKUP(A1187,Planilha1!A:M,13,0)</f>
        <v>3049.3550806113421</v>
      </c>
      <c r="K1187" s="10">
        <f t="shared" si="36"/>
        <v>1337.9201044222809</v>
      </c>
      <c r="L1187" s="10">
        <f t="shared" si="37"/>
        <v>570.47832539635374</v>
      </c>
    </row>
    <row r="1188" spans="1:12" x14ac:dyDescent="0.25">
      <c r="A1188" s="2">
        <v>2</v>
      </c>
      <c r="B1188" s="4">
        <v>20</v>
      </c>
      <c r="C1188" s="4">
        <v>35.6</v>
      </c>
      <c r="D1188" s="4">
        <v>3</v>
      </c>
      <c r="E1188" s="4" t="s">
        <v>11</v>
      </c>
      <c r="F1188" s="4" t="s">
        <v>9</v>
      </c>
      <c r="G1188" s="4" t="s">
        <v>14</v>
      </c>
      <c r="H1188" s="4">
        <v>2141.905254827217</v>
      </c>
      <c r="I1188" s="4">
        <v>2855.8736731029562</v>
      </c>
      <c r="J1188" s="2">
        <f>VLOOKUP(A1188,Planilha1!A:M,13,0)</f>
        <v>3220.2324129890262</v>
      </c>
      <c r="K1188" s="10">
        <f t="shared" si="36"/>
        <v>1078.3271581618092</v>
      </c>
      <c r="L1188" s="10">
        <f t="shared" si="37"/>
        <v>713.96841827573917</v>
      </c>
    </row>
    <row r="1189" spans="1:12" x14ac:dyDescent="0.25">
      <c r="A1189" s="2">
        <v>1</v>
      </c>
      <c r="B1189" s="4">
        <v>62</v>
      </c>
      <c r="C1189" s="4">
        <v>32.700000000000003</v>
      </c>
      <c r="D1189" s="4">
        <v>0</v>
      </c>
      <c r="E1189" s="4" t="s">
        <v>8</v>
      </c>
      <c r="F1189" s="4" t="s">
        <v>12</v>
      </c>
      <c r="G1189" s="4" t="s">
        <v>14</v>
      </c>
      <c r="H1189" s="4">
        <v>4530.7236717423157</v>
      </c>
      <c r="I1189" s="4">
        <v>4314.9749254688732</v>
      </c>
      <c r="J1189" s="2">
        <f>VLOOKUP(A1189,Planilha1!A:M,13,0)</f>
        <v>6326.3485212104815</v>
      </c>
      <c r="K1189" s="10">
        <f t="shared" si="36"/>
        <v>1795.6248494681658</v>
      </c>
      <c r="L1189" s="10">
        <f t="shared" si="37"/>
        <v>-215.74874627344252</v>
      </c>
    </row>
    <row r="1190" spans="1:12" x14ac:dyDescent="0.25">
      <c r="A1190" s="2">
        <v>2</v>
      </c>
      <c r="B1190" s="4">
        <v>43</v>
      </c>
      <c r="C1190" s="4">
        <v>25.3</v>
      </c>
      <c r="D1190" s="4">
        <v>1</v>
      </c>
      <c r="E1190" s="4" t="s">
        <v>8</v>
      </c>
      <c r="F1190" s="4" t="s">
        <v>9</v>
      </c>
      <c r="G1190" s="4" t="s">
        <v>15</v>
      </c>
      <c r="H1190" s="4">
        <v>2644.9357599574882</v>
      </c>
      <c r="I1190" s="4">
        <v>3111.6891293617514</v>
      </c>
      <c r="J1190" s="2">
        <f>VLOOKUP(A1190,Planilha1!A:M,13,0)</f>
        <v>3220.2324129890262</v>
      </c>
      <c r="K1190" s="10">
        <f t="shared" si="36"/>
        <v>575.29665303153797</v>
      </c>
      <c r="L1190" s="10">
        <f t="shared" si="37"/>
        <v>466.75336940426314</v>
      </c>
    </row>
    <row r="1191" spans="1:12" x14ac:dyDescent="0.25">
      <c r="A1191" s="2">
        <v>0</v>
      </c>
      <c r="B1191" s="4">
        <v>23</v>
      </c>
      <c r="C1191" s="4">
        <v>22.4</v>
      </c>
      <c r="D1191" s="4">
        <v>0</v>
      </c>
      <c r="E1191" s="4" t="s">
        <v>8</v>
      </c>
      <c r="F1191" s="4" t="s">
        <v>12</v>
      </c>
      <c r="G1191" s="4" t="s">
        <v>10</v>
      </c>
      <c r="H1191" s="4">
        <v>1460.1031324670857</v>
      </c>
      <c r="I1191" s="4">
        <v>1717.7683911377487</v>
      </c>
      <c r="J1191" s="2">
        <f>VLOOKUP(A1191,Planilha1!A:M,13,0)</f>
        <v>2511.8220480829059</v>
      </c>
      <c r="K1191" s="10">
        <f t="shared" si="36"/>
        <v>1051.7189156158202</v>
      </c>
      <c r="L1191" s="10">
        <f t="shared" si="37"/>
        <v>257.66525867066298</v>
      </c>
    </row>
    <row r="1192" spans="1:12" x14ac:dyDescent="0.25">
      <c r="A1192" s="2">
        <v>3</v>
      </c>
      <c r="B1192" s="4">
        <v>31</v>
      </c>
      <c r="C1192" s="4">
        <v>32.799999999999997</v>
      </c>
      <c r="D1192" s="4">
        <v>2</v>
      </c>
      <c r="E1192" s="4" t="s">
        <v>8</v>
      </c>
      <c r="F1192" s="4" t="s">
        <v>12</v>
      </c>
      <c r="G1192" s="4" t="s">
        <v>14</v>
      </c>
      <c r="H1192" s="4">
        <v>969.78986014282054</v>
      </c>
      <c r="I1192" s="4">
        <v>1293.0531468570941</v>
      </c>
      <c r="J1192" s="2">
        <f>VLOOKUP(A1192,Planilha1!A:M,13,0)</f>
        <v>3049.3550806113421</v>
      </c>
      <c r="K1192" s="10">
        <f t="shared" si="36"/>
        <v>2079.5652204685216</v>
      </c>
      <c r="L1192" s="10">
        <f t="shared" si="37"/>
        <v>323.26328671427359</v>
      </c>
    </row>
    <row r="1193" spans="1:12" x14ac:dyDescent="0.25">
      <c r="A1193" s="2">
        <v>0</v>
      </c>
      <c r="B1193" s="4">
        <v>41</v>
      </c>
      <c r="C1193" s="4">
        <v>21.9</v>
      </c>
      <c r="D1193" s="4">
        <v>1</v>
      </c>
      <c r="E1193" s="4" t="s">
        <v>8</v>
      </c>
      <c r="F1193" s="4" t="s">
        <v>12</v>
      </c>
      <c r="G1193" s="4" t="s">
        <v>15</v>
      </c>
      <c r="H1193" s="4">
        <v>1882.6226142624273</v>
      </c>
      <c r="I1193" s="4">
        <v>2214.8501344263855</v>
      </c>
      <c r="J1193" s="2">
        <f>VLOOKUP(A1193,Planilha1!A:M,13,0)</f>
        <v>2511.8220480829059</v>
      </c>
      <c r="K1193" s="10">
        <f t="shared" si="36"/>
        <v>629.19943382047859</v>
      </c>
      <c r="L1193" s="10">
        <f t="shared" si="37"/>
        <v>332.22752016395816</v>
      </c>
    </row>
    <row r="1194" spans="1:12" x14ac:dyDescent="0.25">
      <c r="A1194" s="2">
        <v>1</v>
      </c>
      <c r="B1194" s="4">
        <v>58</v>
      </c>
      <c r="C1194" s="4">
        <v>32.4</v>
      </c>
      <c r="D1194" s="4">
        <v>1</v>
      </c>
      <c r="E1194" s="4" t="s">
        <v>8</v>
      </c>
      <c r="F1194" s="4" t="s">
        <v>12</v>
      </c>
      <c r="G1194" s="4" t="s">
        <v>15</v>
      </c>
      <c r="H1194" s="4">
        <v>5305.588642902876</v>
      </c>
      <c r="I1194" s="4">
        <v>5052.9415646694069</v>
      </c>
      <c r="J1194" s="2">
        <f>VLOOKUP(A1194,Planilha1!A:M,13,0)</f>
        <v>6326.3485212104815</v>
      </c>
      <c r="K1194" s="10">
        <f t="shared" si="36"/>
        <v>1020.7598783076055</v>
      </c>
      <c r="L1194" s="10">
        <f t="shared" si="37"/>
        <v>-252.64707823346907</v>
      </c>
    </row>
    <row r="1195" spans="1:12" x14ac:dyDescent="0.25">
      <c r="A1195" s="2">
        <v>1</v>
      </c>
      <c r="B1195" s="4">
        <v>48</v>
      </c>
      <c r="C1195" s="4">
        <v>36.6</v>
      </c>
      <c r="D1195" s="4">
        <v>0</v>
      </c>
      <c r="E1195" s="4" t="s">
        <v>8</v>
      </c>
      <c r="F1195" s="4" t="s">
        <v>12</v>
      </c>
      <c r="G1195" s="4" t="s">
        <v>14</v>
      </c>
      <c r="H1195" s="4">
        <v>5316.8821972415144</v>
      </c>
      <c r="I1195" s="4">
        <v>5063.6973307062062</v>
      </c>
      <c r="J1195" s="2">
        <f>VLOOKUP(A1195,Planilha1!A:M,13,0)</f>
        <v>6326.3485212104815</v>
      </c>
      <c r="K1195" s="10">
        <f t="shared" si="36"/>
        <v>1009.4663239689671</v>
      </c>
      <c r="L1195" s="10">
        <f t="shared" si="37"/>
        <v>-253.18486653530817</v>
      </c>
    </row>
    <row r="1196" spans="1:12" x14ac:dyDescent="0.25">
      <c r="A1196" s="2">
        <v>0</v>
      </c>
      <c r="B1196" s="4">
        <v>31</v>
      </c>
      <c r="C1196" s="4">
        <v>25.3</v>
      </c>
      <c r="D1196" s="4">
        <v>0</v>
      </c>
      <c r="E1196" s="4" t="s">
        <v>8</v>
      </c>
      <c r="F1196" s="4" t="s">
        <v>12</v>
      </c>
      <c r="G1196" s="4" t="s">
        <v>14</v>
      </c>
      <c r="H1196" s="4">
        <v>1500.4873812564385</v>
      </c>
      <c r="I1196" s="4">
        <v>1765.2792720663992</v>
      </c>
      <c r="J1196" s="2">
        <f>VLOOKUP(A1196,Planilha1!A:M,13,0)</f>
        <v>2511.8220480829059</v>
      </c>
      <c r="K1196" s="10">
        <f t="shared" si="36"/>
        <v>1011.3346668264674</v>
      </c>
      <c r="L1196" s="10">
        <f t="shared" si="37"/>
        <v>264.79189080996071</v>
      </c>
    </row>
    <row r="1197" spans="1:12" x14ac:dyDescent="0.25">
      <c r="A1197" s="2">
        <v>3</v>
      </c>
      <c r="B1197" s="4">
        <v>19</v>
      </c>
      <c r="C1197" s="4">
        <v>27.9</v>
      </c>
      <c r="D1197" s="4">
        <v>3</v>
      </c>
      <c r="E1197" s="4" t="s">
        <v>8</v>
      </c>
      <c r="F1197" s="4" t="s">
        <v>12</v>
      </c>
      <c r="G1197" s="4" t="s">
        <v>14</v>
      </c>
      <c r="H1197" s="4">
        <v>1311.2611833139633</v>
      </c>
      <c r="I1197" s="4">
        <v>1748.3482444186177</v>
      </c>
      <c r="J1197" s="2">
        <f>VLOOKUP(A1197,Planilha1!A:M,13,0)</f>
        <v>3049.3550806113421</v>
      </c>
      <c r="K1197" s="10">
        <f t="shared" si="36"/>
        <v>1738.0938972973788</v>
      </c>
      <c r="L1197" s="10">
        <f t="shared" si="37"/>
        <v>437.08706110465437</v>
      </c>
    </row>
    <row r="1198" spans="1:12" x14ac:dyDescent="0.25">
      <c r="A1198" s="2">
        <v>2</v>
      </c>
      <c r="B1198" s="4">
        <v>19</v>
      </c>
      <c r="C1198" s="4">
        <v>22.4</v>
      </c>
      <c r="D1198" s="4">
        <v>0</v>
      </c>
      <c r="E1198" s="4" t="s">
        <v>8</v>
      </c>
      <c r="F1198" s="4" t="s">
        <v>9</v>
      </c>
      <c r="G1198" s="4" t="s">
        <v>14</v>
      </c>
      <c r="H1198" s="4">
        <v>1868.7024748123515</v>
      </c>
      <c r="I1198" s="4">
        <v>2198.473499779238</v>
      </c>
      <c r="J1198" s="2">
        <f>VLOOKUP(A1198,Planilha1!A:M,13,0)</f>
        <v>3220.2324129890262</v>
      </c>
      <c r="K1198" s="10">
        <f t="shared" si="36"/>
        <v>1351.5299381766747</v>
      </c>
      <c r="L1198" s="10">
        <f t="shared" si="37"/>
        <v>329.77102496688644</v>
      </c>
    </row>
    <row r="1199" spans="1:12" x14ac:dyDescent="0.25">
      <c r="A1199" s="2">
        <v>1</v>
      </c>
      <c r="B1199" s="4">
        <v>41</v>
      </c>
      <c r="C1199" s="4">
        <v>33.6</v>
      </c>
      <c r="D1199" s="4">
        <v>0</v>
      </c>
      <c r="E1199" s="4" t="s">
        <v>11</v>
      </c>
      <c r="F1199" s="4" t="s">
        <v>12</v>
      </c>
      <c r="G1199" s="4" t="s">
        <v>13</v>
      </c>
      <c r="H1199" s="4">
        <v>3627.4163266912069</v>
      </c>
      <c r="I1199" s="4">
        <v>3454.6822158963892</v>
      </c>
      <c r="J1199" s="2">
        <f>VLOOKUP(A1199,Planilha1!A:M,13,0)</f>
        <v>6326.3485212104815</v>
      </c>
      <c r="K1199" s="10">
        <f t="shared" si="36"/>
        <v>2698.9321945192746</v>
      </c>
      <c r="L1199" s="10">
        <f t="shared" si="37"/>
        <v>-172.73411079481775</v>
      </c>
    </row>
    <row r="1200" spans="1:12" x14ac:dyDescent="0.25">
      <c r="A1200" s="2">
        <v>1</v>
      </c>
      <c r="B1200" s="4">
        <v>40</v>
      </c>
      <c r="C1200" s="4">
        <v>29.4</v>
      </c>
      <c r="D1200" s="4">
        <v>1</v>
      </c>
      <c r="E1200" s="4" t="s">
        <v>11</v>
      </c>
      <c r="F1200" s="4" t="s">
        <v>12</v>
      </c>
      <c r="G1200" s="4" t="s">
        <v>14</v>
      </c>
      <c r="H1200" s="4">
        <v>5585.1498044315422</v>
      </c>
      <c r="I1200" s="4">
        <v>5319.1902899348033</v>
      </c>
      <c r="J1200" s="2">
        <f>VLOOKUP(A1200,Planilha1!A:M,13,0)</f>
        <v>6326.3485212104815</v>
      </c>
      <c r="K1200" s="10">
        <f t="shared" si="36"/>
        <v>741.19871677893934</v>
      </c>
      <c r="L1200" s="10">
        <f t="shared" si="37"/>
        <v>-265.95951449673885</v>
      </c>
    </row>
    <row r="1201" spans="1:12" x14ac:dyDescent="0.25">
      <c r="A1201" s="2">
        <v>3</v>
      </c>
      <c r="B1201" s="4">
        <v>31</v>
      </c>
      <c r="C1201" s="4">
        <v>25.8</v>
      </c>
      <c r="D1201" s="4">
        <v>2</v>
      </c>
      <c r="E1201" s="4" t="s">
        <v>8</v>
      </c>
      <c r="F1201" s="4" t="s">
        <v>12</v>
      </c>
      <c r="G1201" s="4" t="s">
        <v>10</v>
      </c>
      <c r="H1201" s="4">
        <v>1657.8756588650349</v>
      </c>
      <c r="I1201" s="4">
        <v>2210.5008784867132</v>
      </c>
      <c r="J1201" s="2">
        <f>VLOOKUP(A1201,Planilha1!A:M,13,0)</f>
        <v>3049.3550806113421</v>
      </c>
      <c r="K1201" s="10">
        <f t="shared" si="36"/>
        <v>1391.4794217463073</v>
      </c>
      <c r="L1201" s="10">
        <f t="shared" si="37"/>
        <v>552.6252196216783</v>
      </c>
    </row>
    <row r="1202" spans="1:12" x14ac:dyDescent="0.25">
      <c r="A1202" s="2">
        <v>3</v>
      </c>
      <c r="B1202" s="4">
        <v>37</v>
      </c>
      <c r="C1202" s="4">
        <v>24.3</v>
      </c>
      <c r="D1202" s="4">
        <v>2</v>
      </c>
      <c r="E1202" s="4" t="s">
        <v>11</v>
      </c>
      <c r="F1202" s="4" t="s">
        <v>12</v>
      </c>
      <c r="G1202" s="4" t="s">
        <v>14</v>
      </c>
      <c r="H1202" s="4">
        <v>1963.1052172299878</v>
      </c>
      <c r="I1202" s="4">
        <v>2617.4736229733171</v>
      </c>
      <c r="J1202" s="2">
        <f>VLOOKUP(A1202,Planilha1!A:M,13,0)</f>
        <v>3049.3550806113421</v>
      </c>
      <c r="K1202" s="10">
        <f t="shared" si="36"/>
        <v>1086.2498633813543</v>
      </c>
      <c r="L1202" s="10">
        <f t="shared" si="37"/>
        <v>654.36840574332928</v>
      </c>
    </row>
    <row r="1203" spans="1:12" x14ac:dyDescent="0.25">
      <c r="A1203" s="2">
        <v>3</v>
      </c>
      <c r="B1203" s="4">
        <v>46</v>
      </c>
      <c r="C1203" s="4">
        <v>40.4</v>
      </c>
      <c r="D1203" s="4">
        <v>2</v>
      </c>
      <c r="E1203" s="4" t="s">
        <v>11</v>
      </c>
      <c r="F1203" s="4" t="s">
        <v>12</v>
      </c>
      <c r="G1203" s="4" t="s">
        <v>14</v>
      </c>
      <c r="H1203" s="4">
        <v>1745.4600207874882</v>
      </c>
      <c r="I1203" s="4">
        <v>2327.2800277166511</v>
      </c>
      <c r="J1203" s="2">
        <f>VLOOKUP(A1203,Planilha1!A:M,13,0)</f>
        <v>3049.3550806113421</v>
      </c>
      <c r="K1203" s="10">
        <f t="shared" si="36"/>
        <v>1303.8950598238539</v>
      </c>
      <c r="L1203" s="10">
        <f t="shared" si="37"/>
        <v>581.8200069291629</v>
      </c>
    </row>
    <row r="1204" spans="1:12" x14ac:dyDescent="0.25">
      <c r="A1204" s="2">
        <v>0</v>
      </c>
      <c r="B1204" s="4">
        <v>22</v>
      </c>
      <c r="C1204" s="4">
        <v>21.7</v>
      </c>
      <c r="D1204" s="4">
        <v>0</v>
      </c>
      <c r="E1204" s="4" t="s">
        <v>11</v>
      </c>
      <c r="F1204" s="4" t="s">
        <v>12</v>
      </c>
      <c r="G1204" s="4" t="s">
        <v>14</v>
      </c>
      <c r="H1204" s="4">
        <v>2348.5652694676874</v>
      </c>
      <c r="I1204" s="4">
        <v>2763.0179640796327</v>
      </c>
      <c r="J1204" s="2">
        <f>VLOOKUP(A1204,Planilha1!A:M,13,0)</f>
        <v>2511.8220480829059</v>
      </c>
      <c r="K1204" s="10">
        <f t="shared" si="36"/>
        <v>163.25677861521854</v>
      </c>
      <c r="L1204" s="10">
        <f t="shared" si="37"/>
        <v>414.45269461194539</v>
      </c>
    </row>
    <row r="1205" spans="1:12" x14ac:dyDescent="0.25">
      <c r="A1205" s="2">
        <v>1</v>
      </c>
      <c r="B1205" s="4">
        <v>51</v>
      </c>
      <c r="C1205" s="4">
        <v>32.299999999999997</v>
      </c>
      <c r="D1205" s="4">
        <v>1</v>
      </c>
      <c r="E1205" s="4" t="s">
        <v>11</v>
      </c>
      <c r="F1205" s="4" t="s">
        <v>12</v>
      </c>
      <c r="G1205" s="4" t="s">
        <v>15</v>
      </c>
      <c r="H1205" s="4">
        <v>3948.8735584114115</v>
      </c>
      <c r="I1205" s="4">
        <v>3760.8319603918217</v>
      </c>
      <c r="J1205" s="2">
        <f>VLOOKUP(A1205,Planilha1!A:M,13,0)</f>
        <v>6326.3485212104815</v>
      </c>
      <c r="K1205" s="10">
        <f t="shared" si="36"/>
        <v>2377.47496279907</v>
      </c>
      <c r="L1205" s="10">
        <f t="shared" si="37"/>
        <v>-188.04159801958986</v>
      </c>
    </row>
    <row r="1206" spans="1:12" x14ac:dyDescent="0.25">
      <c r="A1206" s="2">
        <v>2</v>
      </c>
      <c r="B1206" s="4">
        <v>18</v>
      </c>
      <c r="C1206" s="4">
        <v>27.3</v>
      </c>
      <c r="D1206" s="4">
        <v>3</v>
      </c>
      <c r="E1206" s="4" t="s">
        <v>8</v>
      </c>
      <c r="F1206" s="4" t="s">
        <v>9</v>
      </c>
      <c r="G1206" s="4" t="s">
        <v>13</v>
      </c>
      <c r="H1206" s="4">
        <v>1810.8001001406255</v>
      </c>
      <c r="I1206" s="4">
        <v>2414.4001335208341</v>
      </c>
      <c r="J1206" s="2">
        <f>VLOOKUP(A1206,Planilha1!A:M,13,0)</f>
        <v>3220.2324129890262</v>
      </c>
      <c r="K1206" s="10">
        <f t="shared" si="36"/>
        <v>1409.4323128484007</v>
      </c>
      <c r="L1206" s="10">
        <f t="shared" si="37"/>
        <v>603.60003338020852</v>
      </c>
    </row>
    <row r="1207" spans="1:12" x14ac:dyDescent="0.25">
      <c r="A1207" s="2">
        <v>0</v>
      </c>
      <c r="B1207" s="4">
        <v>35</v>
      </c>
      <c r="C1207" s="4">
        <v>21.6</v>
      </c>
      <c r="D1207" s="4">
        <v>1</v>
      </c>
      <c r="E1207" s="4" t="s">
        <v>11</v>
      </c>
      <c r="F1207" s="4" t="s">
        <v>12</v>
      </c>
      <c r="G1207" s="4" t="s">
        <v>14</v>
      </c>
      <c r="H1207" s="4">
        <v>1828.988299119608</v>
      </c>
      <c r="I1207" s="4">
        <v>2151.750940140716</v>
      </c>
      <c r="J1207" s="2">
        <f>VLOOKUP(A1207,Planilha1!A:M,13,0)</f>
        <v>2511.8220480829059</v>
      </c>
      <c r="K1207" s="10">
        <f t="shared" si="36"/>
        <v>682.83374896329792</v>
      </c>
      <c r="L1207" s="10">
        <f t="shared" si="37"/>
        <v>322.76264102110804</v>
      </c>
    </row>
    <row r="1208" spans="1:12" x14ac:dyDescent="0.25">
      <c r="A1208" s="2">
        <v>3</v>
      </c>
      <c r="B1208" s="4">
        <v>59</v>
      </c>
      <c r="C1208" s="4">
        <v>34.799999999999997</v>
      </c>
      <c r="D1208" s="4">
        <v>2</v>
      </c>
      <c r="E1208" s="4" t="s">
        <v>8</v>
      </c>
      <c r="F1208" s="4" t="s">
        <v>12</v>
      </c>
      <c r="G1208" s="4" t="s">
        <v>10</v>
      </c>
      <c r="H1208" s="4">
        <v>2555.8224991234611</v>
      </c>
      <c r="I1208" s="4">
        <v>3407.7633321646149</v>
      </c>
      <c r="J1208" s="2">
        <f>VLOOKUP(A1208,Planilha1!A:M,13,0)</f>
        <v>3049.3550806113421</v>
      </c>
      <c r="K1208" s="10">
        <f t="shared" si="36"/>
        <v>493.53258148788109</v>
      </c>
      <c r="L1208" s="10">
        <f t="shared" si="37"/>
        <v>851.94083304115384</v>
      </c>
    </row>
    <row r="1209" spans="1:12" x14ac:dyDescent="0.25">
      <c r="A1209" s="2">
        <v>2</v>
      </c>
      <c r="B1209" s="4">
        <v>36</v>
      </c>
      <c r="C1209" s="4">
        <v>33.4</v>
      </c>
      <c r="D1209" s="4">
        <v>2</v>
      </c>
      <c r="E1209" s="4" t="s">
        <v>11</v>
      </c>
      <c r="F1209" s="4" t="s">
        <v>9</v>
      </c>
      <c r="G1209" s="4" t="s">
        <v>10</v>
      </c>
      <c r="H1209" s="4">
        <v>2266.0159561122045</v>
      </c>
      <c r="I1209" s="4">
        <v>3021.3546081496061</v>
      </c>
      <c r="J1209" s="2">
        <f>VLOOKUP(A1209,Planilha1!A:M,13,0)</f>
        <v>3220.2324129890262</v>
      </c>
      <c r="K1209" s="10">
        <f t="shared" si="36"/>
        <v>954.21645687682167</v>
      </c>
      <c r="L1209" s="10">
        <f t="shared" si="37"/>
        <v>755.33865203740152</v>
      </c>
    </row>
    <row r="1210" spans="1:12" x14ac:dyDescent="0.25">
      <c r="A1210" s="2">
        <v>2</v>
      </c>
      <c r="B1210" s="4">
        <v>37</v>
      </c>
      <c r="C1210" s="4">
        <v>23</v>
      </c>
      <c r="D1210" s="4">
        <v>1</v>
      </c>
      <c r="E1210" s="4" t="s">
        <v>8</v>
      </c>
      <c r="F1210" s="4" t="s">
        <v>9</v>
      </c>
      <c r="G1210" s="4" t="s">
        <v>15</v>
      </c>
      <c r="H1210" s="4">
        <v>1832.1817135156286</v>
      </c>
      <c r="I1210" s="4">
        <v>2155.5078982536816</v>
      </c>
      <c r="J1210" s="2">
        <f>VLOOKUP(A1210,Planilha1!A:M,13,0)</f>
        <v>3220.2324129890262</v>
      </c>
      <c r="K1210" s="10">
        <f t="shared" si="36"/>
        <v>1388.0506994733976</v>
      </c>
      <c r="L1210" s="10">
        <f t="shared" si="37"/>
        <v>323.32618473805292</v>
      </c>
    </row>
    <row r="1211" spans="1:12" x14ac:dyDescent="0.25">
      <c r="A1211" s="2">
        <v>1</v>
      </c>
      <c r="B1211" s="4">
        <v>59</v>
      </c>
      <c r="C1211" s="4">
        <v>37.1</v>
      </c>
      <c r="D1211" s="4">
        <v>1</v>
      </c>
      <c r="E1211" s="4" t="s">
        <v>11</v>
      </c>
      <c r="F1211" s="4" t="s">
        <v>12</v>
      </c>
      <c r="G1211" s="4" t="s">
        <v>10</v>
      </c>
      <c r="H1211" s="4">
        <v>4379.3976640953997</v>
      </c>
      <c r="I1211" s="4">
        <v>4170.8549181860963</v>
      </c>
      <c r="J1211" s="2">
        <f>VLOOKUP(A1211,Planilha1!A:M,13,0)</f>
        <v>6326.3485212104815</v>
      </c>
      <c r="K1211" s="10">
        <f t="shared" si="36"/>
        <v>1946.9508571150818</v>
      </c>
      <c r="L1211" s="10">
        <f t="shared" si="37"/>
        <v>-208.54274590930345</v>
      </c>
    </row>
    <row r="1212" spans="1:12" x14ac:dyDescent="0.25">
      <c r="A1212" s="2">
        <v>0</v>
      </c>
      <c r="B1212" s="4">
        <v>36</v>
      </c>
      <c r="C1212" s="4">
        <v>22.6</v>
      </c>
      <c r="D1212" s="4">
        <v>1</v>
      </c>
      <c r="E1212" s="4" t="s">
        <v>11</v>
      </c>
      <c r="F1212" s="4" t="s">
        <v>12</v>
      </c>
      <c r="G1212" s="4" t="s">
        <v>14</v>
      </c>
      <c r="H1212" s="4">
        <v>1491.9192746687613</v>
      </c>
      <c r="I1212" s="4">
        <v>1755.199146669132</v>
      </c>
      <c r="J1212" s="2">
        <f>VLOOKUP(A1212,Planilha1!A:M,13,0)</f>
        <v>2511.8220480829059</v>
      </c>
      <c r="K1212" s="10">
        <f t="shared" si="36"/>
        <v>1019.9027734141446</v>
      </c>
      <c r="L1212" s="10">
        <f t="shared" si="37"/>
        <v>263.27987200037069</v>
      </c>
    </row>
    <row r="1213" spans="1:12" x14ac:dyDescent="0.25">
      <c r="A1213" s="2">
        <v>3</v>
      </c>
      <c r="B1213" s="4">
        <v>39</v>
      </c>
      <c r="C1213" s="4">
        <v>34.1</v>
      </c>
      <c r="D1213" s="4">
        <v>2</v>
      </c>
      <c r="E1213" s="4" t="s">
        <v>11</v>
      </c>
      <c r="F1213" s="4" t="s">
        <v>12</v>
      </c>
      <c r="G1213" s="4" t="s">
        <v>13</v>
      </c>
      <c r="H1213" s="4">
        <v>2001.4017807551027</v>
      </c>
      <c r="I1213" s="4">
        <v>2668.5357076734704</v>
      </c>
      <c r="J1213" s="2">
        <f>VLOOKUP(A1213,Planilha1!A:M,13,0)</f>
        <v>3049.3550806113421</v>
      </c>
      <c r="K1213" s="10">
        <f t="shared" si="36"/>
        <v>1047.9532998562395</v>
      </c>
      <c r="L1213" s="10">
        <f t="shared" si="37"/>
        <v>667.13392691836771</v>
      </c>
    </row>
    <row r="1214" spans="1:12" x14ac:dyDescent="0.25">
      <c r="A1214" s="2">
        <v>0</v>
      </c>
      <c r="B1214" s="4">
        <v>18</v>
      </c>
      <c r="C1214" s="4">
        <v>24.6</v>
      </c>
      <c r="D1214" s="4">
        <v>0</v>
      </c>
      <c r="E1214" s="4" t="s">
        <v>11</v>
      </c>
      <c r="F1214" s="4" t="s">
        <v>12</v>
      </c>
      <c r="G1214" s="4" t="s">
        <v>15</v>
      </c>
      <c r="H1214" s="4">
        <v>2176.6435855584259</v>
      </c>
      <c r="I1214" s="4">
        <v>2560.7571594805017</v>
      </c>
      <c r="J1214" s="2">
        <f>VLOOKUP(A1214,Planilha1!A:M,13,0)</f>
        <v>2511.8220480829059</v>
      </c>
      <c r="K1214" s="10">
        <f t="shared" si="36"/>
        <v>335.17846252447998</v>
      </c>
      <c r="L1214" s="10">
        <f t="shared" si="37"/>
        <v>384.11357392207583</v>
      </c>
    </row>
    <row r="1215" spans="1:12" x14ac:dyDescent="0.25">
      <c r="A1215" s="2">
        <v>3</v>
      </c>
      <c r="B1215" s="4">
        <v>52</v>
      </c>
      <c r="C1215" s="4">
        <v>33.299999999999997</v>
      </c>
      <c r="D1215" s="4">
        <v>2</v>
      </c>
      <c r="E1215" s="4" t="s">
        <v>8</v>
      </c>
      <c r="F1215" s="4" t="s">
        <v>12</v>
      </c>
      <c r="G1215" s="4" t="s">
        <v>10</v>
      </c>
      <c r="H1215" s="4">
        <v>1920.8040067875368</v>
      </c>
      <c r="I1215" s="4">
        <v>2561.072009050049</v>
      </c>
      <c r="J1215" s="2">
        <f>VLOOKUP(A1215,Planilha1!A:M,13,0)</f>
        <v>3049.3550806113421</v>
      </c>
      <c r="K1215" s="10">
        <f t="shared" si="36"/>
        <v>1128.5510738238054</v>
      </c>
      <c r="L1215" s="10">
        <f t="shared" si="37"/>
        <v>640.26800226251225</v>
      </c>
    </row>
    <row r="1216" spans="1:12" x14ac:dyDescent="0.25">
      <c r="A1216" s="2">
        <v>0</v>
      </c>
      <c r="B1216" s="4">
        <v>27</v>
      </c>
      <c r="C1216" s="4">
        <v>23</v>
      </c>
      <c r="D1216" s="4">
        <v>1</v>
      </c>
      <c r="E1216" s="4" t="s">
        <v>8</v>
      </c>
      <c r="F1216" s="4" t="s">
        <v>12</v>
      </c>
      <c r="G1216" s="4" t="s">
        <v>14</v>
      </c>
      <c r="H1216" s="4">
        <v>1671.227122921995</v>
      </c>
      <c r="I1216" s="4">
        <v>1966.1495563788185</v>
      </c>
      <c r="J1216" s="2">
        <f>VLOOKUP(A1216,Planilha1!A:M,13,0)</f>
        <v>2511.8220480829059</v>
      </c>
      <c r="K1216" s="10">
        <f t="shared" si="36"/>
        <v>840.59492516091086</v>
      </c>
      <c r="L1216" s="10">
        <f t="shared" si="37"/>
        <v>294.92243345682346</v>
      </c>
    </row>
    <row r="1217" spans="1:12" x14ac:dyDescent="0.25">
      <c r="A1217" s="2">
        <v>0</v>
      </c>
      <c r="B1217" s="4">
        <v>18</v>
      </c>
      <c r="C1217" s="4">
        <v>21.1</v>
      </c>
      <c r="D1217" s="4">
        <v>0</v>
      </c>
      <c r="E1217" s="4" t="s">
        <v>11</v>
      </c>
      <c r="F1217" s="4" t="s">
        <v>12</v>
      </c>
      <c r="G1217" s="4" t="s">
        <v>15</v>
      </c>
      <c r="H1217" s="4">
        <v>1655.4040704556642</v>
      </c>
      <c r="I1217" s="4">
        <v>1947.5342005360762</v>
      </c>
      <c r="J1217" s="2">
        <f>VLOOKUP(A1217,Planilha1!A:M,13,0)</f>
        <v>2511.8220480829059</v>
      </c>
      <c r="K1217" s="10">
        <f t="shared" si="36"/>
        <v>856.41797762724173</v>
      </c>
      <c r="L1217" s="10">
        <f t="shared" si="37"/>
        <v>292.13013008041207</v>
      </c>
    </row>
    <row r="1218" spans="1:12" x14ac:dyDescent="0.25">
      <c r="A1218" s="2">
        <v>0</v>
      </c>
      <c r="B1218" s="4">
        <v>40</v>
      </c>
      <c r="C1218" s="4">
        <v>20.100000000000001</v>
      </c>
      <c r="D1218" s="4">
        <v>0</v>
      </c>
      <c r="E1218" s="4" t="s">
        <v>11</v>
      </c>
      <c r="F1218" s="4" t="s">
        <v>12</v>
      </c>
      <c r="G1218" s="4" t="s">
        <v>13</v>
      </c>
      <c r="H1218" s="4">
        <v>1618.4456792630097</v>
      </c>
      <c r="I1218" s="4">
        <v>1904.053740309424</v>
      </c>
      <c r="J1218" s="2">
        <f>VLOOKUP(A1218,Planilha1!A:M,13,0)</f>
        <v>2511.8220480829059</v>
      </c>
      <c r="K1218" s="10">
        <f t="shared" si="36"/>
        <v>893.37636881989624</v>
      </c>
      <c r="L1218" s="10">
        <f t="shared" si="37"/>
        <v>285.60806104641438</v>
      </c>
    </row>
    <row r="1219" spans="1:12" x14ac:dyDescent="0.25">
      <c r="A1219" s="2">
        <v>3</v>
      </c>
      <c r="B1219" s="4">
        <v>29</v>
      </c>
      <c r="C1219" s="4">
        <v>37.299999999999997</v>
      </c>
      <c r="D1219" s="4">
        <v>2</v>
      </c>
      <c r="E1219" s="4" t="s">
        <v>11</v>
      </c>
      <c r="F1219" s="4" t="s">
        <v>12</v>
      </c>
      <c r="G1219" s="4" t="s">
        <v>13</v>
      </c>
      <c r="H1219" s="4">
        <v>2011.0520096060466</v>
      </c>
      <c r="I1219" s="4">
        <v>2681.4026794747288</v>
      </c>
      <c r="J1219" s="2">
        <f>VLOOKUP(A1219,Planilha1!A:M,13,0)</f>
        <v>3049.3550806113421</v>
      </c>
      <c r="K1219" s="10">
        <f t="shared" ref="K1219:K1282" si="38">J1219-H1219</f>
        <v>1038.3030710052956</v>
      </c>
      <c r="L1219" s="10">
        <f t="shared" ref="L1219:L1282" si="39">I1219-H1219</f>
        <v>670.35066986868219</v>
      </c>
    </row>
    <row r="1220" spans="1:12" x14ac:dyDescent="0.25">
      <c r="A1220" s="2">
        <v>2</v>
      </c>
      <c r="B1220" s="4">
        <v>46</v>
      </c>
      <c r="C1220" s="4">
        <v>34.6</v>
      </c>
      <c r="D1220" s="4">
        <v>1</v>
      </c>
      <c r="E1220" s="4" t="s">
        <v>8</v>
      </c>
      <c r="F1220" s="4" t="s">
        <v>9</v>
      </c>
      <c r="G1220" s="4" t="s">
        <v>10</v>
      </c>
      <c r="H1220" s="4">
        <v>3707.1635708559525</v>
      </c>
      <c r="I1220" s="4">
        <v>3530.6319722437656</v>
      </c>
      <c r="J1220" s="2">
        <f>VLOOKUP(A1220,Planilha1!A:M,13,0)</f>
        <v>3220.2324129890262</v>
      </c>
      <c r="K1220" s="10">
        <f t="shared" si="38"/>
        <v>-486.93115786692624</v>
      </c>
      <c r="L1220" s="10">
        <f t="shared" si="39"/>
        <v>-176.53159861218683</v>
      </c>
    </row>
    <row r="1221" spans="1:12" x14ac:dyDescent="0.25">
      <c r="A1221" s="2">
        <v>3</v>
      </c>
      <c r="B1221" s="4">
        <v>38</v>
      </c>
      <c r="C1221" s="4">
        <v>30.2</v>
      </c>
      <c r="D1221" s="4">
        <v>3</v>
      </c>
      <c r="E1221" s="4" t="s">
        <v>8</v>
      </c>
      <c r="F1221" s="4" t="s">
        <v>12</v>
      </c>
      <c r="G1221" s="4" t="s">
        <v>14</v>
      </c>
      <c r="H1221" s="4">
        <v>1880.1009211078481</v>
      </c>
      <c r="I1221" s="4">
        <v>2506.8012281437973</v>
      </c>
      <c r="J1221" s="2">
        <f>VLOOKUP(A1221,Planilha1!A:M,13,0)</f>
        <v>3049.3550806113421</v>
      </c>
      <c r="K1221" s="10">
        <f t="shared" si="38"/>
        <v>1169.2541595034941</v>
      </c>
      <c r="L1221" s="10">
        <f t="shared" si="39"/>
        <v>626.70030703594921</v>
      </c>
    </row>
    <row r="1222" spans="1:12" x14ac:dyDescent="0.25">
      <c r="A1222" s="2">
        <v>0</v>
      </c>
      <c r="B1222" s="4">
        <v>30</v>
      </c>
      <c r="C1222" s="4">
        <v>25.1</v>
      </c>
      <c r="D1222" s="4">
        <v>1</v>
      </c>
      <c r="E1222" s="4" t="s">
        <v>8</v>
      </c>
      <c r="F1222" s="4" t="s">
        <v>12</v>
      </c>
      <c r="G1222" s="4" t="s">
        <v>15</v>
      </c>
      <c r="H1222" s="4">
        <v>2736.1375313644239</v>
      </c>
      <c r="I1222" s="4">
        <v>3218.9853310169692</v>
      </c>
      <c r="J1222" s="2">
        <f>VLOOKUP(A1222,Planilha1!A:M,13,0)</f>
        <v>2511.8220480829059</v>
      </c>
      <c r="K1222" s="10">
        <f t="shared" si="38"/>
        <v>-224.31548328151803</v>
      </c>
      <c r="L1222" s="10">
        <f t="shared" si="39"/>
        <v>482.84779965254529</v>
      </c>
    </row>
    <row r="1223" spans="1:12" x14ac:dyDescent="0.25">
      <c r="A1223" s="2">
        <v>3</v>
      </c>
      <c r="B1223" s="4">
        <v>40</v>
      </c>
      <c r="C1223" s="4">
        <v>25</v>
      </c>
      <c r="D1223" s="4">
        <v>2</v>
      </c>
      <c r="E1223" s="4" t="s">
        <v>11</v>
      </c>
      <c r="F1223" s="4" t="s">
        <v>12</v>
      </c>
      <c r="G1223" s="4" t="s">
        <v>13</v>
      </c>
      <c r="H1223" s="4">
        <v>1117.7326595226446</v>
      </c>
      <c r="I1223" s="4">
        <v>1490.3102126968593</v>
      </c>
      <c r="J1223" s="2">
        <f>VLOOKUP(A1223,Planilha1!A:M,13,0)</f>
        <v>3049.3550806113421</v>
      </c>
      <c r="K1223" s="10">
        <f t="shared" si="38"/>
        <v>1931.6224210886976</v>
      </c>
      <c r="L1223" s="10">
        <f t="shared" si="39"/>
        <v>372.5775531742147</v>
      </c>
    </row>
    <row r="1224" spans="1:12" x14ac:dyDescent="0.25">
      <c r="A1224" s="2">
        <v>1</v>
      </c>
      <c r="B1224" s="4">
        <v>50</v>
      </c>
      <c r="C1224" s="4">
        <v>25.3</v>
      </c>
      <c r="D1224" s="4">
        <v>0</v>
      </c>
      <c r="E1224" s="4" t="s">
        <v>11</v>
      </c>
      <c r="F1224" s="4" t="s">
        <v>12</v>
      </c>
      <c r="G1224" s="4" t="s">
        <v>13</v>
      </c>
      <c r="H1224" s="4">
        <v>5391.6950576562258</v>
      </c>
      <c r="I1224" s="4">
        <v>5134.9476739583115</v>
      </c>
      <c r="J1224" s="2">
        <f>VLOOKUP(A1224,Planilha1!A:M,13,0)</f>
        <v>6326.3485212104815</v>
      </c>
      <c r="K1224" s="10">
        <f t="shared" si="38"/>
        <v>934.65346355425572</v>
      </c>
      <c r="L1224" s="10">
        <f t="shared" si="39"/>
        <v>-256.7473836979143</v>
      </c>
    </row>
    <row r="1225" spans="1:12" x14ac:dyDescent="0.25">
      <c r="A1225" s="2">
        <v>2</v>
      </c>
      <c r="B1225" s="4">
        <v>20</v>
      </c>
      <c r="C1225" s="4">
        <v>23.9</v>
      </c>
      <c r="D1225" s="4">
        <v>0</v>
      </c>
      <c r="E1225" s="4" t="s">
        <v>8</v>
      </c>
      <c r="F1225" s="4" t="s">
        <v>9</v>
      </c>
      <c r="G1225" s="4" t="s">
        <v>13</v>
      </c>
      <c r="H1225" s="4">
        <v>1627.5383886655504</v>
      </c>
      <c r="I1225" s="4">
        <v>1914.7510454888836</v>
      </c>
      <c r="J1225" s="2">
        <f>VLOOKUP(A1225,Planilha1!A:M,13,0)</f>
        <v>3220.2324129890262</v>
      </c>
      <c r="K1225" s="10">
        <f t="shared" si="38"/>
        <v>1592.6940243234758</v>
      </c>
      <c r="L1225" s="10">
        <f t="shared" si="39"/>
        <v>287.21265682333319</v>
      </c>
    </row>
    <row r="1226" spans="1:12" x14ac:dyDescent="0.25">
      <c r="A1226" s="2">
        <v>0</v>
      </c>
      <c r="B1226" s="4">
        <v>41</v>
      </c>
      <c r="C1226" s="4">
        <v>20.100000000000001</v>
      </c>
      <c r="D1226" s="4">
        <v>1</v>
      </c>
      <c r="E1226" s="4" t="s">
        <v>11</v>
      </c>
      <c r="F1226" s="4" t="s">
        <v>12</v>
      </c>
      <c r="G1226" s="4" t="s">
        <v>15</v>
      </c>
      <c r="H1226" s="4">
        <v>1369.6892410862845</v>
      </c>
      <c r="I1226" s="4">
        <v>1611.3991071603355</v>
      </c>
      <c r="J1226" s="2">
        <f>VLOOKUP(A1226,Planilha1!A:M,13,0)</f>
        <v>2511.8220480829059</v>
      </c>
      <c r="K1226" s="10">
        <f t="shared" si="38"/>
        <v>1142.1328069966214</v>
      </c>
      <c r="L1226" s="10">
        <f t="shared" si="39"/>
        <v>241.70986607405098</v>
      </c>
    </row>
    <row r="1227" spans="1:12" x14ac:dyDescent="0.25">
      <c r="A1227" s="2">
        <v>0</v>
      </c>
      <c r="B1227" s="4">
        <v>33</v>
      </c>
      <c r="C1227" s="4">
        <v>22.6</v>
      </c>
      <c r="D1227" s="4">
        <v>1</v>
      </c>
      <c r="E1227" s="4" t="s">
        <v>8</v>
      </c>
      <c r="F1227" s="4" t="s">
        <v>12</v>
      </c>
      <c r="G1227" s="4" t="s">
        <v>13</v>
      </c>
      <c r="H1227" s="4">
        <v>1806.1645982504888</v>
      </c>
      <c r="I1227" s="4">
        <v>2124.899527353517</v>
      </c>
      <c r="J1227" s="2">
        <f>VLOOKUP(A1227,Planilha1!A:M,13,0)</f>
        <v>2511.8220480829059</v>
      </c>
      <c r="K1227" s="10">
        <f t="shared" si="38"/>
        <v>705.65744983241711</v>
      </c>
      <c r="L1227" s="10">
        <f t="shared" si="39"/>
        <v>318.73492910302821</v>
      </c>
    </row>
    <row r="1228" spans="1:12" x14ac:dyDescent="0.25">
      <c r="A1228" s="2">
        <v>0</v>
      </c>
      <c r="B1228" s="4">
        <v>38</v>
      </c>
      <c r="C1228" s="4">
        <v>16.8</v>
      </c>
      <c r="D1228" s="4">
        <v>2</v>
      </c>
      <c r="E1228" s="4" t="s">
        <v>11</v>
      </c>
      <c r="F1228" s="4" t="s">
        <v>12</v>
      </c>
      <c r="G1228" s="4" t="s">
        <v>15</v>
      </c>
      <c r="H1228" s="4">
        <v>2199.8385837487513</v>
      </c>
      <c r="I1228" s="4">
        <v>2588.0453926455907</v>
      </c>
      <c r="J1228" s="2">
        <f>VLOOKUP(A1228,Planilha1!A:M,13,0)</f>
        <v>2511.8220480829059</v>
      </c>
      <c r="K1228" s="10">
        <f t="shared" si="38"/>
        <v>311.98346433415463</v>
      </c>
      <c r="L1228" s="10">
        <f t="shared" si="39"/>
        <v>388.20680889683945</v>
      </c>
    </row>
    <row r="1229" spans="1:12" x14ac:dyDescent="0.25">
      <c r="A1229" s="2">
        <v>3</v>
      </c>
      <c r="B1229" s="4">
        <v>42</v>
      </c>
      <c r="C1229" s="4">
        <v>37.200000000000003</v>
      </c>
      <c r="D1229" s="4">
        <v>2</v>
      </c>
      <c r="E1229" s="4" t="s">
        <v>11</v>
      </c>
      <c r="F1229" s="4" t="s">
        <v>12</v>
      </c>
      <c r="G1229" s="4" t="s">
        <v>13</v>
      </c>
      <c r="H1229" s="4">
        <v>1175.3204791098271</v>
      </c>
      <c r="I1229" s="4">
        <v>1567.0939721464363</v>
      </c>
      <c r="J1229" s="2">
        <f>VLOOKUP(A1229,Planilha1!A:M,13,0)</f>
        <v>3049.3550806113421</v>
      </c>
      <c r="K1229" s="10">
        <f t="shared" si="38"/>
        <v>1874.034601501515</v>
      </c>
      <c r="L1229" s="10">
        <f t="shared" si="39"/>
        <v>391.77349303660912</v>
      </c>
    </row>
    <row r="1230" spans="1:12" x14ac:dyDescent="0.25">
      <c r="A1230" s="2">
        <v>1</v>
      </c>
      <c r="B1230" s="4">
        <v>56</v>
      </c>
      <c r="C1230" s="4">
        <v>34.4</v>
      </c>
      <c r="D1230" s="4">
        <v>0</v>
      </c>
      <c r="E1230" s="4" t="s">
        <v>11</v>
      </c>
      <c r="F1230" s="4" t="s">
        <v>12</v>
      </c>
      <c r="G1230" s="4" t="s">
        <v>13</v>
      </c>
      <c r="H1230" s="4">
        <v>4093.0231317845573</v>
      </c>
      <c r="I1230" s="4">
        <v>3898.1172683662467</v>
      </c>
      <c r="J1230" s="2">
        <f>VLOOKUP(A1230,Planilha1!A:M,13,0)</f>
        <v>6326.3485212104815</v>
      </c>
      <c r="K1230" s="10">
        <f t="shared" si="38"/>
        <v>2233.3253894259242</v>
      </c>
      <c r="L1230" s="10">
        <f t="shared" si="39"/>
        <v>-194.90586341831067</v>
      </c>
    </row>
    <row r="1231" spans="1:12" x14ac:dyDescent="0.25">
      <c r="A1231" s="2">
        <v>1</v>
      </c>
      <c r="B1231" s="4">
        <v>58</v>
      </c>
      <c r="C1231" s="4">
        <v>30.3</v>
      </c>
      <c r="D1231" s="4">
        <v>0</v>
      </c>
      <c r="E1231" s="4" t="s">
        <v>11</v>
      </c>
      <c r="F1231" s="4" t="s">
        <v>12</v>
      </c>
      <c r="G1231" s="4" t="s">
        <v>15</v>
      </c>
      <c r="H1231" s="4">
        <v>4922.4126190013139</v>
      </c>
      <c r="I1231" s="4">
        <v>4688.0120180964914</v>
      </c>
      <c r="J1231" s="2">
        <f>VLOOKUP(A1231,Planilha1!A:M,13,0)</f>
        <v>6326.3485212104815</v>
      </c>
      <c r="K1231" s="10">
        <f t="shared" si="38"/>
        <v>1403.9359022091676</v>
      </c>
      <c r="L1231" s="10">
        <f t="shared" si="39"/>
        <v>-234.40060090482257</v>
      </c>
    </row>
    <row r="1232" spans="1:12" x14ac:dyDescent="0.25">
      <c r="A1232" s="2">
        <v>2</v>
      </c>
      <c r="B1232" s="4">
        <v>52</v>
      </c>
      <c r="C1232" s="4">
        <v>34.5</v>
      </c>
      <c r="D1232" s="4">
        <v>3</v>
      </c>
      <c r="E1232" s="4" t="s">
        <v>11</v>
      </c>
      <c r="F1232" s="4" t="s">
        <v>9</v>
      </c>
      <c r="G1232" s="4" t="s">
        <v>14</v>
      </c>
      <c r="H1232" s="4">
        <v>1721.3218755011308</v>
      </c>
      <c r="I1232" s="4">
        <v>2295.0958340015077</v>
      </c>
      <c r="J1232" s="2">
        <f>VLOOKUP(A1232,Planilha1!A:M,13,0)</f>
        <v>3220.2324129890262</v>
      </c>
      <c r="K1232" s="10">
        <f t="shared" si="38"/>
        <v>1498.9105374878955</v>
      </c>
      <c r="L1232" s="10">
        <f t="shared" si="39"/>
        <v>573.77395850037692</v>
      </c>
    </row>
    <row r="1233" spans="1:12" x14ac:dyDescent="0.25">
      <c r="A1233" s="2">
        <v>2</v>
      </c>
      <c r="B1233" s="4">
        <v>20</v>
      </c>
      <c r="C1233" s="4">
        <v>20.100000000000001</v>
      </c>
      <c r="D1233" s="4">
        <v>0</v>
      </c>
      <c r="E1233" s="4" t="s">
        <v>8</v>
      </c>
      <c r="F1233" s="4" t="s">
        <v>9</v>
      </c>
      <c r="G1233" s="4" t="s">
        <v>10</v>
      </c>
      <c r="H1233" s="4">
        <v>1513.8630942320733</v>
      </c>
      <c r="I1233" s="4">
        <v>1781.0154049789107</v>
      </c>
      <c r="J1233" s="2">
        <f>VLOOKUP(A1233,Planilha1!A:M,13,0)</f>
        <v>3220.2324129890262</v>
      </c>
      <c r="K1233" s="10">
        <f t="shared" si="38"/>
        <v>1706.3693187569529</v>
      </c>
      <c r="L1233" s="10">
        <f t="shared" si="39"/>
        <v>267.15231074683743</v>
      </c>
    </row>
    <row r="1234" spans="1:12" x14ac:dyDescent="0.25">
      <c r="A1234" s="2">
        <v>3</v>
      </c>
      <c r="B1234" s="4">
        <v>54</v>
      </c>
      <c r="C1234" s="4">
        <v>24.6</v>
      </c>
      <c r="D1234" s="4">
        <v>3</v>
      </c>
      <c r="E1234" s="4" t="s">
        <v>8</v>
      </c>
      <c r="F1234" s="4" t="s">
        <v>12</v>
      </c>
      <c r="G1234" s="4" t="s">
        <v>14</v>
      </c>
      <c r="H1234" s="4">
        <v>1657.062372102127</v>
      </c>
      <c r="I1234" s="4">
        <v>2209.4164961361694</v>
      </c>
      <c r="J1234" s="2">
        <f>VLOOKUP(A1234,Planilha1!A:M,13,0)</f>
        <v>3049.3550806113421</v>
      </c>
      <c r="K1234" s="10">
        <f t="shared" si="38"/>
        <v>1392.2927085092151</v>
      </c>
      <c r="L1234" s="10">
        <f t="shared" si="39"/>
        <v>552.35412403404234</v>
      </c>
    </row>
    <row r="1235" spans="1:12" x14ac:dyDescent="0.25">
      <c r="A1235" s="2">
        <v>1</v>
      </c>
      <c r="B1235" s="4">
        <v>58</v>
      </c>
      <c r="C1235" s="4">
        <v>23.3</v>
      </c>
      <c r="D1235" s="4">
        <v>0</v>
      </c>
      <c r="E1235" s="4" t="s">
        <v>11</v>
      </c>
      <c r="F1235" s="4" t="s">
        <v>12</v>
      </c>
      <c r="G1235" s="4" t="s">
        <v>10</v>
      </c>
      <c r="H1235" s="4">
        <v>4731.0445013336412</v>
      </c>
      <c r="I1235" s="4">
        <v>4505.7566679368028</v>
      </c>
      <c r="J1235" s="2">
        <f>VLOOKUP(A1235,Planilha1!A:M,13,0)</f>
        <v>6326.3485212104815</v>
      </c>
      <c r="K1235" s="10">
        <f t="shared" si="38"/>
        <v>1595.3040198768404</v>
      </c>
      <c r="L1235" s="10">
        <f t="shared" si="39"/>
        <v>-225.28783339683832</v>
      </c>
    </row>
    <row r="1236" spans="1:12" x14ac:dyDescent="0.25">
      <c r="A1236" s="2">
        <v>3</v>
      </c>
      <c r="B1236" s="4">
        <v>45</v>
      </c>
      <c r="C1236" s="4">
        <v>27.8</v>
      </c>
      <c r="D1236" s="4">
        <v>2</v>
      </c>
      <c r="E1236" s="4" t="s">
        <v>8</v>
      </c>
      <c r="F1236" s="4" t="s">
        <v>12</v>
      </c>
      <c r="G1236" s="4" t="s">
        <v>13</v>
      </c>
      <c r="H1236" s="4">
        <v>2651.2359472051598</v>
      </c>
      <c r="I1236" s="4">
        <v>3534.9812629402131</v>
      </c>
      <c r="J1236" s="2">
        <f>VLOOKUP(A1236,Planilha1!A:M,13,0)</f>
        <v>3049.3550806113421</v>
      </c>
      <c r="K1236" s="10">
        <f t="shared" si="38"/>
        <v>398.1191334061823</v>
      </c>
      <c r="L1236" s="10">
        <f t="shared" si="39"/>
        <v>883.74531573505328</v>
      </c>
    </row>
    <row r="1237" spans="1:12" x14ac:dyDescent="0.25">
      <c r="A1237" s="2">
        <v>0</v>
      </c>
      <c r="B1237" s="4">
        <v>26</v>
      </c>
      <c r="C1237" s="4">
        <v>25.5</v>
      </c>
      <c r="D1237" s="4">
        <v>0</v>
      </c>
      <c r="E1237" s="4" t="s">
        <v>11</v>
      </c>
      <c r="F1237" s="4" t="s">
        <v>12</v>
      </c>
      <c r="G1237" s="4" t="s">
        <v>14</v>
      </c>
      <c r="H1237" s="4">
        <v>1595.119225154207</v>
      </c>
      <c r="I1237" s="4">
        <v>1876.6108531225973</v>
      </c>
      <c r="J1237" s="2">
        <f>VLOOKUP(A1237,Planilha1!A:M,13,0)</f>
        <v>2511.8220480829059</v>
      </c>
      <c r="K1237" s="10">
        <f t="shared" si="38"/>
        <v>916.70282292869888</v>
      </c>
      <c r="L1237" s="10">
        <f t="shared" si="39"/>
        <v>281.49162796839028</v>
      </c>
    </row>
    <row r="1238" spans="1:12" x14ac:dyDescent="0.25">
      <c r="A1238" s="2">
        <v>1</v>
      </c>
      <c r="B1238" s="4">
        <v>63</v>
      </c>
      <c r="C1238" s="4">
        <v>21.7</v>
      </c>
      <c r="D1238" s="4">
        <v>0</v>
      </c>
      <c r="E1238" s="4" t="s">
        <v>8</v>
      </c>
      <c r="F1238" s="4" t="s">
        <v>12</v>
      </c>
      <c r="G1238" s="4" t="s">
        <v>15</v>
      </c>
      <c r="H1238" s="4">
        <v>5213.4082317937091</v>
      </c>
      <c r="I1238" s="4">
        <v>4965.1506969463908</v>
      </c>
      <c r="J1238" s="2">
        <f>VLOOKUP(A1238,Planilha1!A:M,13,0)</f>
        <v>6326.3485212104815</v>
      </c>
      <c r="K1238" s="10">
        <f t="shared" si="38"/>
        <v>1112.9402894167724</v>
      </c>
      <c r="L1238" s="10">
        <f t="shared" si="39"/>
        <v>-248.25753484731831</v>
      </c>
    </row>
    <row r="1239" spans="1:12" x14ac:dyDescent="0.25">
      <c r="A1239" s="2">
        <v>1</v>
      </c>
      <c r="B1239" s="4">
        <v>58</v>
      </c>
      <c r="C1239" s="4">
        <v>28.2</v>
      </c>
      <c r="D1239" s="4">
        <v>0</v>
      </c>
      <c r="E1239" s="4" t="s">
        <v>8</v>
      </c>
      <c r="F1239" s="4" t="s">
        <v>12</v>
      </c>
      <c r="G1239" s="4" t="s">
        <v>14</v>
      </c>
      <c r="H1239" s="4">
        <v>4472.611400704247</v>
      </c>
      <c r="I1239" s="4">
        <v>4259.6299054326173</v>
      </c>
      <c r="J1239" s="2">
        <f>VLOOKUP(A1239,Planilha1!A:M,13,0)</f>
        <v>6326.3485212104815</v>
      </c>
      <c r="K1239" s="10">
        <f t="shared" si="38"/>
        <v>1853.7371205062345</v>
      </c>
      <c r="L1239" s="10">
        <f t="shared" si="39"/>
        <v>-212.98149527162968</v>
      </c>
    </row>
    <row r="1240" spans="1:12" x14ac:dyDescent="0.25">
      <c r="A1240" s="2">
        <v>3</v>
      </c>
      <c r="B1240" s="4">
        <v>37</v>
      </c>
      <c r="C1240" s="4">
        <v>22.7</v>
      </c>
      <c r="D1240" s="4">
        <v>3</v>
      </c>
      <c r="E1240" s="4" t="s">
        <v>11</v>
      </c>
      <c r="F1240" s="4" t="s">
        <v>12</v>
      </c>
      <c r="G1240" s="4" t="s">
        <v>15</v>
      </c>
      <c r="H1240" s="4">
        <v>2013.1287970207986</v>
      </c>
      <c r="I1240" s="4">
        <v>2684.171729361065</v>
      </c>
      <c r="J1240" s="2">
        <f>VLOOKUP(A1240,Planilha1!A:M,13,0)</f>
        <v>3049.3550806113421</v>
      </c>
      <c r="K1240" s="10">
        <f t="shared" si="38"/>
        <v>1036.2262835905435</v>
      </c>
      <c r="L1240" s="10">
        <f t="shared" si="39"/>
        <v>671.04293234026636</v>
      </c>
    </row>
    <row r="1241" spans="1:12" x14ac:dyDescent="0.25">
      <c r="A1241" s="2">
        <v>0</v>
      </c>
      <c r="B1241" s="4">
        <v>25</v>
      </c>
      <c r="C1241" s="4">
        <v>21.3</v>
      </c>
      <c r="D1241" s="4">
        <v>1</v>
      </c>
      <c r="E1241" s="4" t="s">
        <v>8</v>
      </c>
      <c r="F1241" s="4" t="s">
        <v>12</v>
      </c>
      <c r="G1241" s="4" t="s">
        <v>13</v>
      </c>
      <c r="H1241" s="4">
        <v>2391.7840681069661</v>
      </c>
      <c r="I1241" s="4">
        <v>2813.8636095376082</v>
      </c>
      <c r="J1241" s="2">
        <f>VLOOKUP(A1241,Planilha1!A:M,13,0)</f>
        <v>2511.8220480829059</v>
      </c>
      <c r="K1241" s="10">
        <f t="shared" si="38"/>
        <v>120.03797997593983</v>
      </c>
      <c r="L1241" s="10">
        <f t="shared" si="39"/>
        <v>422.07954143064217</v>
      </c>
    </row>
    <row r="1242" spans="1:12" x14ac:dyDescent="0.25">
      <c r="A1242" s="2">
        <v>2</v>
      </c>
      <c r="B1242" s="4">
        <v>52</v>
      </c>
      <c r="C1242" s="4">
        <v>41.8</v>
      </c>
      <c r="D1242" s="4">
        <v>2</v>
      </c>
      <c r="E1242" s="4" t="s">
        <v>11</v>
      </c>
      <c r="F1242" s="4" t="s">
        <v>9</v>
      </c>
      <c r="G1242" s="4" t="s">
        <v>13</v>
      </c>
      <c r="H1242" s="4">
        <v>1308.42828043498</v>
      </c>
      <c r="I1242" s="4">
        <v>1744.5710405799734</v>
      </c>
      <c r="J1242" s="2">
        <f>VLOOKUP(A1242,Planilha1!A:M,13,0)</f>
        <v>3220.2324129890262</v>
      </c>
      <c r="K1242" s="10">
        <f t="shared" si="38"/>
        <v>1911.8041325540462</v>
      </c>
      <c r="L1242" s="10">
        <f t="shared" si="39"/>
        <v>436.14276014499342</v>
      </c>
    </row>
    <row r="1243" spans="1:12" x14ac:dyDescent="0.25">
      <c r="A1243" s="2">
        <v>2</v>
      </c>
      <c r="B1243" s="4">
        <v>64</v>
      </c>
      <c r="C1243" s="4">
        <v>37</v>
      </c>
      <c r="D1243" s="4">
        <v>2</v>
      </c>
      <c r="E1243" s="4" t="s">
        <v>11</v>
      </c>
      <c r="F1243" s="4" t="s">
        <v>9</v>
      </c>
      <c r="G1243" s="4" t="s">
        <v>13</v>
      </c>
      <c r="H1243" s="4">
        <v>4809.5263616796947</v>
      </c>
      <c r="I1243" s="4">
        <v>4580.5012968378051</v>
      </c>
      <c r="J1243" s="2">
        <f>VLOOKUP(A1243,Planilha1!A:M,13,0)</f>
        <v>3220.2324129890262</v>
      </c>
      <c r="K1243" s="10">
        <f t="shared" si="38"/>
        <v>-1589.2939486906685</v>
      </c>
      <c r="L1243" s="10">
        <f t="shared" si="39"/>
        <v>-229.02506484188962</v>
      </c>
    </row>
    <row r="1244" spans="1:12" x14ac:dyDescent="0.25">
      <c r="A1244" s="2">
        <v>0</v>
      </c>
      <c r="B1244" s="4">
        <v>22</v>
      </c>
      <c r="C1244" s="4">
        <v>21.3</v>
      </c>
      <c r="D1244" s="4">
        <v>3</v>
      </c>
      <c r="E1244" s="4" t="s">
        <v>8</v>
      </c>
      <c r="F1244" s="4" t="s">
        <v>12</v>
      </c>
      <c r="G1244" s="4" t="s">
        <v>14</v>
      </c>
      <c r="H1244" s="4">
        <v>1454.1595188348492</v>
      </c>
      <c r="I1244" s="4">
        <v>1710.7759045115879</v>
      </c>
      <c r="J1244" s="2">
        <f>VLOOKUP(A1244,Planilha1!A:M,13,0)</f>
        <v>2511.8220480829059</v>
      </c>
      <c r="K1244" s="10">
        <f t="shared" si="38"/>
        <v>1057.6625292480567</v>
      </c>
      <c r="L1244" s="10">
        <f t="shared" si="39"/>
        <v>256.61638567673867</v>
      </c>
    </row>
    <row r="1245" spans="1:12" x14ac:dyDescent="0.25">
      <c r="A1245" s="2">
        <v>0</v>
      </c>
      <c r="B1245" s="4">
        <v>28</v>
      </c>
      <c r="C1245" s="4">
        <v>20.399999999999999</v>
      </c>
      <c r="D1245" s="4">
        <v>0</v>
      </c>
      <c r="E1245" s="4" t="s">
        <v>8</v>
      </c>
      <c r="F1245" s="4" t="s">
        <v>12</v>
      </c>
      <c r="G1245" s="4" t="s">
        <v>13</v>
      </c>
      <c r="H1245" s="4">
        <v>2025.7983389055348</v>
      </c>
      <c r="I1245" s="4">
        <v>2383.2921634182771</v>
      </c>
      <c r="J1245" s="2">
        <f>VLOOKUP(A1245,Planilha1!A:M,13,0)</f>
        <v>2511.8220480829059</v>
      </c>
      <c r="K1245" s="10">
        <f t="shared" si="38"/>
        <v>486.02370917737107</v>
      </c>
      <c r="L1245" s="10">
        <f t="shared" si="39"/>
        <v>357.49382451274232</v>
      </c>
    </row>
    <row r="1246" spans="1:12" x14ac:dyDescent="0.25">
      <c r="A1246" s="2">
        <v>0</v>
      </c>
      <c r="B1246" s="4">
        <v>18</v>
      </c>
      <c r="C1246" s="4">
        <v>21.4</v>
      </c>
      <c r="D1246" s="4">
        <v>0</v>
      </c>
      <c r="E1246" s="4" t="s">
        <v>11</v>
      </c>
      <c r="F1246" s="4" t="s">
        <v>12</v>
      </c>
      <c r="G1246" s="4" t="s">
        <v>13</v>
      </c>
      <c r="H1246" s="4">
        <v>1582.1007352793411</v>
      </c>
      <c r="I1246" s="4">
        <v>1861.2949826815786</v>
      </c>
      <c r="J1246" s="2">
        <f>VLOOKUP(A1246,Planilha1!A:M,13,0)</f>
        <v>2511.8220480829059</v>
      </c>
      <c r="K1246" s="10">
        <f t="shared" si="38"/>
        <v>929.72131280356484</v>
      </c>
      <c r="L1246" s="10">
        <f t="shared" si="39"/>
        <v>279.19424740223758</v>
      </c>
    </row>
    <row r="1247" spans="1:12" x14ac:dyDescent="0.25">
      <c r="A1247" s="2">
        <v>3</v>
      </c>
      <c r="B1247" s="4">
        <v>28</v>
      </c>
      <c r="C1247" s="4">
        <v>24.3</v>
      </c>
      <c r="D1247" s="4">
        <v>5</v>
      </c>
      <c r="E1247" s="4" t="s">
        <v>11</v>
      </c>
      <c r="F1247" s="4" t="s">
        <v>12</v>
      </c>
      <c r="G1247" s="4" t="s">
        <v>10</v>
      </c>
      <c r="H1247" s="4">
        <v>2480.7026106784474</v>
      </c>
      <c r="I1247" s="4">
        <v>3307.6034809045964</v>
      </c>
      <c r="J1247" s="2">
        <f>VLOOKUP(A1247,Planilha1!A:M,13,0)</f>
        <v>3049.3550806113421</v>
      </c>
      <c r="K1247" s="10">
        <f t="shared" si="38"/>
        <v>568.65246993289475</v>
      </c>
      <c r="L1247" s="10">
        <f t="shared" si="39"/>
        <v>826.90087022614898</v>
      </c>
    </row>
    <row r="1248" spans="1:12" x14ac:dyDescent="0.25">
      <c r="A1248" s="2">
        <v>3</v>
      </c>
      <c r="B1248" s="4">
        <v>45</v>
      </c>
      <c r="C1248" s="4">
        <v>25.7</v>
      </c>
      <c r="D1248" s="4">
        <v>3</v>
      </c>
      <c r="E1248" s="4" t="s">
        <v>8</v>
      </c>
      <c r="F1248" s="4" t="s">
        <v>12</v>
      </c>
      <c r="G1248" s="4" t="s">
        <v>10</v>
      </c>
      <c r="H1248" s="4">
        <v>1671.8129564381181</v>
      </c>
      <c r="I1248" s="4">
        <v>2229.0839419174908</v>
      </c>
      <c r="J1248" s="2">
        <f>VLOOKUP(A1248,Planilha1!A:M,13,0)</f>
        <v>3049.3550806113421</v>
      </c>
      <c r="K1248" s="10">
        <f t="shared" si="38"/>
        <v>1377.542124173224</v>
      </c>
      <c r="L1248" s="10">
        <f t="shared" si="39"/>
        <v>557.27098547937271</v>
      </c>
    </row>
    <row r="1249" spans="1:12" x14ac:dyDescent="0.25">
      <c r="A1249" s="2">
        <v>3</v>
      </c>
      <c r="B1249" s="4">
        <v>33</v>
      </c>
      <c r="C1249" s="4">
        <v>29.4</v>
      </c>
      <c r="D1249" s="4">
        <v>4</v>
      </c>
      <c r="E1249" s="4" t="s">
        <v>11</v>
      </c>
      <c r="F1249" s="4" t="s">
        <v>12</v>
      </c>
      <c r="G1249" s="4" t="s">
        <v>10</v>
      </c>
      <c r="H1249" s="4">
        <v>1704.8333101648452</v>
      </c>
      <c r="I1249" s="4">
        <v>2273.1110802197936</v>
      </c>
      <c r="J1249" s="2">
        <f>VLOOKUP(A1249,Planilha1!A:M,13,0)</f>
        <v>3049.3550806113421</v>
      </c>
      <c r="K1249" s="10">
        <f t="shared" si="38"/>
        <v>1344.5217704464969</v>
      </c>
      <c r="L1249" s="10">
        <f t="shared" si="39"/>
        <v>568.27777005494841</v>
      </c>
    </row>
    <row r="1250" spans="1:12" x14ac:dyDescent="0.25">
      <c r="A1250" s="2">
        <v>0</v>
      </c>
      <c r="B1250" s="4">
        <v>18</v>
      </c>
      <c r="C1250" s="4">
        <v>26</v>
      </c>
      <c r="D1250" s="4">
        <v>0</v>
      </c>
      <c r="E1250" s="4" t="s">
        <v>8</v>
      </c>
      <c r="F1250" s="4" t="s">
        <v>12</v>
      </c>
      <c r="G1250" s="4" t="s">
        <v>13</v>
      </c>
      <c r="H1250" s="4">
        <v>1901.6744429442617</v>
      </c>
      <c r="I1250" s="4">
        <v>2237.2640505226618</v>
      </c>
      <c r="J1250" s="2">
        <f>VLOOKUP(A1250,Planilha1!A:M,13,0)</f>
        <v>2511.8220480829059</v>
      </c>
      <c r="K1250" s="10">
        <f t="shared" si="38"/>
        <v>610.14760513864417</v>
      </c>
      <c r="L1250" s="10">
        <f t="shared" si="39"/>
        <v>335.58960757840009</v>
      </c>
    </row>
    <row r="1251" spans="1:12" x14ac:dyDescent="0.25">
      <c r="A1251" s="2">
        <v>2</v>
      </c>
      <c r="B1251" s="4">
        <v>32</v>
      </c>
      <c r="C1251" s="4">
        <v>21.7</v>
      </c>
      <c r="D1251" s="4">
        <v>1</v>
      </c>
      <c r="E1251" s="4" t="s">
        <v>11</v>
      </c>
      <c r="F1251" s="4" t="s">
        <v>9</v>
      </c>
      <c r="G1251" s="4" t="s">
        <v>15</v>
      </c>
      <c r="H1251" s="4">
        <v>1772.1820376624241</v>
      </c>
      <c r="I1251" s="4">
        <v>2084.9200443087352</v>
      </c>
      <c r="J1251" s="2">
        <f>VLOOKUP(A1251,Planilha1!A:M,13,0)</f>
        <v>3220.2324129890262</v>
      </c>
      <c r="K1251" s="10">
        <f t="shared" si="38"/>
        <v>1448.0503753266021</v>
      </c>
      <c r="L1251" s="10">
        <f t="shared" si="39"/>
        <v>312.73800664631108</v>
      </c>
    </row>
    <row r="1252" spans="1:12" x14ac:dyDescent="0.25">
      <c r="A1252" s="2">
        <v>2</v>
      </c>
      <c r="B1252" s="4">
        <v>24</v>
      </c>
      <c r="C1252" s="4">
        <v>25.5</v>
      </c>
      <c r="D1252" s="4">
        <v>0</v>
      </c>
      <c r="E1252" s="4" t="s">
        <v>11</v>
      </c>
      <c r="F1252" s="4" t="s">
        <v>9</v>
      </c>
      <c r="G1252" s="4" t="s">
        <v>15</v>
      </c>
      <c r="H1252" s="4">
        <v>1867.2030239150915</v>
      </c>
      <c r="I1252" s="4">
        <v>2196.7094399001085</v>
      </c>
      <c r="J1252" s="2">
        <f>VLOOKUP(A1252,Planilha1!A:M,13,0)</f>
        <v>3220.2324129890262</v>
      </c>
      <c r="K1252" s="10">
        <f t="shared" si="38"/>
        <v>1353.0293890739347</v>
      </c>
      <c r="L1252" s="10">
        <f t="shared" si="39"/>
        <v>329.50641598501693</v>
      </c>
    </row>
    <row r="1253" spans="1:12" x14ac:dyDescent="0.25">
      <c r="A1253" s="2">
        <v>0</v>
      </c>
      <c r="B1253" s="4">
        <v>19</v>
      </c>
      <c r="C1253" s="4">
        <v>25.5</v>
      </c>
      <c r="D1253" s="4">
        <v>0</v>
      </c>
      <c r="E1253" s="4" t="s">
        <v>11</v>
      </c>
      <c r="F1253" s="4" t="s">
        <v>12</v>
      </c>
      <c r="G1253" s="4" t="s">
        <v>10</v>
      </c>
      <c r="H1253" s="4">
        <v>1802.6059633059999</v>
      </c>
      <c r="I1253" s="4">
        <v>2120.7128980070593</v>
      </c>
      <c r="J1253" s="2">
        <f>VLOOKUP(A1253,Planilha1!A:M,13,0)</f>
        <v>2511.8220480829059</v>
      </c>
      <c r="K1253" s="10">
        <f t="shared" si="38"/>
        <v>709.21608477690597</v>
      </c>
      <c r="L1253" s="10">
        <f t="shared" si="39"/>
        <v>318.10693470105934</v>
      </c>
    </row>
    <row r="1254" spans="1:12" x14ac:dyDescent="0.25">
      <c r="A1254" s="2">
        <v>2</v>
      </c>
      <c r="B1254" s="4">
        <v>20</v>
      </c>
      <c r="C1254" s="4">
        <v>20.6</v>
      </c>
      <c r="D1254" s="4">
        <v>0</v>
      </c>
      <c r="E1254" s="4" t="s">
        <v>11</v>
      </c>
      <c r="F1254" s="4" t="s">
        <v>9</v>
      </c>
      <c r="G1254" s="4" t="s">
        <v>10</v>
      </c>
      <c r="H1254" s="4">
        <v>1696.2541618961693</v>
      </c>
      <c r="I1254" s="4">
        <v>1995.5931316425529</v>
      </c>
      <c r="J1254" s="2">
        <f>VLOOKUP(A1254,Planilha1!A:M,13,0)</f>
        <v>3220.2324129890262</v>
      </c>
      <c r="K1254" s="10">
        <f t="shared" si="38"/>
        <v>1523.9782510928569</v>
      </c>
      <c r="L1254" s="10">
        <f t="shared" si="39"/>
        <v>299.33896974638355</v>
      </c>
    </row>
    <row r="1255" spans="1:12" x14ac:dyDescent="0.25">
      <c r="A1255" s="2">
        <v>3</v>
      </c>
      <c r="B1255" s="4">
        <v>40</v>
      </c>
      <c r="C1255" s="4">
        <v>29.3</v>
      </c>
      <c r="D1255" s="4">
        <v>4</v>
      </c>
      <c r="E1255" s="4" t="s">
        <v>8</v>
      </c>
      <c r="F1255" s="4" t="s">
        <v>12</v>
      </c>
      <c r="G1255" s="4" t="s">
        <v>10</v>
      </c>
      <c r="H1255" s="4">
        <v>2282.8907700958707</v>
      </c>
      <c r="I1255" s="4">
        <v>3043.8543601278279</v>
      </c>
      <c r="J1255" s="2">
        <f>VLOOKUP(A1255,Planilha1!A:M,13,0)</f>
        <v>3049.3550806113421</v>
      </c>
      <c r="K1255" s="10">
        <f t="shared" si="38"/>
        <v>766.46431051547142</v>
      </c>
      <c r="L1255" s="10">
        <f t="shared" si="39"/>
        <v>760.96359003195721</v>
      </c>
    </row>
    <row r="1256" spans="1:12" x14ac:dyDescent="0.25">
      <c r="A1256" s="2">
        <v>0</v>
      </c>
      <c r="B1256" s="4">
        <v>34</v>
      </c>
      <c r="C1256" s="4">
        <v>22.4</v>
      </c>
      <c r="D1256" s="4">
        <v>0</v>
      </c>
      <c r="E1256" s="4" t="s">
        <v>8</v>
      </c>
      <c r="F1256" s="4" t="s">
        <v>12</v>
      </c>
      <c r="G1256" s="4" t="s">
        <v>13</v>
      </c>
      <c r="H1256" s="4">
        <v>1667.112915142684</v>
      </c>
      <c r="I1256" s="4">
        <v>1961.3093119325702</v>
      </c>
      <c r="J1256" s="2">
        <f>VLOOKUP(A1256,Planilha1!A:M,13,0)</f>
        <v>2511.8220480829059</v>
      </c>
      <c r="K1256" s="10">
        <f t="shared" si="38"/>
        <v>844.70913294022193</v>
      </c>
      <c r="L1256" s="10">
        <f t="shared" si="39"/>
        <v>294.19639678988619</v>
      </c>
    </row>
    <row r="1257" spans="1:12" x14ac:dyDescent="0.25">
      <c r="A1257" s="2">
        <v>1</v>
      </c>
      <c r="B1257" s="4">
        <v>42</v>
      </c>
      <c r="C1257" s="4">
        <v>37.9</v>
      </c>
      <c r="D1257" s="4">
        <v>0</v>
      </c>
      <c r="E1257" s="4" t="s">
        <v>8</v>
      </c>
      <c r="F1257" s="4" t="s">
        <v>12</v>
      </c>
      <c r="G1257" s="4" t="s">
        <v>10</v>
      </c>
      <c r="H1257" s="4">
        <v>5256.3938820431167</v>
      </c>
      <c r="I1257" s="4">
        <v>5006.0894114696357</v>
      </c>
      <c r="J1257" s="2">
        <f>VLOOKUP(A1257,Planilha1!A:M,13,0)</f>
        <v>6326.3485212104815</v>
      </c>
      <c r="K1257" s="10">
        <f t="shared" si="38"/>
        <v>1069.9546391673648</v>
      </c>
      <c r="L1257" s="10">
        <f t="shared" si="39"/>
        <v>-250.30447057348101</v>
      </c>
    </row>
    <row r="1258" spans="1:12" x14ac:dyDescent="0.25">
      <c r="A1258" s="2">
        <v>3</v>
      </c>
      <c r="B1258" s="4">
        <v>51</v>
      </c>
      <c r="C1258" s="4">
        <v>36.4</v>
      </c>
      <c r="D1258" s="4">
        <v>3</v>
      </c>
      <c r="E1258" s="4" t="s">
        <v>8</v>
      </c>
      <c r="F1258" s="4" t="s">
        <v>12</v>
      </c>
      <c r="G1258" s="4" t="s">
        <v>14</v>
      </c>
      <c r="H1258" s="4">
        <v>1378.0200245154804</v>
      </c>
      <c r="I1258" s="4">
        <v>1837.3600326873072</v>
      </c>
      <c r="J1258" s="2">
        <f>VLOOKUP(A1258,Planilha1!A:M,13,0)</f>
        <v>3049.3550806113421</v>
      </c>
      <c r="K1258" s="10">
        <f t="shared" si="38"/>
        <v>1671.3350560958618</v>
      </c>
      <c r="L1258" s="10">
        <f t="shared" si="39"/>
        <v>459.34000817182687</v>
      </c>
    </row>
    <row r="1259" spans="1:12" x14ac:dyDescent="0.25">
      <c r="A1259" s="2">
        <v>1</v>
      </c>
      <c r="B1259" s="4">
        <v>54</v>
      </c>
      <c r="C1259" s="4">
        <v>27.6</v>
      </c>
      <c r="D1259" s="4">
        <v>1</v>
      </c>
      <c r="E1259" s="4" t="s">
        <v>8</v>
      </c>
      <c r="F1259" s="4" t="s">
        <v>12</v>
      </c>
      <c r="G1259" s="4" t="s">
        <v>14</v>
      </c>
      <c r="H1259" s="4">
        <v>4483.4063400766518</v>
      </c>
      <c r="I1259" s="4">
        <v>4269.910800073003</v>
      </c>
      <c r="J1259" s="2">
        <f>VLOOKUP(A1259,Planilha1!A:M,13,0)</f>
        <v>6326.3485212104815</v>
      </c>
      <c r="K1259" s="10">
        <f t="shared" si="38"/>
        <v>1842.9421811338298</v>
      </c>
      <c r="L1259" s="10">
        <f t="shared" si="39"/>
        <v>-213.49554000364878</v>
      </c>
    </row>
    <row r="1260" spans="1:12" x14ac:dyDescent="0.25">
      <c r="A1260" s="2">
        <v>3</v>
      </c>
      <c r="B1260" s="4">
        <v>55</v>
      </c>
      <c r="C1260" s="4">
        <v>37.700000000000003</v>
      </c>
      <c r="D1260" s="4">
        <v>3</v>
      </c>
      <c r="E1260" s="4" t="s">
        <v>11</v>
      </c>
      <c r="F1260" s="4" t="s">
        <v>12</v>
      </c>
      <c r="G1260" s="4" t="s">
        <v>14</v>
      </c>
      <c r="H1260" s="4">
        <v>3218.1975594007763</v>
      </c>
      <c r="I1260" s="4">
        <v>4290.9300792010354</v>
      </c>
      <c r="J1260" s="2">
        <f>VLOOKUP(A1260,Planilha1!A:M,13,0)</f>
        <v>3049.3550806113421</v>
      </c>
      <c r="K1260" s="10">
        <f t="shared" si="38"/>
        <v>-168.84247878943415</v>
      </c>
      <c r="L1260" s="10">
        <f t="shared" si="39"/>
        <v>1072.7325198002591</v>
      </c>
    </row>
    <row r="1261" spans="1:12" x14ac:dyDescent="0.25">
      <c r="A1261" s="2">
        <v>1</v>
      </c>
      <c r="B1261" s="4">
        <v>52</v>
      </c>
      <c r="C1261" s="4">
        <v>23.2</v>
      </c>
      <c r="D1261" s="4">
        <v>0</v>
      </c>
      <c r="E1261" s="4" t="s">
        <v>8</v>
      </c>
      <c r="F1261" s="4" t="s">
        <v>12</v>
      </c>
      <c r="G1261" s="4" t="s">
        <v>15</v>
      </c>
      <c r="H1261" s="4">
        <v>4002.0483300688602</v>
      </c>
      <c r="I1261" s="4">
        <v>3811.4746000655828</v>
      </c>
      <c r="J1261" s="2">
        <f>VLOOKUP(A1261,Planilha1!A:M,13,0)</f>
        <v>6326.3485212104815</v>
      </c>
      <c r="K1261" s="10">
        <f t="shared" si="38"/>
        <v>2324.3001911416213</v>
      </c>
      <c r="L1261" s="10">
        <f t="shared" si="39"/>
        <v>-190.57373000327743</v>
      </c>
    </row>
    <row r="1262" spans="1:12" x14ac:dyDescent="0.25">
      <c r="A1262" s="2">
        <v>0</v>
      </c>
      <c r="B1262" s="4">
        <v>32</v>
      </c>
      <c r="C1262" s="4">
        <v>24.2</v>
      </c>
      <c r="D1262" s="4">
        <v>0</v>
      </c>
      <c r="E1262" s="4" t="s">
        <v>8</v>
      </c>
      <c r="F1262" s="4" t="s">
        <v>12</v>
      </c>
      <c r="G1262" s="4" t="s">
        <v>15</v>
      </c>
      <c r="H1262" s="4">
        <v>1796.0321970090831</v>
      </c>
      <c r="I1262" s="4">
        <v>2112.9790553048042</v>
      </c>
      <c r="J1262" s="2">
        <f>VLOOKUP(A1262,Planilha1!A:M,13,0)</f>
        <v>2511.8220480829059</v>
      </c>
      <c r="K1262" s="10">
        <f t="shared" si="38"/>
        <v>715.78985107382277</v>
      </c>
      <c r="L1262" s="10">
        <f t="shared" si="39"/>
        <v>316.94685829572109</v>
      </c>
    </row>
    <row r="1263" spans="1:12" x14ac:dyDescent="0.25">
      <c r="A1263" s="2">
        <v>0</v>
      </c>
      <c r="B1263" s="4">
        <v>28</v>
      </c>
      <c r="C1263" s="4">
        <v>23.9</v>
      </c>
      <c r="D1263" s="4">
        <v>1</v>
      </c>
      <c r="E1263" s="4" t="s">
        <v>11</v>
      </c>
      <c r="F1263" s="4" t="s">
        <v>12</v>
      </c>
      <c r="G1263" s="4" t="s">
        <v>10</v>
      </c>
      <c r="H1263" s="4">
        <v>1950.2814419891849</v>
      </c>
      <c r="I1263" s="4">
        <v>2294.4487552813944</v>
      </c>
      <c r="J1263" s="2">
        <f>VLOOKUP(A1263,Planilha1!A:M,13,0)</f>
        <v>2511.8220480829059</v>
      </c>
      <c r="K1263" s="10">
        <f t="shared" si="38"/>
        <v>561.54060609372095</v>
      </c>
      <c r="L1263" s="10">
        <f t="shared" si="39"/>
        <v>344.16731329220943</v>
      </c>
    </row>
    <row r="1264" spans="1:12" x14ac:dyDescent="0.25">
      <c r="A1264" s="2">
        <v>1</v>
      </c>
      <c r="B1264" s="4">
        <v>41</v>
      </c>
      <c r="C1264" s="4">
        <v>28.1</v>
      </c>
      <c r="D1264" s="4">
        <v>1</v>
      </c>
      <c r="E1264" s="4" t="s">
        <v>8</v>
      </c>
      <c r="F1264" s="4" t="s">
        <v>12</v>
      </c>
      <c r="G1264" s="4" t="s">
        <v>13</v>
      </c>
      <c r="H1264" s="4">
        <v>4531.051888680583</v>
      </c>
      <c r="I1264" s="4">
        <v>4315.2875130291286</v>
      </c>
      <c r="J1264" s="2">
        <f>VLOOKUP(A1264,Planilha1!A:M,13,0)</f>
        <v>6326.3485212104815</v>
      </c>
      <c r="K1264" s="10">
        <f t="shared" si="38"/>
        <v>1795.2966325298985</v>
      </c>
      <c r="L1264" s="10">
        <f t="shared" si="39"/>
        <v>-215.76437565145443</v>
      </c>
    </row>
    <row r="1265" spans="1:12" x14ac:dyDescent="0.25">
      <c r="A1265" s="2">
        <v>1</v>
      </c>
      <c r="B1265" s="4">
        <v>43</v>
      </c>
      <c r="C1265" s="4">
        <v>29.9</v>
      </c>
      <c r="D1265" s="4">
        <v>1</v>
      </c>
      <c r="E1265" s="4" t="s">
        <v>8</v>
      </c>
      <c r="F1265" s="4" t="s">
        <v>12</v>
      </c>
      <c r="G1265" s="4" t="s">
        <v>10</v>
      </c>
      <c r="H1265" s="4">
        <v>5470.2585805715207</v>
      </c>
      <c r="I1265" s="4">
        <v>5209.7700767347833</v>
      </c>
      <c r="J1265" s="2">
        <f>VLOOKUP(A1265,Planilha1!A:M,13,0)</f>
        <v>6326.3485212104815</v>
      </c>
      <c r="K1265" s="10">
        <f t="shared" si="38"/>
        <v>856.0899406389608</v>
      </c>
      <c r="L1265" s="10">
        <f t="shared" si="39"/>
        <v>-260.48850383673744</v>
      </c>
    </row>
    <row r="1266" spans="1:12" x14ac:dyDescent="0.25">
      <c r="A1266" s="2">
        <v>3</v>
      </c>
      <c r="B1266" s="4">
        <v>49</v>
      </c>
      <c r="C1266" s="4">
        <v>33.299999999999997</v>
      </c>
      <c r="D1266" s="4">
        <v>2</v>
      </c>
      <c r="E1266" s="4" t="s">
        <v>8</v>
      </c>
      <c r="F1266" s="4" t="s">
        <v>12</v>
      </c>
      <c r="G1266" s="4" t="s">
        <v>15</v>
      </c>
      <c r="H1266" s="4">
        <v>2940.2828070675068</v>
      </c>
      <c r="I1266" s="4">
        <v>3920.3770760900093</v>
      </c>
      <c r="J1266" s="2">
        <f>VLOOKUP(A1266,Planilha1!A:M,13,0)</f>
        <v>3049.3550806113421</v>
      </c>
      <c r="K1266" s="10">
        <f t="shared" si="38"/>
        <v>109.07227354383531</v>
      </c>
      <c r="L1266" s="10">
        <f t="shared" si="39"/>
        <v>980.09426902250243</v>
      </c>
    </row>
    <row r="1267" spans="1:12" x14ac:dyDescent="0.25">
      <c r="A1267" s="2">
        <v>2</v>
      </c>
      <c r="B1267" s="4">
        <v>64</v>
      </c>
      <c r="C1267" s="4">
        <v>23.8</v>
      </c>
      <c r="D1267" s="4">
        <v>0</v>
      </c>
      <c r="E1267" s="4" t="s">
        <v>11</v>
      </c>
      <c r="F1267" s="4" t="s">
        <v>9</v>
      </c>
      <c r="G1267" s="4" t="s">
        <v>13</v>
      </c>
      <c r="H1267" s="4">
        <v>3840.0645448038185</v>
      </c>
      <c r="I1267" s="4">
        <v>3657.2043283845906</v>
      </c>
      <c r="J1267" s="2">
        <f>VLOOKUP(A1267,Planilha1!A:M,13,0)</f>
        <v>3220.2324129890262</v>
      </c>
      <c r="K1267" s="10">
        <f t="shared" si="38"/>
        <v>-619.83213181479232</v>
      </c>
      <c r="L1267" s="10">
        <f t="shared" si="39"/>
        <v>-182.86021641922798</v>
      </c>
    </row>
    <row r="1268" spans="1:12" x14ac:dyDescent="0.25">
      <c r="A1268" s="2">
        <v>1</v>
      </c>
      <c r="B1268" s="4">
        <v>55</v>
      </c>
      <c r="C1268" s="4">
        <v>30.5</v>
      </c>
      <c r="D1268" s="4">
        <v>0</v>
      </c>
      <c r="E1268" s="4" t="s">
        <v>8</v>
      </c>
      <c r="F1268" s="4" t="s">
        <v>12</v>
      </c>
      <c r="G1268" s="4" t="s">
        <v>10</v>
      </c>
      <c r="H1268" s="4">
        <v>5106.2317807826648</v>
      </c>
      <c r="I1268" s="4">
        <v>4863.0778864596823</v>
      </c>
      <c r="J1268" s="2">
        <f>VLOOKUP(A1268,Planilha1!A:M,13,0)</f>
        <v>6326.3485212104815</v>
      </c>
      <c r="K1268" s="10">
        <f t="shared" si="38"/>
        <v>1220.1167404278167</v>
      </c>
      <c r="L1268" s="10">
        <f t="shared" si="39"/>
        <v>-243.15389432298252</v>
      </c>
    </row>
    <row r="1269" spans="1:12" x14ac:dyDescent="0.25">
      <c r="A1269" s="2">
        <v>2</v>
      </c>
      <c r="B1269" s="4">
        <v>24</v>
      </c>
      <c r="C1269" s="4">
        <v>23.2</v>
      </c>
      <c r="D1269" s="4">
        <v>0</v>
      </c>
      <c r="E1269" s="4" t="s">
        <v>11</v>
      </c>
      <c r="F1269" s="4" t="s">
        <v>9</v>
      </c>
      <c r="G1269" s="4" t="s">
        <v>15</v>
      </c>
      <c r="H1269" s="4">
        <v>1572.6805246042024</v>
      </c>
      <c r="I1269" s="4">
        <v>1850.2123818872976</v>
      </c>
      <c r="J1269" s="2">
        <f>VLOOKUP(A1269,Planilha1!A:M,13,0)</f>
        <v>3220.2324129890262</v>
      </c>
      <c r="K1269" s="10">
        <f t="shared" si="38"/>
        <v>1647.5518883848238</v>
      </c>
      <c r="L1269" s="10">
        <f t="shared" si="39"/>
        <v>277.53185728309518</v>
      </c>
    </row>
    <row r="1270" spans="1:12" x14ac:dyDescent="0.25">
      <c r="A1270" s="2">
        <v>0</v>
      </c>
      <c r="B1270" s="4">
        <v>20</v>
      </c>
      <c r="C1270" s="4">
        <v>25.4</v>
      </c>
      <c r="D1270" s="4">
        <v>0</v>
      </c>
      <c r="E1270" s="4" t="s">
        <v>8</v>
      </c>
      <c r="F1270" s="4" t="s">
        <v>12</v>
      </c>
      <c r="G1270" s="4" t="s">
        <v>10</v>
      </c>
      <c r="H1270" s="4">
        <v>1605.0955086742042</v>
      </c>
      <c r="I1270" s="4">
        <v>1888.3476572637703</v>
      </c>
      <c r="J1270" s="2">
        <f>VLOOKUP(A1270,Planilha1!A:M,13,0)</f>
        <v>2511.8220480829059</v>
      </c>
      <c r="K1270" s="10">
        <f t="shared" si="38"/>
        <v>906.72653940870168</v>
      </c>
      <c r="L1270" s="10">
        <f t="shared" si="39"/>
        <v>283.2521485895661</v>
      </c>
    </row>
    <row r="1271" spans="1:12" x14ac:dyDescent="0.25">
      <c r="A1271" s="2">
        <v>3</v>
      </c>
      <c r="B1271" s="4">
        <v>45</v>
      </c>
      <c r="C1271" s="4">
        <v>27.5</v>
      </c>
      <c r="D1271" s="4">
        <v>3</v>
      </c>
      <c r="E1271" s="4" t="s">
        <v>11</v>
      </c>
      <c r="F1271" s="4" t="s">
        <v>12</v>
      </c>
      <c r="G1271" s="4" t="s">
        <v>10</v>
      </c>
      <c r="H1271" s="4">
        <v>2935.0010525239868</v>
      </c>
      <c r="I1271" s="4">
        <v>3913.3347366986491</v>
      </c>
      <c r="J1271" s="2">
        <f>VLOOKUP(A1271,Planilha1!A:M,13,0)</f>
        <v>3049.3550806113421</v>
      </c>
      <c r="K1271" s="10">
        <f t="shared" si="38"/>
        <v>114.35402808735535</v>
      </c>
      <c r="L1271" s="10">
        <f t="shared" si="39"/>
        <v>978.33368417466227</v>
      </c>
    </row>
    <row r="1272" spans="1:12" x14ac:dyDescent="0.25">
      <c r="A1272" s="2">
        <v>0</v>
      </c>
      <c r="B1272" s="4">
        <v>26</v>
      </c>
      <c r="C1272" s="4">
        <v>22.7</v>
      </c>
      <c r="D1272" s="4">
        <v>1</v>
      </c>
      <c r="E1272" s="4" t="s">
        <v>11</v>
      </c>
      <c r="F1272" s="4" t="s">
        <v>12</v>
      </c>
      <c r="G1272" s="4" t="s">
        <v>14</v>
      </c>
      <c r="H1272" s="4">
        <v>1848.5103218611544</v>
      </c>
      <c r="I1272" s="4">
        <v>2174.7180257190057</v>
      </c>
      <c r="J1272" s="2">
        <f>VLOOKUP(A1272,Planilha1!A:M,13,0)</f>
        <v>2511.8220480829059</v>
      </c>
      <c r="K1272" s="10">
        <f t="shared" si="38"/>
        <v>663.31172622175154</v>
      </c>
      <c r="L1272" s="10">
        <f t="shared" si="39"/>
        <v>326.20770385785136</v>
      </c>
    </row>
    <row r="1273" spans="1:12" x14ac:dyDescent="0.25">
      <c r="A1273" s="2">
        <v>0</v>
      </c>
      <c r="B1273" s="4">
        <v>25</v>
      </c>
      <c r="C1273" s="4">
        <v>24.2</v>
      </c>
      <c r="D1273" s="4">
        <v>0</v>
      </c>
      <c r="E1273" s="4" t="s">
        <v>8</v>
      </c>
      <c r="F1273" s="4" t="s">
        <v>12</v>
      </c>
      <c r="G1273" s="4" t="s">
        <v>14</v>
      </c>
      <c r="H1273" s="4">
        <v>1912.2199961342476</v>
      </c>
      <c r="I1273" s="4">
        <v>2249.6705836873507</v>
      </c>
      <c r="J1273" s="2">
        <f>VLOOKUP(A1273,Planilha1!A:M,13,0)</f>
        <v>2511.8220480829059</v>
      </c>
      <c r="K1273" s="10">
        <f t="shared" si="38"/>
        <v>599.6020519486583</v>
      </c>
      <c r="L1273" s="10">
        <f t="shared" si="39"/>
        <v>337.45058755310311</v>
      </c>
    </row>
    <row r="1274" spans="1:12" x14ac:dyDescent="0.25">
      <c r="A1274" s="2">
        <v>3</v>
      </c>
      <c r="B1274" s="4">
        <v>43</v>
      </c>
      <c r="C1274" s="4">
        <v>25.5</v>
      </c>
      <c r="D1274" s="4">
        <v>5</v>
      </c>
      <c r="E1274" s="4" t="s">
        <v>11</v>
      </c>
      <c r="F1274" s="4" t="s">
        <v>12</v>
      </c>
      <c r="G1274" s="4" t="s">
        <v>13</v>
      </c>
      <c r="H1274" s="4">
        <v>2947.2770989008072</v>
      </c>
      <c r="I1274" s="4">
        <v>3929.7027985344098</v>
      </c>
      <c r="J1274" s="2">
        <f>VLOOKUP(A1274,Planilha1!A:M,13,0)</f>
        <v>3049.3550806113421</v>
      </c>
      <c r="K1274" s="10">
        <f t="shared" si="38"/>
        <v>102.07798171053491</v>
      </c>
      <c r="L1274" s="10">
        <f t="shared" si="39"/>
        <v>982.42569963360256</v>
      </c>
    </row>
    <row r="1275" spans="1:12" x14ac:dyDescent="0.25">
      <c r="A1275" s="2">
        <v>0</v>
      </c>
      <c r="B1275" s="4">
        <v>35</v>
      </c>
      <c r="C1275" s="4">
        <v>25.2</v>
      </c>
      <c r="D1275" s="4">
        <v>1</v>
      </c>
      <c r="E1275" s="4" t="s">
        <v>11</v>
      </c>
      <c r="F1275" s="4" t="s">
        <v>12</v>
      </c>
      <c r="G1275" s="4" t="s">
        <v>13</v>
      </c>
      <c r="H1275" s="4">
        <v>1727.566067495201</v>
      </c>
      <c r="I1275" s="4">
        <v>2032.4306676414135</v>
      </c>
      <c r="J1275" s="2">
        <f>VLOOKUP(A1275,Planilha1!A:M,13,0)</f>
        <v>2511.8220480829059</v>
      </c>
      <c r="K1275" s="10">
        <f t="shared" si="38"/>
        <v>784.25598058770493</v>
      </c>
      <c r="L1275" s="10">
        <f t="shared" si="39"/>
        <v>304.86460014621252</v>
      </c>
    </row>
    <row r="1276" spans="1:12" x14ac:dyDescent="0.25">
      <c r="A1276" s="2">
        <v>2</v>
      </c>
      <c r="B1276" s="4">
        <v>26</v>
      </c>
      <c r="C1276" s="4">
        <v>20.5</v>
      </c>
      <c r="D1276" s="4">
        <v>0</v>
      </c>
      <c r="E1276" s="4" t="s">
        <v>11</v>
      </c>
      <c r="F1276" s="4" t="s">
        <v>9</v>
      </c>
      <c r="G1276" s="4" t="s">
        <v>13</v>
      </c>
      <c r="H1276" s="4">
        <v>1561.9941246023066</v>
      </c>
      <c r="I1276" s="4">
        <v>1837.6401465909498</v>
      </c>
      <c r="J1276" s="2">
        <f>VLOOKUP(A1276,Planilha1!A:M,13,0)</f>
        <v>3220.2324129890262</v>
      </c>
      <c r="K1276" s="10">
        <f t="shared" si="38"/>
        <v>1658.2382883867197</v>
      </c>
      <c r="L1276" s="10">
        <f t="shared" si="39"/>
        <v>275.64602198864327</v>
      </c>
    </row>
    <row r="1277" spans="1:12" x14ac:dyDescent="0.25">
      <c r="A1277" s="2">
        <v>1</v>
      </c>
      <c r="B1277" s="4">
        <v>57</v>
      </c>
      <c r="C1277" s="4">
        <v>23.7</v>
      </c>
      <c r="D1277" s="4">
        <v>0</v>
      </c>
      <c r="E1277" s="4" t="s">
        <v>11</v>
      </c>
      <c r="F1277" s="4" t="s">
        <v>12</v>
      </c>
      <c r="G1277" s="4" t="s">
        <v>10</v>
      </c>
      <c r="H1277" s="4">
        <v>5971.4341003683003</v>
      </c>
      <c r="I1277" s="4">
        <v>5687.080095588859</v>
      </c>
      <c r="J1277" s="2">
        <f>VLOOKUP(A1277,Planilha1!A:M,13,0)</f>
        <v>6326.3485212104815</v>
      </c>
      <c r="K1277" s="10">
        <f t="shared" si="38"/>
        <v>354.91442084218124</v>
      </c>
      <c r="L1277" s="10">
        <f t="shared" si="39"/>
        <v>-284.35400477944131</v>
      </c>
    </row>
    <row r="1278" spans="1:12" x14ac:dyDescent="0.25">
      <c r="A1278" s="2">
        <v>0</v>
      </c>
      <c r="B1278" s="4">
        <v>22</v>
      </c>
      <c r="C1278" s="4">
        <v>23.1</v>
      </c>
      <c r="D1278" s="4">
        <v>0</v>
      </c>
      <c r="E1278" s="4" t="s">
        <v>8</v>
      </c>
      <c r="F1278" s="4" t="s">
        <v>12</v>
      </c>
      <c r="G1278" s="4" t="s">
        <v>15</v>
      </c>
      <c r="H1278" s="4">
        <v>2266.1935681554864</v>
      </c>
      <c r="I1278" s="4">
        <v>2666.1100801829257</v>
      </c>
      <c r="J1278" s="2">
        <f>VLOOKUP(A1278,Planilha1!A:M,13,0)</f>
        <v>2511.8220480829059</v>
      </c>
      <c r="K1278" s="10">
        <f t="shared" si="38"/>
        <v>245.62847992741945</v>
      </c>
      <c r="L1278" s="10">
        <f t="shared" si="39"/>
        <v>399.91651202743924</v>
      </c>
    </row>
    <row r="1279" spans="1:12" x14ac:dyDescent="0.25">
      <c r="A1279" s="2">
        <v>0</v>
      </c>
      <c r="B1279" s="4">
        <v>32</v>
      </c>
      <c r="C1279" s="4">
        <v>22.8</v>
      </c>
      <c r="D1279" s="4">
        <v>0</v>
      </c>
      <c r="E1279" s="4" t="s">
        <v>8</v>
      </c>
      <c r="F1279" s="4" t="s">
        <v>12</v>
      </c>
      <c r="G1279" s="4" t="s">
        <v>14</v>
      </c>
      <c r="H1279" s="4">
        <v>1654.2634890991922</v>
      </c>
      <c r="I1279" s="4">
        <v>1946.1923401166973</v>
      </c>
      <c r="J1279" s="2">
        <f>VLOOKUP(A1279,Planilha1!A:M,13,0)</f>
        <v>2511.8220480829059</v>
      </c>
      <c r="K1279" s="10">
        <f t="shared" si="38"/>
        <v>857.55855898371374</v>
      </c>
      <c r="L1279" s="10">
        <f t="shared" si="39"/>
        <v>291.92885101750517</v>
      </c>
    </row>
    <row r="1280" spans="1:12" x14ac:dyDescent="0.25">
      <c r="A1280" s="2">
        <v>2</v>
      </c>
      <c r="B1280" s="4">
        <v>39</v>
      </c>
      <c r="C1280" s="4">
        <v>23.8</v>
      </c>
      <c r="D1280" s="4">
        <v>1</v>
      </c>
      <c r="E1280" s="4" t="s">
        <v>11</v>
      </c>
      <c r="F1280" s="4" t="s">
        <v>9</v>
      </c>
      <c r="G1280" s="4" t="s">
        <v>15</v>
      </c>
      <c r="H1280" s="4">
        <v>1703.8473752789525</v>
      </c>
      <c r="I1280" s="4">
        <v>2004.5263238575922</v>
      </c>
      <c r="J1280" s="2">
        <f>VLOOKUP(A1280,Planilha1!A:M,13,0)</f>
        <v>3220.2324129890262</v>
      </c>
      <c r="K1280" s="10">
        <f t="shared" si="38"/>
        <v>1516.3850377100737</v>
      </c>
      <c r="L1280" s="10">
        <f t="shared" si="39"/>
        <v>300.67894857863962</v>
      </c>
    </row>
    <row r="1281" spans="1:12" x14ac:dyDescent="0.25">
      <c r="A1281" s="2">
        <v>0</v>
      </c>
      <c r="B1281" s="4">
        <v>25</v>
      </c>
      <c r="C1281" s="4">
        <v>22.4</v>
      </c>
      <c r="D1281" s="4">
        <v>2</v>
      </c>
      <c r="E1281" s="4" t="s">
        <v>8</v>
      </c>
      <c r="F1281" s="4" t="s">
        <v>12</v>
      </c>
      <c r="G1281" s="4" t="s">
        <v>14</v>
      </c>
      <c r="H1281" s="4">
        <v>1495.9110486863713</v>
      </c>
      <c r="I1281" s="4">
        <v>1759.8953513957317</v>
      </c>
      <c r="J1281" s="2">
        <f>VLOOKUP(A1281,Planilha1!A:M,13,0)</f>
        <v>2511.8220480829059</v>
      </c>
      <c r="K1281" s="10">
        <f t="shared" si="38"/>
        <v>1015.9109993965346</v>
      </c>
      <c r="L1281" s="10">
        <f t="shared" si="39"/>
        <v>263.98430270936046</v>
      </c>
    </row>
    <row r="1282" spans="1:12" x14ac:dyDescent="0.25">
      <c r="A1282" s="2">
        <v>1</v>
      </c>
      <c r="B1282" s="4">
        <v>48</v>
      </c>
      <c r="C1282" s="4">
        <v>33.299999999999997</v>
      </c>
      <c r="D1282" s="4">
        <v>0</v>
      </c>
      <c r="E1282" s="4" t="s">
        <v>8</v>
      </c>
      <c r="F1282" s="4" t="s">
        <v>12</v>
      </c>
      <c r="G1282" s="4" t="s">
        <v>13</v>
      </c>
      <c r="H1282" s="4">
        <v>5526.7870087418278</v>
      </c>
      <c r="I1282" s="4">
        <v>5263.6066749922184</v>
      </c>
      <c r="J1282" s="2">
        <f>VLOOKUP(A1282,Planilha1!A:M,13,0)</f>
        <v>6326.3485212104815</v>
      </c>
      <c r="K1282" s="10">
        <f t="shared" si="38"/>
        <v>799.56151246865375</v>
      </c>
      <c r="L1282" s="10">
        <f t="shared" si="39"/>
        <v>-263.18033374960942</v>
      </c>
    </row>
    <row r="1283" spans="1:12" x14ac:dyDescent="0.25">
      <c r="A1283" s="2">
        <v>2</v>
      </c>
      <c r="B1283" s="4">
        <v>47</v>
      </c>
      <c r="C1283" s="4">
        <v>27.6</v>
      </c>
      <c r="D1283" s="4">
        <v>2</v>
      </c>
      <c r="E1283" s="4" t="s">
        <v>8</v>
      </c>
      <c r="F1283" s="4" t="s">
        <v>9</v>
      </c>
      <c r="G1283" s="4" t="s">
        <v>14</v>
      </c>
      <c r="H1283" s="4">
        <v>1176.8648891736045</v>
      </c>
      <c r="I1283" s="4">
        <v>1569.1531855648061</v>
      </c>
      <c r="J1283" s="2">
        <f>VLOOKUP(A1283,Planilha1!A:M,13,0)</f>
        <v>3220.2324129890262</v>
      </c>
      <c r="K1283" s="10">
        <f t="shared" ref="K1283:K1339" si="40">J1283-H1283</f>
        <v>2043.3675238154217</v>
      </c>
      <c r="L1283" s="10">
        <f t="shared" ref="L1283:L1339" si="41">I1283-H1283</f>
        <v>392.28829639120158</v>
      </c>
    </row>
    <row r="1284" spans="1:12" x14ac:dyDescent="0.25">
      <c r="A1284" s="2">
        <v>2</v>
      </c>
      <c r="B1284" s="4">
        <v>18</v>
      </c>
      <c r="C1284" s="4">
        <v>24.3</v>
      </c>
      <c r="D1284" s="4">
        <v>0</v>
      </c>
      <c r="E1284" s="4" t="s">
        <v>8</v>
      </c>
      <c r="F1284" s="4" t="s">
        <v>9</v>
      </c>
      <c r="G1284" s="4" t="s">
        <v>15</v>
      </c>
      <c r="H1284" s="4">
        <v>1264.7779868591736</v>
      </c>
      <c r="I1284" s="4">
        <v>1487.974102187264</v>
      </c>
      <c r="J1284" s="2">
        <f>VLOOKUP(A1284,Planilha1!A:M,13,0)</f>
        <v>3220.2324129890262</v>
      </c>
      <c r="K1284" s="10">
        <f t="shared" si="40"/>
        <v>1955.4544261298527</v>
      </c>
      <c r="L1284" s="10">
        <f t="shared" si="41"/>
        <v>223.1961153280904</v>
      </c>
    </row>
    <row r="1285" spans="1:12" x14ac:dyDescent="0.25">
      <c r="A1285" s="2">
        <v>0</v>
      </c>
      <c r="B1285" s="4">
        <v>18</v>
      </c>
      <c r="C1285" s="4">
        <v>25.9</v>
      </c>
      <c r="D1285" s="4">
        <v>1</v>
      </c>
      <c r="E1285" s="4" t="s">
        <v>11</v>
      </c>
      <c r="F1285" s="4" t="s">
        <v>12</v>
      </c>
      <c r="G1285" s="4" t="s">
        <v>13</v>
      </c>
      <c r="H1285" s="4">
        <v>1955.1746236695865</v>
      </c>
      <c r="I1285" s="4">
        <v>2300.2054396112794</v>
      </c>
      <c r="J1285" s="2">
        <f>VLOOKUP(A1285,Planilha1!A:M,13,0)</f>
        <v>2511.8220480829059</v>
      </c>
      <c r="K1285" s="10">
        <f t="shared" si="40"/>
        <v>556.64742441331941</v>
      </c>
      <c r="L1285" s="10">
        <f t="shared" si="41"/>
        <v>345.03081594169294</v>
      </c>
    </row>
    <row r="1286" spans="1:12" x14ac:dyDescent="0.25">
      <c r="A1286" s="2">
        <v>2</v>
      </c>
      <c r="B1286" s="4">
        <v>61</v>
      </c>
      <c r="C1286" s="4">
        <v>36.299999999999997</v>
      </c>
      <c r="D1286" s="4">
        <v>1</v>
      </c>
      <c r="E1286" s="4" t="s">
        <v>11</v>
      </c>
      <c r="F1286" s="4" t="s">
        <v>9</v>
      </c>
      <c r="G1286" s="4" t="s">
        <v>10</v>
      </c>
      <c r="H1286" s="4">
        <v>5764.1091146938452</v>
      </c>
      <c r="I1286" s="4">
        <v>5489.6277282798537</v>
      </c>
      <c r="J1286" s="2">
        <f>VLOOKUP(A1286,Planilha1!A:M,13,0)</f>
        <v>3220.2324129890262</v>
      </c>
      <c r="K1286" s="10">
        <f t="shared" si="40"/>
        <v>-2543.876701704819</v>
      </c>
      <c r="L1286" s="10">
        <f t="shared" si="41"/>
        <v>-274.48138641399146</v>
      </c>
    </row>
    <row r="1287" spans="1:12" x14ac:dyDescent="0.25">
      <c r="A1287" s="2">
        <v>1</v>
      </c>
      <c r="B1287" s="4">
        <v>47</v>
      </c>
      <c r="C1287" s="4">
        <v>24.3</v>
      </c>
      <c r="D1287" s="4">
        <v>0</v>
      </c>
      <c r="E1287" s="4" t="s">
        <v>8</v>
      </c>
      <c r="F1287" s="4" t="s">
        <v>12</v>
      </c>
      <c r="G1287" s="4" t="s">
        <v>15</v>
      </c>
      <c r="H1287" s="4">
        <v>3576.8055352723632</v>
      </c>
      <c r="I1287" s="4">
        <v>3406.4814621641572</v>
      </c>
      <c r="J1287" s="2">
        <f>VLOOKUP(A1287,Planilha1!A:M,13,0)</f>
        <v>6326.3485212104815</v>
      </c>
      <c r="K1287" s="10">
        <f t="shared" si="40"/>
        <v>2749.5429859381184</v>
      </c>
      <c r="L1287" s="10">
        <f t="shared" si="41"/>
        <v>-170.32407310820599</v>
      </c>
    </row>
    <row r="1288" spans="1:12" x14ac:dyDescent="0.25">
      <c r="A1288" s="2">
        <v>0</v>
      </c>
      <c r="B1288" s="4">
        <v>28</v>
      </c>
      <c r="C1288" s="4">
        <v>22.6</v>
      </c>
      <c r="D1288" s="4">
        <v>0</v>
      </c>
      <c r="E1288" s="4" t="s">
        <v>8</v>
      </c>
      <c r="F1288" s="4" t="s">
        <v>12</v>
      </c>
      <c r="G1288" s="4" t="s">
        <v>15</v>
      </c>
      <c r="H1288" s="4">
        <v>1728.3750891205996</v>
      </c>
      <c r="I1288" s="4">
        <v>2033.3824577889413</v>
      </c>
      <c r="J1288" s="2">
        <f>VLOOKUP(A1288,Planilha1!A:M,13,0)</f>
        <v>2511.8220480829059</v>
      </c>
      <c r="K1288" s="10">
        <f t="shared" si="40"/>
        <v>783.44695896230633</v>
      </c>
      <c r="L1288" s="10">
        <f t="shared" si="41"/>
        <v>305.00736866834177</v>
      </c>
    </row>
    <row r="1289" spans="1:12" x14ac:dyDescent="0.25">
      <c r="A1289" s="2">
        <v>0</v>
      </c>
      <c r="B1289" s="4">
        <v>36</v>
      </c>
      <c r="C1289" s="4">
        <v>22.8</v>
      </c>
      <c r="D1289" s="4">
        <v>1</v>
      </c>
      <c r="E1289" s="4" t="s">
        <v>8</v>
      </c>
      <c r="F1289" s="4" t="s">
        <v>12</v>
      </c>
      <c r="G1289" s="4" t="s">
        <v>10</v>
      </c>
      <c r="H1289" s="4">
        <v>2560.220607490367</v>
      </c>
      <c r="I1289" s="4">
        <v>3012.0242441063156</v>
      </c>
      <c r="J1289" s="2">
        <f>VLOOKUP(A1289,Planilha1!A:M,13,0)</f>
        <v>2511.8220480829059</v>
      </c>
      <c r="K1289" s="10">
        <f t="shared" si="40"/>
        <v>-48.398559407461107</v>
      </c>
      <c r="L1289" s="10">
        <f t="shared" si="41"/>
        <v>451.80363661594856</v>
      </c>
    </row>
    <row r="1290" spans="1:12" x14ac:dyDescent="0.25">
      <c r="A1290" s="2">
        <v>2</v>
      </c>
      <c r="B1290" s="4">
        <v>20</v>
      </c>
      <c r="C1290" s="4">
        <v>39.4</v>
      </c>
      <c r="D1290" s="4">
        <v>2</v>
      </c>
      <c r="E1290" s="4" t="s">
        <v>11</v>
      </c>
      <c r="F1290" s="4" t="s">
        <v>9</v>
      </c>
      <c r="G1290" s="4" t="s">
        <v>10</v>
      </c>
      <c r="H1290" s="4">
        <v>1861.4778477023851</v>
      </c>
      <c r="I1290" s="4">
        <v>2481.9704636031802</v>
      </c>
      <c r="J1290" s="2">
        <f>VLOOKUP(A1290,Planilha1!A:M,13,0)</f>
        <v>3220.2324129890262</v>
      </c>
      <c r="K1290" s="10">
        <f t="shared" si="40"/>
        <v>1358.7545652866411</v>
      </c>
      <c r="L1290" s="10">
        <f t="shared" si="41"/>
        <v>620.49261590079504</v>
      </c>
    </row>
    <row r="1291" spans="1:12" x14ac:dyDescent="0.25">
      <c r="A1291" s="2">
        <v>1</v>
      </c>
      <c r="B1291" s="4">
        <v>44</v>
      </c>
      <c r="C1291" s="4">
        <v>34.299999999999997</v>
      </c>
      <c r="D1291" s="4">
        <v>1</v>
      </c>
      <c r="E1291" s="4" t="s">
        <v>11</v>
      </c>
      <c r="F1291" s="4" t="s">
        <v>12</v>
      </c>
      <c r="G1291" s="4" t="s">
        <v>13</v>
      </c>
      <c r="H1291" s="4">
        <v>4799.8251709928172</v>
      </c>
      <c r="I1291" s="4">
        <v>4571.2620676122087</v>
      </c>
      <c r="J1291" s="2">
        <f>VLOOKUP(A1291,Planilha1!A:M,13,0)</f>
        <v>6326.3485212104815</v>
      </c>
      <c r="K1291" s="10">
        <f t="shared" si="40"/>
        <v>1526.5233502176643</v>
      </c>
      <c r="L1291" s="10">
        <f t="shared" si="41"/>
        <v>-228.56310338060848</v>
      </c>
    </row>
    <row r="1292" spans="1:12" x14ac:dyDescent="0.25">
      <c r="A1292" s="2">
        <v>0</v>
      </c>
      <c r="B1292" s="4">
        <v>38</v>
      </c>
      <c r="C1292" s="4">
        <v>20</v>
      </c>
      <c r="D1292" s="4">
        <v>2</v>
      </c>
      <c r="E1292" s="4" t="s">
        <v>8</v>
      </c>
      <c r="F1292" s="4" t="s">
        <v>12</v>
      </c>
      <c r="G1292" s="4" t="s">
        <v>15</v>
      </c>
      <c r="H1292" s="4">
        <v>1994.6651291673854</v>
      </c>
      <c r="I1292" s="4">
        <v>2346.6648578439836</v>
      </c>
      <c r="J1292" s="2">
        <f>VLOOKUP(A1292,Planilha1!A:M,13,0)</f>
        <v>2511.8220480829059</v>
      </c>
      <c r="K1292" s="10">
        <f t="shared" si="40"/>
        <v>517.15691891552046</v>
      </c>
      <c r="L1292" s="10">
        <f t="shared" si="41"/>
        <v>351.99972867659812</v>
      </c>
    </row>
    <row r="1293" spans="1:12" x14ac:dyDescent="0.25">
      <c r="A1293" s="2">
        <v>2</v>
      </c>
      <c r="B1293" s="4">
        <v>19</v>
      </c>
      <c r="C1293" s="4">
        <v>24.3</v>
      </c>
      <c r="D1293" s="4">
        <v>0</v>
      </c>
      <c r="E1293" s="4" t="s">
        <v>11</v>
      </c>
      <c r="F1293" s="4" t="s">
        <v>9</v>
      </c>
      <c r="G1293" s="4" t="s">
        <v>10</v>
      </c>
      <c r="H1293" s="4">
        <v>1387.0384667967342</v>
      </c>
      <c r="I1293" s="4">
        <v>1631.8099609373353</v>
      </c>
      <c r="J1293" s="2">
        <f>VLOOKUP(A1293,Planilha1!A:M,13,0)</f>
        <v>3220.2324129890262</v>
      </c>
      <c r="K1293" s="10">
        <f t="shared" si="40"/>
        <v>1833.1939461922921</v>
      </c>
      <c r="L1293" s="10">
        <f t="shared" si="41"/>
        <v>244.77149414060113</v>
      </c>
    </row>
    <row r="1294" spans="1:12" x14ac:dyDescent="0.25">
      <c r="A1294" s="2">
        <v>0</v>
      </c>
      <c r="B1294" s="4">
        <v>21</v>
      </c>
      <c r="C1294" s="4">
        <v>21.5</v>
      </c>
      <c r="D1294" s="4">
        <v>0</v>
      </c>
      <c r="E1294" s="4" t="s">
        <v>11</v>
      </c>
      <c r="F1294" s="4" t="s">
        <v>12</v>
      </c>
      <c r="G1294" s="4" t="s">
        <v>13</v>
      </c>
      <c r="H1294" s="4">
        <v>2015.1857724924239</v>
      </c>
      <c r="I1294" s="4">
        <v>2370.8067911675585</v>
      </c>
      <c r="J1294" s="2">
        <f>VLOOKUP(A1294,Planilha1!A:M,13,0)</f>
        <v>2511.8220480829059</v>
      </c>
      <c r="K1294" s="10">
        <f t="shared" si="40"/>
        <v>496.636275590482</v>
      </c>
      <c r="L1294" s="10">
        <f t="shared" si="41"/>
        <v>355.62101867513456</v>
      </c>
    </row>
    <row r="1295" spans="1:12" x14ac:dyDescent="0.25">
      <c r="A1295" s="2">
        <v>3</v>
      </c>
      <c r="B1295" s="4">
        <v>46</v>
      </c>
      <c r="C1295" s="4">
        <v>25.7</v>
      </c>
      <c r="D1295" s="4">
        <v>3</v>
      </c>
      <c r="E1295" s="4" t="s">
        <v>11</v>
      </c>
      <c r="F1295" s="4" t="s">
        <v>12</v>
      </c>
      <c r="G1295" s="4" t="s">
        <v>14</v>
      </c>
      <c r="H1295" s="4">
        <v>1211.8944033461078</v>
      </c>
      <c r="I1295" s="4">
        <v>1615.859204461477</v>
      </c>
      <c r="J1295" s="2">
        <f>VLOOKUP(A1295,Planilha1!A:M,13,0)</f>
        <v>3049.3550806113421</v>
      </c>
      <c r="K1295" s="10">
        <f t="shared" si="40"/>
        <v>1837.4606772652344</v>
      </c>
      <c r="L1295" s="10">
        <f t="shared" si="41"/>
        <v>403.96480111536926</v>
      </c>
    </row>
    <row r="1296" spans="1:12" x14ac:dyDescent="0.25">
      <c r="A1296" s="2">
        <v>1</v>
      </c>
      <c r="B1296" s="4">
        <v>58</v>
      </c>
      <c r="C1296" s="4">
        <v>25.2</v>
      </c>
      <c r="D1296" s="4">
        <v>0</v>
      </c>
      <c r="E1296" s="4" t="s">
        <v>11</v>
      </c>
      <c r="F1296" s="4" t="s">
        <v>12</v>
      </c>
      <c r="G1296" s="4" t="s">
        <v>15</v>
      </c>
      <c r="H1296" s="4">
        <v>3773.360826959421</v>
      </c>
      <c r="I1296" s="4">
        <v>3593.6769780565928</v>
      </c>
      <c r="J1296" s="2">
        <f>VLOOKUP(A1296,Planilha1!A:M,13,0)</f>
        <v>6326.3485212104815</v>
      </c>
      <c r="K1296" s="10">
        <f t="shared" si="40"/>
        <v>2552.9876942510605</v>
      </c>
      <c r="L1296" s="10">
        <f t="shared" si="41"/>
        <v>-179.68384890282823</v>
      </c>
    </row>
    <row r="1297" spans="1:12" x14ac:dyDescent="0.25">
      <c r="A1297" s="2">
        <v>0</v>
      </c>
      <c r="B1297" s="4">
        <v>20</v>
      </c>
      <c r="C1297" s="4">
        <v>25.3</v>
      </c>
      <c r="D1297" s="4">
        <v>1</v>
      </c>
      <c r="E1297" s="4" t="s">
        <v>11</v>
      </c>
      <c r="F1297" s="4" t="s">
        <v>12</v>
      </c>
      <c r="G1297" s="4" t="s">
        <v>10</v>
      </c>
      <c r="H1297" s="4">
        <v>1710.5549306252608</v>
      </c>
      <c r="I1297" s="4">
        <v>2012.4175654414842</v>
      </c>
      <c r="J1297" s="2">
        <f>VLOOKUP(A1297,Planilha1!A:M,13,0)</f>
        <v>2511.8220480829059</v>
      </c>
      <c r="K1297" s="10">
        <f t="shared" si="40"/>
        <v>801.2671174576451</v>
      </c>
      <c r="L1297" s="10">
        <f t="shared" si="41"/>
        <v>301.86263481622336</v>
      </c>
    </row>
    <row r="1298" spans="1:12" x14ac:dyDescent="0.25">
      <c r="A1298" s="2">
        <v>0</v>
      </c>
      <c r="B1298" s="4">
        <v>18</v>
      </c>
      <c r="C1298" s="4">
        <v>20.3</v>
      </c>
      <c r="D1298" s="4">
        <v>0</v>
      </c>
      <c r="E1298" s="4" t="s">
        <v>11</v>
      </c>
      <c r="F1298" s="4" t="s">
        <v>12</v>
      </c>
      <c r="G1298" s="4" t="s">
        <v>15</v>
      </c>
      <c r="H1298" s="4">
        <v>2230.2911972196266</v>
      </c>
      <c r="I1298" s="4">
        <v>2623.8719967289735</v>
      </c>
      <c r="J1298" s="2">
        <f>VLOOKUP(A1298,Planilha1!A:M,13,0)</f>
        <v>2511.8220480829059</v>
      </c>
      <c r="K1298" s="10">
        <f t="shared" si="40"/>
        <v>281.53085086327928</v>
      </c>
      <c r="L1298" s="10">
        <f t="shared" si="41"/>
        <v>393.58079950934689</v>
      </c>
    </row>
    <row r="1299" spans="1:12" x14ac:dyDescent="0.25">
      <c r="A1299" s="2">
        <v>0</v>
      </c>
      <c r="B1299" s="4">
        <v>28</v>
      </c>
      <c r="C1299" s="4">
        <v>26.5</v>
      </c>
      <c r="D1299" s="4">
        <v>2</v>
      </c>
      <c r="E1299" s="4" t="s">
        <v>8</v>
      </c>
      <c r="F1299" s="4" t="s">
        <v>12</v>
      </c>
      <c r="G1299" s="4" t="s">
        <v>13</v>
      </c>
      <c r="H1299" s="4">
        <v>2051.0031612942639</v>
      </c>
      <c r="I1299" s="4">
        <v>2412.9448956403112</v>
      </c>
      <c r="J1299" s="2">
        <f>VLOOKUP(A1299,Planilha1!A:M,13,0)</f>
        <v>2511.8220480829059</v>
      </c>
      <c r="K1299" s="10">
        <f t="shared" si="40"/>
        <v>460.81888678864198</v>
      </c>
      <c r="L1299" s="10">
        <f t="shared" si="41"/>
        <v>361.94173434604727</v>
      </c>
    </row>
    <row r="1300" spans="1:12" x14ac:dyDescent="0.25">
      <c r="A1300" s="2">
        <v>3</v>
      </c>
      <c r="B1300" s="4">
        <v>33</v>
      </c>
      <c r="C1300" s="4">
        <v>27.5</v>
      </c>
      <c r="D1300" s="4">
        <v>2</v>
      </c>
      <c r="E1300" s="4" t="s">
        <v>11</v>
      </c>
      <c r="F1300" s="4" t="s">
        <v>12</v>
      </c>
      <c r="G1300" s="4" t="s">
        <v>14</v>
      </c>
      <c r="H1300" s="4">
        <v>1351.4976267823856</v>
      </c>
      <c r="I1300" s="4">
        <v>1801.9968357098476</v>
      </c>
      <c r="J1300" s="2">
        <f>VLOOKUP(A1300,Planilha1!A:M,13,0)</f>
        <v>3049.3550806113421</v>
      </c>
      <c r="K1300" s="10">
        <f t="shared" si="40"/>
        <v>1697.8574538289565</v>
      </c>
      <c r="L1300" s="10">
        <f t="shared" si="41"/>
        <v>450.49920892746195</v>
      </c>
    </row>
    <row r="1301" spans="1:12" x14ac:dyDescent="0.25">
      <c r="A1301" s="2">
        <v>0</v>
      </c>
      <c r="B1301" s="4">
        <v>19</v>
      </c>
      <c r="C1301" s="4">
        <v>21.2</v>
      </c>
      <c r="D1301" s="4">
        <v>1</v>
      </c>
      <c r="E1301" s="4" t="s">
        <v>8</v>
      </c>
      <c r="F1301" s="4" t="s">
        <v>12</v>
      </c>
      <c r="G1301" s="4" t="s">
        <v>14</v>
      </c>
      <c r="H1301" s="4">
        <v>2148.5207729465064</v>
      </c>
      <c r="I1301" s="4">
        <v>2527.6714975841255</v>
      </c>
      <c r="J1301" s="2">
        <f>VLOOKUP(A1301,Planilha1!A:M,13,0)</f>
        <v>2511.8220480829059</v>
      </c>
      <c r="K1301" s="10">
        <f t="shared" si="40"/>
        <v>363.30127513639945</v>
      </c>
      <c r="L1301" s="10">
        <f t="shared" si="41"/>
        <v>379.15072463761908</v>
      </c>
    </row>
    <row r="1302" spans="1:12" x14ac:dyDescent="0.25">
      <c r="A1302" s="2">
        <v>2</v>
      </c>
      <c r="B1302" s="4">
        <v>45</v>
      </c>
      <c r="C1302" s="4">
        <v>30.4</v>
      </c>
      <c r="D1302" s="4">
        <v>0</v>
      </c>
      <c r="E1302" s="4" t="s">
        <v>11</v>
      </c>
      <c r="F1302" s="4" t="s">
        <v>9</v>
      </c>
      <c r="G1302" s="4" t="s">
        <v>13</v>
      </c>
      <c r="H1302" s="4">
        <v>3810.5434905561442</v>
      </c>
      <c r="I1302" s="4">
        <v>3629.0890386249007</v>
      </c>
      <c r="J1302" s="2">
        <f>VLOOKUP(A1302,Planilha1!A:M,13,0)</f>
        <v>3220.2324129890262</v>
      </c>
      <c r="K1302" s="10">
        <f t="shared" si="40"/>
        <v>-590.31107756711799</v>
      </c>
      <c r="L1302" s="10">
        <f t="shared" si="41"/>
        <v>-181.45445193124351</v>
      </c>
    </row>
    <row r="1303" spans="1:12" x14ac:dyDescent="0.25">
      <c r="A1303" s="2">
        <v>2</v>
      </c>
      <c r="B1303" s="4">
        <v>62</v>
      </c>
      <c r="C1303" s="4">
        <v>30.9</v>
      </c>
      <c r="D1303" s="4">
        <v>3</v>
      </c>
      <c r="E1303" s="4" t="s">
        <v>11</v>
      </c>
      <c r="F1303" s="4" t="s">
        <v>9</v>
      </c>
      <c r="G1303" s="4" t="s">
        <v>14</v>
      </c>
      <c r="H1303" s="4">
        <v>1265.6618874283959</v>
      </c>
      <c r="I1303" s="4">
        <v>1687.5491832378611</v>
      </c>
      <c r="J1303" s="2">
        <f>VLOOKUP(A1303,Planilha1!A:M,13,0)</f>
        <v>3220.2324129890262</v>
      </c>
      <c r="K1303" s="10">
        <f t="shared" si="40"/>
        <v>1954.5705255606304</v>
      </c>
      <c r="L1303" s="10">
        <f t="shared" si="41"/>
        <v>421.88729580946529</v>
      </c>
    </row>
    <row r="1304" spans="1:12" x14ac:dyDescent="0.25">
      <c r="A1304" s="2">
        <v>0</v>
      </c>
      <c r="B1304" s="4">
        <v>25</v>
      </c>
      <c r="C1304" s="4">
        <v>20</v>
      </c>
      <c r="D1304" s="4">
        <v>1</v>
      </c>
      <c r="E1304" s="4" t="s">
        <v>8</v>
      </c>
      <c r="F1304" s="4" t="s">
        <v>12</v>
      </c>
      <c r="G1304" s="4" t="s">
        <v>10</v>
      </c>
      <c r="H1304" s="4">
        <v>2119.5946155861702</v>
      </c>
      <c r="I1304" s="4">
        <v>2493.6407242190248</v>
      </c>
      <c r="J1304" s="2">
        <f>VLOOKUP(A1304,Planilha1!A:M,13,0)</f>
        <v>2511.8220480829059</v>
      </c>
      <c r="K1304" s="10">
        <f t="shared" si="40"/>
        <v>392.22743249673567</v>
      </c>
      <c r="L1304" s="10">
        <f t="shared" si="41"/>
        <v>374.04610863285461</v>
      </c>
    </row>
    <row r="1305" spans="1:12" x14ac:dyDescent="0.25">
      <c r="A1305" s="2">
        <v>2</v>
      </c>
      <c r="B1305" s="4">
        <v>43</v>
      </c>
      <c r="C1305" s="4">
        <v>27.8</v>
      </c>
      <c r="D1305" s="4">
        <v>0</v>
      </c>
      <c r="E1305" s="4" t="s">
        <v>11</v>
      </c>
      <c r="F1305" s="4" t="s">
        <v>9</v>
      </c>
      <c r="G1305" s="4" t="s">
        <v>10</v>
      </c>
      <c r="H1305" s="4">
        <v>3445.4641765153729</v>
      </c>
      <c r="I1305" s="4">
        <v>3281.3944538241667</v>
      </c>
      <c r="J1305" s="2">
        <f>VLOOKUP(A1305,Planilha1!A:M,13,0)</f>
        <v>3220.2324129890262</v>
      </c>
      <c r="K1305" s="10">
        <f t="shared" si="40"/>
        <v>-225.23176352634664</v>
      </c>
      <c r="L1305" s="10">
        <f t="shared" si="41"/>
        <v>-164.06972269120615</v>
      </c>
    </row>
    <row r="1306" spans="1:12" x14ac:dyDescent="0.25">
      <c r="A1306" s="2">
        <v>2</v>
      </c>
      <c r="B1306" s="4">
        <v>42</v>
      </c>
      <c r="C1306" s="4">
        <v>24.6</v>
      </c>
      <c r="D1306" s="4">
        <v>2</v>
      </c>
      <c r="E1306" s="4" t="s">
        <v>11</v>
      </c>
      <c r="F1306" s="4" t="s">
        <v>9</v>
      </c>
      <c r="G1306" s="4" t="s">
        <v>15</v>
      </c>
      <c r="H1306" s="4">
        <v>1398.7017584237785</v>
      </c>
      <c r="I1306" s="4">
        <v>1864.9356778983713</v>
      </c>
      <c r="J1306" s="2">
        <f>VLOOKUP(A1306,Planilha1!A:M,13,0)</f>
        <v>3220.2324129890262</v>
      </c>
      <c r="K1306" s="10">
        <f t="shared" si="40"/>
        <v>1821.5306545652477</v>
      </c>
      <c r="L1306" s="10">
        <f t="shared" si="41"/>
        <v>466.23391947459277</v>
      </c>
    </row>
    <row r="1307" spans="1:12" x14ac:dyDescent="0.25">
      <c r="A1307" s="2">
        <v>0</v>
      </c>
      <c r="B1307" s="4">
        <v>24</v>
      </c>
      <c r="C1307" s="4">
        <v>24.6</v>
      </c>
      <c r="D1307" s="4">
        <v>0</v>
      </c>
      <c r="E1307" s="4" t="s">
        <v>8</v>
      </c>
      <c r="F1307" s="4" t="s">
        <v>12</v>
      </c>
      <c r="G1307" s="4" t="s">
        <v>13</v>
      </c>
      <c r="H1307" s="4">
        <v>2019.2006297609721</v>
      </c>
      <c r="I1307" s="4">
        <v>2375.5301526599678</v>
      </c>
      <c r="J1307" s="2">
        <f>VLOOKUP(A1307,Planilha1!A:M,13,0)</f>
        <v>2511.8220480829059</v>
      </c>
      <c r="K1307" s="10">
        <f t="shared" si="40"/>
        <v>492.62141832193379</v>
      </c>
      <c r="L1307" s="10">
        <f t="shared" si="41"/>
        <v>356.32952289899572</v>
      </c>
    </row>
    <row r="1308" spans="1:12" x14ac:dyDescent="0.25">
      <c r="A1308" s="2">
        <v>2</v>
      </c>
      <c r="B1308" s="4">
        <v>29</v>
      </c>
      <c r="C1308" s="4">
        <v>23.7</v>
      </c>
      <c r="D1308" s="4">
        <v>0</v>
      </c>
      <c r="E1308" s="4" t="s">
        <v>8</v>
      </c>
      <c r="F1308" s="4" t="s">
        <v>9</v>
      </c>
      <c r="G1308" s="4" t="s">
        <v>15</v>
      </c>
      <c r="H1308" s="4">
        <v>1768.7636215074431</v>
      </c>
      <c r="I1308" s="4">
        <v>2080.8983782440514</v>
      </c>
      <c r="J1308" s="2">
        <f>VLOOKUP(A1308,Planilha1!A:M,13,0)</f>
        <v>3220.2324129890262</v>
      </c>
      <c r="K1308" s="10">
        <f t="shared" si="40"/>
        <v>1451.4687914815831</v>
      </c>
      <c r="L1308" s="10">
        <f t="shared" si="41"/>
        <v>312.13475673660832</v>
      </c>
    </row>
    <row r="1309" spans="1:12" x14ac:dyDescent="0.25">
      <c r="A1309" s="2">
        <v>2</v>
      </c>
      <c r="B1309" s="4">
        <v>32</v>
      </c>
      <c r="C1309" s="4">
        <v>28.1</v>
      </c>
      <c r="D1309" s="4">
        <v>4</v>
      </c>
      <c r="E1309" s="4" t="s">
        <v>11</v>
      </c>
      <c r="F1309" s="4" t="s">
        <v>9</v>
      </c>
      <c r="G1309" s="4" t="s">
        <v>14</v>
      </c>
      <c r="H1309" s="4">
        <v>1348.2052892373827</v>
      </c>
      <c r="I1309" s="4">
        <v>1797.6070523165104</v>
      </c>
      <c r="J1309" s="2">
        <f>VLOOKUP(A1309,Planilha1!A:M,13,0)</f>
        <v>3220.2324129890262</v>
      </c>
      <c r="K1309" s="10">
        <f t="shared" si="40"/>
        <v>1872.0271237516436</v>
      </c>
      <c r="L1309" s="10">
        <f t="shared" si="41"/>
        <v>449.4017630791277</v>
      </c>
    </row>
    <row r="1310" spans="1:12" x14ac:dyDescent="0.25">
      <c r="A1310" s="2">
        <v>2</v>
      </c>
      <c r="B1310" s="4">
        <v>25</v>
      </c>
      <c r="C1310" s="4">
        <v>24.1</v>
      </c>
      <c r="D1310" s="4">
        <v>0</v>
      </c>
      <c r="E1310" s="4" t="s">
        <v>8</v>
      </c>
      <c r="F1310" s="4" t="s">
        <v>9</v>
      </c>
      <c r="G1310" s="4" t="s">
        <v>10</v>
      </c>
      <c r="H1310" s="4">
        <v>2124.577205773418</v>
      </c>
      <c r="I1310" s="4">
        <v>2499.5025950275513</v>
      </c>
      <c r="J1310" s="2">
        <f>VLOOKUP(A1310,Planilha1!A:M,13,0)</f>
        <v>3220.2324129890262</v>
      </c>
      <c r="K1310" s="10">
        <f t="shared" si="40"/>
        <v>1095.6552072156082</v>
      </c>
      <c r="L1310" s="10">
        <f t="shared" si="41"/>
        <v>374.92538925413328</v>
      </c>
    </row>
    <row r="1311" spans="1:12" x14ac:dyDescent="0.25">
      <c r="A1311" s="2">
        <v>3</v>
      </c>
      <c r="B1311" s="4">
        <v>41</v>
      </c>
      <c r="C1311" s="4">
        <v>32.200000000000003</v>
      </c>
      <c r="D1311" s="4">
        <v>2</v>
      </c>
      <c r="E1311" s="4" t="s">
        <v>11</v>
      </c>
      <c r="F1311" s="4" t="s">
        <v>12</v>
      </c>
      <c r="G1311" s="4" t="s">
        <v>10</v>
      </c>
      <c r="H1311" s="4">
        <v>1999.2956346151207</v>
      </c>
      <c r="I1311" s="4">
        <v>2665.7275128201609</v>
      </c>
      <c r="J1311" s="2">
        <f>VLOOKUP(A1311,Planilha1!A:M,13,0)</f>
        <v>3049.3550806113421</v>
      </c>
      <c r="K1311" s="10">
        <f t="shared" si="40"/>
        <v>1050.0594459962215</v>
      </c>
      <c r="L1311" s="10">
        <f t="shared" si="41"/>
        <v>666.43187820504022</v>
      </c>
    </row>
    <row r="1312" spans="1:12" x14ac:dyDescent="0.25">
      <c r="A1312" s="2">
        <v>1</v>
      </c>
      <c r="B1312" s="4">
        <v>42</v>
      </c>
      <c r="C1312" s="4">
        <v>26.3</v>
      </c>
      <c r="D1312" s="4">
        <v>1</v>
      </c>
      <c r="E1312" s="4" t="s">
        <v>11</v>
      </c>
      <c r="F1312" s="4" t="s">
        <v>12</v>
      </c>
      <c r="G1312" s="4" t="s">
        <v>14</v>
      </c>
      <c r="H1312" s="4">
        <v>3950.1705252053998</v>
      </c>
      <c r="I1312" s="4">
        <v>3762.0671668622872</v>
      </c>
      <c r="J1312" s="2">
        <f>VLOOKUP(A1312,Planilha1!A:M,13,0)</f>
        <v>6326.3485212104815</v>
      </c>
      <c r="K1312" s="10">
        <f t="shared" si="40"/>
        <v>2376.1779960050817</v>
      </c>
      <c r="L1312" s="10">
        <f t="shared" si="41"/>
        <v>-188.10335834311263</v>
      </c>
    </row>
    <row r="1313" spans="1:12" x14ac:dyDescent="0.25">
      <c r="A1313" s="2">
        <v>0</v>
      </c>
      <c r="B1313" s="4">
        <v>33</v>
      </c>
      <c r="C1313" s="4">
        <v>25.6</v>
      </c>
      <c r="D1313" s="4">
        <v>0</v>
      </c>
      <c r="E1313" s="4" t="s">
        <v>8</v>
      </c>
      <c r="F1313" s="4" t="s">
        <v>12</v>
      </c>
      <c r="G1313" s="4" t="s">
        <v>14</v>
      </c>
      <c r="H1313" s="4">
        <v>1640.5426762738005</v>
      </c>
      <c r="I1313" s="4">
        <v>1930.0502073809425</v>
      </c>
      <c r="J1313" s="2">
        <f>VLOOKUP(A1313,Planilha1!A:M,13,0)</f>
        <v>2511.8220480829059</v>
      </c>
      <c r="K1313" s="10">
        <f t="shared" si="40"/>
        <v>871.27937180910544</v>
      </c>
      <c r="L1313" s="10">
        <f t="shared" si="41"/>
        <v>289.50753110714209</v>
      </c>
    </row>
    <row r="1314" spans="1:12" x14ac:dyDescent="0.25">
      <c r="A1314" s="2">
        <v>0</v>
      </c>
      <c r="B1314" s="4">
        <v>34</v>
      </c>
      <c r="C1314" s="4">
        <v>21</v>
      </c>
      <c r="D1314" s="4">
        <v>1</v>
      </c>
      <c r="E1314" s="4" t="s">
        <v>11</v>
      </c>
      <c r="F1314" s="4" t="s">
        <v>12</v>
      </c>
      <c r="G1314" s="4" t="s">
        <v>10</v>
      </c>
      <c r="H1314" s="4">
        <v>1776.1771410090109</v>
      </c>
      <c r="I1314" s="4">
        <v>2089.6201658929549</v>
      </c>
      <c r="J1314" s="2">
        <f>VLOOKUP(A1314,Planilha1!A:M,13,0)</f>
        <v>2511.8220480829059</v>
      </c>
      <c r="K1314" s="10">
        <f t="shared" si="40"/>
        <v>735.64490707389496</v>
      </c>
      <c r="L1314" s="10">
        <f t="shared" si="41"/>
        <v>313.44302488394396</v>
      </c>
    </row>
    <row r="1315" spans="1:12" x14ac:dyDescent="0.25">
      <c r="A1315" s="2">
        <v>2</v>
      </c>
      <c r="B1315" s="4">
        <v>19</v>
      </c>
      <c r="C1315" s="4">
        <v>23.4</v>
      </c>
      <c r="D1315" s="4">
        <v>2</v>
      </c>
      <c r="E1315" s="4" t="s">
        <v>8</v>
      </c>
      <c r="F1315" s="4" t="s">
        <v>9</v>
      </c>
      <c r="G1315" s="4" t="s">
        <v>10</v>
      </c>
      <c r="H1315" s="4">
        <v>1478.2106000407912</v>
      </c>
      <c r="I1315" s="4">
        <v>1739.0712941656375</v>
      </c>
      <c r="J1315" s="2">
        <f>VLOOKUP(A1315,Planilha1!A:M,13,0)</f>
        <v>3220.2324129890262</v>
      </c>
      <c r="K1315" s="10">
        <f t="shared" si="40"/>
        <v>1742.021812948235</v>
      </c>
      <c r="L1315" s="10">
        <f t="shared" si="41"/>
        <v>260.8606941248463</v>
      </c>
    </row>
    <row r="1316" spans="1:12" x14ac:dyDescent="0.25">
      <c r="A1316" s="2">
        <v>2</v>
      </c>
      <c r="B1316" s="4">
        <v>30</v>
      </c>
      <c r="C1316" s="4">
        <v>23.7</v>
      </c>
      <c r="D1316" s="4">
        <v>3</v>
      </c>
      <c r="E1316" s="4" t="s">
        <v>8</v>
      </c>
      <c r="F1316" s="4" t="s">
        <v>9</v>
      </c>
      <c r="G1316" s="4" t="s">
        <v>14</v>
      </c>
      <c r="H1316" s="4">
        <v>1888.0170130635568</v>
      </c>
      <c r="I1316" s="4">
        <v>2517.3560174180757</v>
      </c>
      <c r="J1316" s="2">
        <f>VLOOKUP(A1316,Planilha1!A:M,13,0)</f>
        <v>3220.2324129890262</v>
      </c>
      <c r="K1316" s="10">
        <f t="shared" si="40"/>
        <v>1332.2153999254695</v>
      </c>
      <c r="L1316" s="10">
        <f t="shared" si="41"/>
        <v>629.33900435451892</v>
      </c>
    </row>
    <row r="1317" spans="1:12" x14ac:dyDescent="0.25">
      <c r="A1317" s="2">
        <v>0</v>
      </c>
      <c r="B1317" s="4">
        <v>18</v>
      </c>
      <c r="C1317" s="4">
        <v>20.6</v>
      </c>
      <c r="D1317" s="4">
        <v>1</v>
      </c>
      <c r="E1317" s="4" t="s">
        <v>11</v>
      </c>
      <c r="F1317" s="4" t="s">
        <v>12</v>
      </c>
      <c r="G1317" s="4" t="s">
        <v>15</v>
      </c>
      <c r="H1317" s="4">
        <v>1491.2705473244569</v>
      </c>
      <c r="I1317" s="4">
        <v>1754.4359380287735</v>
      </c>
      <c r="J1317" s="2">
        <f>VLOOKUP(A1317,Planilha1!A:M,13,0)</f>
        <v>2511.8220480829059</v>
      </c>
      <c r="K1317" s="10">
        <f t="shared" si="40"/>
        <v>1020.551500758449</v>
      </c>
      <c r="L1317" s="10">
        <f t="shared" si="41"/>
        <v>263.16539070431668</v>
      </c>
    </row>
    <row r="1318" spans="1:12" x14ac:dyDescent="0.25">
      <c r="A1318" s="2">
        <v>0</v>
      </c>
      <c r="B1318" s="4">
        <v>19</v>
      </c>
      <c r="C1318" s="4">
        <v>22.3</v>
      </c>
      <c r="D1318" s="4">
        <v>0</v>
      </c>
      <c r="E1318" s="4" t="s">
        <v>8</v>
      </c>
      <c r="F1318" s="4" t="s">
        <v>12</v>
      </c>
      <c r="G1318" s="4" t="s">
        <v>10</v>
      </c>
      <c r="H1318" s="4">
        <v>1705.5294126252461</v>
      </c>
      <c r="I1318" s="4">
        <v>2006.5051913238196</v>
      </c>
      <c r="J1318" s="2">
        <f>VLOOKUP(A1318,Planilha1!A:M,13,0)</f>
        <v>2511.8220480829059</v>
      </c>
      <c r="K1318" s="10">
        <f t="shared" si="40"/>
        <v>806.2926354576598</v>
      </c>
      <c r="L1318" s="10">
        <f t="shared" si="41"/>
        <v>300.97577869857355</v>
      </c>
    </row>
    <row r="1319" spans="1:12" x14ac:dyDescent="0.25">
      <c r="A1319" s="2">
        <v>0</v>
      </c>
      <c r="B1319" s="4">
        <v>18</v>
      </c>
      <c r="C1319" s="4">
        <v>20.5</v>
      </c>
      <c r="D1319" s="4">
        <v>0</v>
      </c>
      <c r="E1319" s="4" t="s">
        <v>11</v>
      </c>
      <c r="F1319" s="4" t="s">
        <v>12</v>
      </c>
      <c r="G1319" s="4" t="s">
        <v>13</v>
      </c>
      <c r="H1319" s="4">
        <v>1824.1986252198471</v>
      </c>
      <c r="I1319" s="4">
        <v>2146.1160296704093</v>
      </c>
      <c r="J1319" s="2">
        <f>VLOOKUP(A1319,Planilha1!A:M,13,0)</f>
        <v>2511.8220480829059</v>
      </c>
      <c r="K1319" s="10">
        <f t="shared" si="40"/>
        <v>687.62342286305875</v>
      </c>
      <c r="L1319" s="10">
        <f t="shared" si="41"/>
        <v>321.91740445056212</v>
      </c>
    </row>
    <row r="1320" spans="1:12" x14ac:dyDescent="0.25">
      <c r="A1320" s="2">
        <v>3</v>
      </c>
      <c r="B1320" s="4">
        <v>35</v>
      </c>
      <c r="C1320" s="4">
        <v>39.700000000000003</v>
      </c>
      <c r="D1320" s="4">
        <v>4</v>
      </c>
      <c r="E1320" s="4" t="s">
        <v>11</v>
      </c>
      <c r="F1320" s="4" t="s">
        <v>12</v>
      </c>
      <c r="G1320" s="4" t="s">
        <v>15</v>
      </c>
      <c r="H1320" s="4">
        <v>2375.8641251629683</v>
      </c>
      <c r="I1320" s="4">
        <v>3167.8188335506243</v>
      </c>
      <c r="J1320" s="2">
        <f>VLOOKUP(A1320,Planilha1!A:M,13,0)</f>
        <v>3049.3550806113421</v>
      </c>
      <c r="K1320" s="10">
        <f t="shared" si="40"/>
        <v>673.49095544837382</v>
      </c>
      <c r="L1320" s="10">
        <f t="shared" si="41"/>
        <v>791.95470838765596</v>
      </c>
    </row>
    <row r="1321" spans="1:12" x14ac:dyDescent="0.25">
      <c r="A1321" s="2">
        <v>3</v>
      </c>
      <c r="B1321" s="4">
        <v>39</v>
      </c>
      <c r="C1321" s="4">
        <v>26.3</v>
      </c>
      <c r="D1321" s="4">
        <v>2</v>
      </c>
      <c r="E1321" s="4" t="s">
        <v>8</v>
      </c>
      <c r="F1321" s="4" t="s">
        <v>12</v>
      </c>
      <c r="G1321" s="4" t="s">
        <v>14</v>
      </c>
      <c r="H1321" s="4">
        <v>2383.1839075957046</v>
      </c>
      <c r="I1321" s="4">
        <v>3177.5785434609393</v>
      </c>
      <c r="J1321" s="2">
        <f>VLOOKUP(A1321,Planilha1!A:M,13,0)</f>
        <v>3049.3550806113421</v>
      </c>
      <c r="K1321" s="10">
        <f t="shared" si="40"/>
        <v>666.17117301563758</v>
      </c>
      <c r="L1321" s="10">
        <f t="shared" si="41"/>
        <v>794.3946358652347</v>
      </c>
    </row>
    <row r="1322" spans="1:12" x14ac:dyDescent="0.25">
      <c r="A1322" s="2">
        <v>3</v>
      </c>
      <c r="B1322" s="4">
        <v>31</v>
      </c>
      <c r="C1322" s="4">
        <v>31.1</v>
      </c>
      <c r="D1322" s="4">
        <v>3</v>
      </c>
      <c r="E1322" s="4" t="s">
        <v>11</v>
      </c>
      <c r="F1322" s="4" t="s">
        <v>12</v>
      </c>
      <c r="G1322" s="4" t="s">
        <v>14</v>
      </c>
      <c r="H1322" s="4">
        <v>2665.2060090063142</v>
      </c>
      <c r="I1322" s="4">
        <v>3553.6080120084189</v>
      </c>
      <c r="J1322" s="2">
        <f>VLOOKUP(A1322,Planilha1!A:M,13,0)</f>
        <v>3049.3550806113421</v>
      </c>
      <c r="K1322" s="10">
        <f t="shared" si="40"/>
        <v>384.14907160502798</v>
      </c>
      <c r="L1322" s="10">
        <f t="shared" si="41"/>
        <v>888.40200300210472</v>
      </c>
    </row>
    <row r="1323" spans="1:12" x14ac:dyDescent="0.25">
      <c r="A1323" s="2">
        <v>2</v>
      </c>
      <c r="B1323" s="4">
        <v>62</v>
      </c>
      <c r="C1323" s="4">
        <v>26.7</v>
      </c>
      <c r="D1323" s="4">
        <v>0</v>
      </c>
      <c r="E1323" s="4" t="s">
        <v>11</v>
      </c>
      <c r="F1323" s="4" t="s">
        <v>9</v>
      </c>
      <c r="G1323" s="4" t="s">
        <v>15</v>
      </c>
      <c r="H1323" s="4">
        <v>5061.8113075114507</v>
      </c>
      <c r="I1323" s="4">
        <v>4820.7726738204301</v>
      </c>
      <c r="J1323" s="2">
        <f>VLOOKUP(A1323,Planilha1!A:M,13,0)</f>
        <v>3220.2324129890262</v>
      </c>
      <c r="K1323" s="10">
        <f t="shared" si="40"/>
        <v>-1841.5788945224244</v>
      </c>
      <c r="L1323" s="10">
        <f t="shared" si="41"/>
        <v>-241.03863369102055</v>
      </c>
    </row>
    <row r="1324" spans="1:12" x14ac:dyDescent="0.25">
      <c r="A1324" s="2">
        <v>1</v>
      </c>
      <c r="B1324" s="4">
        <v>62</v>
      </c>
      <c r="C1324" s="4">
        <v>38.799999999999997</v>
      </c>
      <c r="D1324" s="4">
        <v>0</v>
      </c>
      <c r="E1324" s="4" t="s">
        <v>11</v>
      </c>
      <c r="F1324" s="4" t="s">
        <v>12</v>
      </c>
      <c r="G1324" s="4" t="s">
        <v>13</v>
      </c>
      <c r="H1324" s="4">
        <v>4353.6958100269012</v>
      </c>
      <c r="I1324" s="4">
        <v>4146.3769619303839</v>
      </c>
      <c r="J1324" s="2">
        <f>VLOOKUP(A1324,Planilha1!A:M,13,0)</f>
        <v>6326.3485212104815</v>
      </c>
      <c r="K1324" s="10">
        <f t="shared" si="40"/>
        <v>1972.6527111835803</v>
      </c>
      <c r="L1324" s="10">
        <f t="shared" si="41"/>
        <v>-207.31884809651729</v>
      </c>
    </row>
    <row r="1325" spans="1:12" x14ac:dyDescent="0.25">
      <c r="A1325" s="2">
        <v>2</v>
      </c>
      <c r="B1325" s="4">
        <v>42</v>
      </c>
      <c r="C1325" s="4">
        <v>40.4</v>
      </c>
      <c r="D1325" s="4">
        <v>2</v>
      </c>
      <c r="E1325" s="4" t="s">
        <v>8</v>
      </c>
      <c r="F1325" s="4" t="s">
        <v>9</v>
      </c>
      <c r="G1325" s="4" t="s">
        <v>13</v>
      </c>
      <c r="H1325" s="4">
        <v>1461.434909439623</v>
      </c>
      <c r="I1325" s="4">
        <v>1948.5798792528308</v>
      </c>
      <c r="J1325" s="2">
        <f>VLOOKUP(A1325,Planilha1!A:M,13,0)</f>
        <v>3220.2324129890262</v>
      </c>
      <c r="K1325" s="10">
        <f t="shared" si="40"/>
        <v>1758.7975035494032</v>
      </c>
      <c r="L1325" s="10">
        <f t="shared" si="41"/>
        <v>487.14496981320781</v>
      </c>
    </row>
    <row r="1326" spans="1:12" x14ac:dyDescent="0.25">
      <c r="A1326" s="2">
        <v>0</v>
      </c>
      <c r="B1326" s="4">
        <v>31</v>
      </c>
      <c r="C1326" s="4">
        <v>23.3</v>
      </c>
      <c r="D1326" s="4">
        <v>1</v>
      </c>
      <c r="E1326" s="4" t="s">
        <v>11</v>
      </c>
      <c r="F1326" s="4" t="s">
        <v>12</v>
      </c>
      <c r="G1326" s="4" t="s">
        <v>14</v>
      </c>
      <c r="H1326" s="4">
        <v>2513.4199804365844</v>
      </c>
      <c r="I1326" s="4">
        <v>2956.9646828665709</v>
      </c>
      <c r="J1326" s="2">
        <f>VLOOKUP(A1326,Planilha1!A:M,13,0)</f>
        <v>2511.8220480829059</v>
      </c>
      <c r="K1326" s="10">
        <f t="shared" si="40"/>
        <v>-1.5979323536785159</v>
      </c>
      <c r="L1326" s="10">
        <f t="shared" si="41"/>
        <v>443.5447024299865</v>
      </c>
    </row>
    <row r="1327" spans="1:12" x14ac:dyDescent="0.25">
      <c r="A1327" s="2">
        <v>1</v>
      </c>
      <c r="B1327" s="4">
        <v>61</v>
      </c>
      <c r="C1327" s="4">
        <v>33.5</v>
      </c>
      <c r="D1327" s="4">
        <v>0</v>
      </c>
      <c r="E1327" s="4" t="s">
        <v>11</v>
      </c>
      <c r="F1327" s="4" t="s">
        <v>12</v>
      </c>
      <c r="G1327" s="4" t="s">
        <v>15</v>
      </c>
      <c r="H1327" s="4">
        <v>5175.645588834107</v>
      </c>
      <c r="I1327" s="4">
        <v>4929.1862750801038</v>
      </c>
      <c r="J1327" s="2">
        <f>VLOOKUP(A1327,Planilha1!A:M,13,0)</f>
        <v>6326.3485212104815</v>
      </c>
      <c r="K1327" s="10">
        <f t="shared" si="40"/>
        <v>1150.7029323763745</v>
      </c>
      <c r="L1327" s="10">
        <f t="shared" si="41"/>
        <v>-246.45931375400323</v>
      </c>
    </row>
    <row r="1328" spans="1:12" x14ac:dyDescent="0.25">
      <c r="A1328" s="2">
        <v>1</v>
      </c>
      <c r="B1328" s="4">
        <v>42</v>
      </c>
      <c r="C1328" s="4">
        <v>32.9</v>
      </c>
      <c r="D1328" s="4">
        <v>0</v>
      </c>
      <c r="E1328" s="4" t="s">
        <v>8</v>
      </c>
      <c r="F1328" s="4" t="s">
        <v>12</v>
      </c>
      <c r="G1328" s="4" t="s">
        <v>15</v>
      </c>
      <c r="H1328" s="4">
        <v>4307.8624723584762</v>
      </c>
      <c r="I1328" s="4">
        <v>4102.7261641509303</v>
      </c>
      <c r="J1328" s="2">
        <f>VLOOKUP(A1328,Planilha1!A:M,13,0)</f>
        <v>6326.3485212104815</v>
      </c>
      <c r="K1328" s="10">
        <f t="shared" si="40"/>
        <v>2018.4860488520053</v>
      </c>
      <c r="L1328" s="10">
        <f t="shared" si="41"/>
        <v>-205.13630820754588</v>
      </c>
    </row>
    <row r="1329" spans="1:12" x14ac:dyDescent="0.25">
      <c r="A1329" s="2">
        <v>1</v>
      </c>
      <c r="B1329" s="4">
        <v>51</v>
      </c>
      <c r="C1329" s="4">
        <v>30</v>
      </c>
      <c r="D1329" s="4">
        <v>1</v>
      </c>
      <c r="E1329" s="4" t="s">
        <v>11</v>
      </c>
      <c r="F1329" s="4" t="s">
        <v>12</v>
      </c>
      <c r="G1329" s="4" t="s">
        <v>13</v>
      </c>
      <c r="H1329" s="4">
        <v>5999.7566188509063</v>
      </c>
      <c r="I1329" s="4">
        <v>5714.0539227151503</v>
      </c>
      <c r="J1329" s="2">
        <f>VLOOKUP(A1329,Planilha1!A:M,13,0)</f>
        <v>6326.3485212104815</v>
      </c>
      <c r="K1329" s="10">
        <f t="shared" si="40"/>
        <v>326.59190235957522</v>
      </c>
      <c r="L1329" s="10">
        <f t="shared" si="41"/>
        <v>-285.70269613575601</v>
      </c>
    </row>
    <row r="1330" spans="1:12" x14ac:dyDescent="0.25">
      <c r="A1330" s="2">
        <v>0</v>
      </c>
      <c r="B1330" s="4">
        <v>23</v>
      </c>
      <c r="C1330" s="4">
        <v>23.1</v>
      </c>
      <c r="D1330" s="4">
        <v>2</v>
      </c>
      <c r="E1330" s="4" t="s">
        <v>8</v>
      </c>
      <c r="F1330" s="4" t="s">
        <v>12</v>
      </c>
      <c r="G1330" s="4" t="s">
        <v>15</v>
      </c>
      <c r="H1330" s="4">
        <v>1664.7558257186681</v>
      </c>
      <c r="I1330" s="4">
        <v>1958.536265551375</v>
      </c>
      <c r="J1330" s="2">
        <f>VLOOKUP(A1330,Planilha1!A:M,13,0)</f>
        <v>2511.8220480829059</v>
      </c>
      <c r="K1330" s="10">
        <f t="shared" si="40"/>
        <v>847.06622236423777</v>
      </c>
      <c r="L1330" s="10">
        <f t="shared" si="41"/>
        <v>293.78043983270686</v>
      </c>
    </row>
    <row r="1331" spans="1:12" x14ac:dyDescent="0.25">
      <c r="A1331" s="2">
        <v>3</v>
      </c>
      <c r="B1331" s="4">
        <v>52</v>
      </c>
      <c r="C1331" s="4">
        <v>38.6</v>
      </c>
      <c r="D1331" s="4">
        <v>2</v>
      </c>
      <c r="E1331" s="4" t="s">
        <v>11</v>
      </c>
      <c r="F1331" s="4" t="s">
        <v>12</v>
      </c>
      <c r="G1331" s="4" t="s">
        <v>10</v>
      </c>
      <c r="H1331" s="4">
        <v>2796.6926429269611</v>
      </c>
      <c r="I1331" s="4">
        <v>3728.9235239026148</v>
      </c>
      <c r="J1331" s="2">
        <f>VLOOKUP(A1331,Planilha1!A:M,13,0)</f>
        <v>3049.3550806113421</v>
      </c>
      <c r="K1331" s="10">
        <f t="shared" si="40"/>
        <v>252.66243768438108</v>
      </c>
      <c r="L1331" s="10">
        <f t="shared" si="41"/>
        <v>932.23088097565369</v>
      </c>
    </row>
    <row r="1332" spans="1:12" x14ac:dyDescent="0.25">
      <c r="A1332" s="2">
        <v>3</v>
      </c>
      <c r="B1332" s="4">
        <v>57</v>
      </c>
      <c r="C1332" s="4">
        <v>25.7</v>
      </c>
      <c r="D1332" s="4">
        <v>2</v>
      </c>
      <c r="E1332" s="4" t="s">
        <v>8</v>
      </c>
      <c r="F1332" s="4" t="s">
        <v>12</v>
      </c>
      <c r="G1332" s="4" t="s">
        <v>13</v>
      </c>
      <c r="H1332" s="4">
        <v>2244.4172875669965</v>
      </c>
      <c r="I1332" s="4">
        <v>2992.5563834226618</v>
      </c>
      <c r="J1332" s="2">
        <f>VLOOKUP(A1332,Planilha1!A:M,13,0)</f>
        <v>3049.3550806113421</v>
      </c>
      <c r="K1332" s="10">
        <f t="shared" si="40"/>
        <v>804.93779304434565</v>
      </c>
      <c r="L1332" s="10">
        <f t="shared" si="41"/>
        <v>748.13909585566535</v>
      </c>
    </row>
    <row r="1333" spans="1:12" x14ac:dyDescent="0.25">
      <c r="A1333" s="2">
        <v>0</v>
      </c>
      <c r="B1333" s="4">
        <v>23</v>
      </c>
      <c r="C1333" s="4">
        <v>23.1</v>
      </c>
      <c r="D1333" s="4">
        <v>0</v>
      </c>
      <c r="E1333" s="4" t="s">
        <v>8</v>
      </c>
      <c r="F1333" s="4" t="s">
        <v>12</v>
      </c>
      <c r="G1333" s="4" t="s">
        <v>10</v>
      </c>
      <c r="H1333" s="4">
        <v>1393.5244478864311</v>
      </c>
      <c r="I1333" s="4">
        <v>1639.4405269252136</v>
      </c>
      <c r="J1333" s="2">
        <f>VLOOKUP(A1333,Planilha1!A:M,13,0)</f>
        <v>2511.8220480829059</v>
      </c>
      <c r="K1333" s="10">
        <f t="shared" si="40"/>
        <v>1118.2976001964748</v>
      </c>
      <c r="L1333" s="10">
        <f t="shared" si="41"/>
        <v>245.91607903878253</v>
      </c>
    </row>
    <row r="1334" spans="1:12" x14ac:dyDescent="0.25">
      <c r="A1334" s="2">
        <v>3</v>
      </c>
      <c r="B1334" s="4">
        <v>52</v>
      </c>
      <c r="C1334" s="4">
        <v>44.7</v>
      </c>
      <c r="D1334" s="4">
        <v>3</v>
      </c>
      <c r="E1334" s="4" t="s">
        <v>8</v>
      </c>
      <c r="F1334" s="4" t="s">
        <v>12</v>
      </c>
      <c r="G1334" s="4" t="s">
        <v>10</v>
      </c>
      <c r="H1334" s="4">
        <v>2841.6300226514049</v>
      </c>
      <c r="I1334" s="4">
        <v>3788.8400302018736</v>
      </c>
      <c r="J1334" s="2">
        <f>VLOOKUP(A1334,Planilha1!A:M,13,0)</f>
        <v>3049.3550806113421</v>
      </c>
      <c r="K1334" s="10">
        <f t="shared" si="40"/>
        <v>207.7250579599372</v>
      </c>
      <c r="L1334" s="10">
        <f t="shared" si="41"/>
        <v>947.21000755046862</v>
      </c>
    </row>
    <row r="1335" spans="1:12" x14ac:dyDescent="0.25">
      <c r="A1335" s="2">
        <v>3</v>
      </c>
      <c r="B1335" s="4">
        <v>50</v>
      </c>
      <c r="C1335" s="4">
        <v>31</v>
      </c>
      <c r="D1335" s="4">
        <v>3</v>
      </c>
      <c r="E1335" s="4" t="s">
        <v>11</v>
      </c>
      <c r="F1335" s="4" t="s">
        <v>12</v>
      </c>
      <c r="G1335" s="4" t="s">
        <v>14</v>
      </c>
      <c r="H1335" s="4">
        <v>1343.8600558607304</v>
      </c>
      <c r="I1335" s="4">
        <v>1791.8134078143073</v>
      </c>
      <c r="J1335" s="2">
        <f>VLOOKUP(A1335,Planilha1!A:M,13,0)</f>
        <v>3049.3550806113421</v>
      </c>
      <c r="K1335" s="10">
        <f t="shared" si="40"/>
        <v>1705.4950247506117</v>
      </c>
      <c r="L1335" s="10">
        <f t="shared" si="41"/>
        <v>447.95335195357688</v>
      </c>
    </row>
    <row r="1336" spans="1:12" x14ac:dyDescent="0.25">
      <c r="A1336" s="2">
        <v>0</v>
      </c>
      <c r="B1336" s="4">
        <v>18</v>
      </c>
      <c r="C1336" s="4">
        <v>23.5</v>
      </c>
      <c r="D1336" s="4">
        <v>0</v>
      </c>
      <c r="E1336" s="4" t="s">
        <v>8</v>
      </c>
      <c r="F1336" s="4" t="s">
        <v>12</v>
      </c>
      <c r="G1336" s="4" t="s">
        <v>15</v>
      </c>
      <c r="H1336" s="4">
        <v>1392.0681606856315</v>
      </c>
      <c r="I1336" s="4">
        <v>1637.7272478654495</v>
      </c>
      <c r="J1336" s="2">
        <f>VLOOKUP(A1336,Planilha1!A:M,13,0)</f>
        <v>2511.8220480829059</v>
      </c>
      <c r="K1336" s="10">
        <f t="shared" si="40"/>
        <v>1119.7538873972744</v>
      </c>
      <c r="L1336" s="10">
        <f t="shared" si="41"/>
        <v>245.65908717981802</v>
      </c>
    </row>
    <row r="1337" spans="1:12" x14ac:dyDescent="0.25">
      <c r="A1337" s="2">
        <v>0</v>
      </c>
      <c r="B1337" s="4">
        <v>18</v>
      </c>
      <c r="C1337" s="4">
        <v>25.3</v>
      </c>
      <c r="D1337" s="4">
        <v>0</v>
      </c>
      <c r="E1337" s="4" t="s">
        <v>8</v>
      </c>
      <c r="F1337" s="4" t="s">
        <v>12</v>
      </c>
      <c r="G1337" s="4" t="s">
        <v>13</v>
      </c>
      <c r="H1337" s="4">
        <v>2118.9857673413871</v>
      </c>
      <c r="I1337" s="4">
        <v>2492.9244321663386</v>
      </c>
      <c r="J1337" s="2">
        <f>VLOOKUP(A1337,Planilha1!A:M,13,0)</f>
        <v>2511.8220480829059</v>
      </c>
      <c r="K1337" s="10">
        <f t="shared" si="40"/>
        <v>392.83628074151875</v>
      </c>
      <c r="L1337" s="10">
        <f t="shared" si="41"/>
        <v>373.9386648249515</v>
      </c>
    </row>
    <row r="1338" spans="1:12" x14ac:dyDescent="0.25">
      <c r="A1338" s="2">
        <v>0</v>
      </c>
      <c r="B1338" s="4">
        <v>21</v>
      </c>
      <c r="C1338" s="4">
        <v>23.9</v>
      </c>
      <c r="D1338" s="4">
        <v>0</v>
      </c>
      <c r="E1338" s="4" t="s">
        <v>8</v>
      </c>
      <c r="F1338" s="4" t="s">
        <v>12</v>
      </c>
      <c r="G1338" s="4" t="s">
        <v>10</v>
      </c>
      <c r="H1338" s="4">
        <v>1431.3380596560185</v>
      </c>
      <c r="I1338" s="4">
        <v>1683.9271290070815</v>
      </c>
      <c r="J1338" s="2">
        <f>VLOOKUP(A1338,Planilha1!A:M,13,0)</f>
        <v>2511.8220480829059</v>
      </c>
      <c r="K1338" s="10">
        <f t="shared" si="40"/>
        <v>1080.4839884268874</v>
      </c>
      <c r="L1338" s="10">
        <f t="shared" si="41"/>
        <v>252.58906935106302</v>
      </c>
    </row>
    <row r="1339" spans="1:12" x14ac:dyDescent="0.25">
      <c r="A1339" s="2">
        <v>2</v>
      </c>
      <c r="B1339" s="7">
        <v>61</v>
      </c>
      <c r="C1339" s="7">
        <v>29.1</v>
      </c>
      <c r="D1339" s="7">
        <v>0</v>
      </c>
      <c r="E1339" s="7" t="s">
        <v>8</v>
      </c>
      <c r="F1339" s="7" t="s">
        <v>9</v>
      </c>
      <c r="G1339" s="7" t="s">
        <v>14</v>
      </c>
      <c r="H1339" s="7">
        <v>4541.9019946798235</v>
      </c>
      <c r="I1339" s="7">
        <v>4325.6209473141189</v>
      </c>
      <c r="J1339" s="2">
        <f>VLOOKUP(A1339,Planilha1!A:M,13,0)</f>
        <v>3220.2324129890262</v>
      </c>
      <c r="K1339" s="10">
        <f t="shared" si="40"/>
        <v>-1321.6695816907973</v>
      </c>
      <c r="L1339" s="10">
        <f t="shared" si="41"/>
        <v>-216.28104736570458</v>
      </c>
    </row>
  </sheetData>
  <autoFilter ref="A1:L1339" xr:uid="{677C7B79-8DE4-4EB4-8249-A51530270969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E514-8EA2-4268-A3FC-0FD3D6113FFD}">
  <dimension ref="A3:M14"/>
  <sheetViews>
    <sheetView showGridLines="0" workbookViewId="0">
      <selection activeCell="E30" sqref="E30"/>
    </sheetView>
  </sheetViews>
  <sheetFormatPr defaultRowHeight="15" x14ac:dyDescent="0.25"/>
  <cols>
    <col min="1" max="1" width="18.42578125" bestFit="1" customWidth="1"/>
    <col min="2" max="2" width="12.7109375" bestFit="1" customWidth="1"/>
    <col min="3" max="3" width="13.140625" bestFit="1" customWidth="1"/>
    <col min="4" max="4" width="17.28515625" bestFit="1" customWidth="1"/>
    <col min="5" max="5" width="34.85546875" bestFit="1" customWidth="1"/>
    <col min="6" max="6" width="18.5703125" bestFit="1" customWidth="1"/>
    <col min="7" max="7" width="21" bestFit="1" customWidth="1"/>
    <col min="8" max="8" width="18" bestFit="1" customWidth="1"/>
    <col min="9" max="9" width="16" customWidth="1"/>
    <col min="10" max="10" width="12.140625" bestFit="1" customWidth="1"/>
    <col min="12" max="12" width="16.85546875" bestFit="1" customWidth="1"/>
    <col min="13" max="13" width="12.140625" bestFit="1" customWidth="1"/>
  </cols>
  <sheetData>
    <row r="3" spans="1:13" x14ac:dyDescent="0.25">
      <c r="A3" s="20" t="s">
        <v>31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47</v>
      </c>
      <c r="H3" t="s">
        <v>38</v>
      </c>
      <c r="I3" s="22" t="s">
        <v>48</v>
      </c>
      <c r="J3" s="22" t="s">
        <v>49</v>
      </c>
      <c r="K3" s="22" t="s">
        <v>50</v>
      </c>
      <c r="L3" s="29" t="s">
        <v>51</v>
      </c>
      <c r="M3" s="29" t="s">
        <v>52</v>
      </c>
    </row>
    <row r="4" spans="1:13" x14ac:dyDescent="0.25">
      <c r="A4" s="21">
        <v>0</v>
      </c>
      <c r="B4" s="23">
        <v>26.220338983050848</v>
      </c>
      <c r="C4" s="23">
        <v>22.830992736077469</v>
      </c>
      <c r="D4" s="23">
        <v>0.52784503631961255</v>
      </c>
      <c r="E4">
        <v>0</v>
      </c>
      <c r="F4" s="24">
        <v>1883.8665360621794</v>
      </c>
      <c r="G4">
        <v>328.18050051649544</v>
      </c>
      <c r="H4" s="24">
        <v>2216.3135718378571</v>
      </c>
      <c r="I4" s="26">
        <f>G4/F4</f>
        <v>0.17420581247888542</v>
      </c>
      <c r="J4" s="24">
        <f>H4-F4</f>
        <v>332.4470357756777</v>
      </c>
      <c r="K4" s="26">
        <f>J4/H4</f>
        <v>0.14999999999999961</v>
      </c>
      <c r="L4" s="30">
        <v>0.25</v>
      </c>
      <c r="M4" s="24">
        <f>F4/(1-L4)</f>
        <v>2511.8220480829059</v>
      </c>
    </row>
    <row r="5" spans="1:13" x14ac:dyDescent="0.25">
      <c r="A5" s="21">
        <v>1</v>
      </c>
      <c r="B5" s="23">
        <v>52.820224719101127</v>
      </c>
      <c r="C5" s="23">
        <v>31.826123595505589</v>
      </c>
      <c r="D5" s="23">
        <v>0.40168539325842695</v>
      </c>
      <c r="E5">
        <v>0</v>
      </c>
      <c r="F5" s="24">
        <v>4744.7613909078609</v>
      </c>
      <c r="G5">
        <v>705.15912029989886</v>
      </c>
      <c r="H5" s="24">
        <v>4523.180788964215</v>
      </c>
      <c r="I5" s="26">
        <f t="shared" ref="I5:I7" si="0">G5/F5</f>
        <v>0.14861845774819332</v>
      </c>
      <c r="J5" s="27">
        <f t="shared" ref="J5:J7" si="1">H5-F5</f>
        <v>-221.58060194364589</v>
      </c>
      <c r="K5" s="28">
        <f t="shared" ref="K5:K7" si="2">J5/H5</f>
        <v>-4.8987783659734434E-2</v>
      </c>
      <c r="L5" s="30">
        <v>0.25</v>
      </c>
      <c r="M5" s="24">
        <f t="shared" ref="M5:M7" si="3">F5/(1-L5)</f>
        <v>6326.3485212104815</v>
      </c>
    </row>
    <row r="6" spans="1:13" x14ac:dyDescent="0.25">
      <c r="A6" s="21">
        <v>2</v>
      </c>
      <c r="B6" s="23">
        <v>38.514598540145982</v>
      </c>
      <c r="C6" s="23">
        <v>28.054744525547452</v>
      </c>
      <c r="D6" s="23">
        <v>1.1131386861313868</v>
      </c>
      <c r="E6">
        <v>1</v>
      </c>
      <c r="F6" s="24">
        <v>2576.1859303912211</v>
      </c>
      <c r="G6">
        <v>1375.2246670743766</v>
      </c>
      <c r="H6" s="24">
        <v>2832.5492446819567</v>
      </c>
      <c r="I6" s="26">
        <f t="shared" si="0"/>
        <v>0.53382197723032132</v>
      </c>
      <c r="J6" s="24">
        <f t="shared" si="1"/>
        <v>256.36331429073562</v>
      </c>
      <c r="K6" s="26">
        <f t="shared" si="2"/>
        <v>9.0506216183902755E-2</v>
      </c>
      <c r="L6" s="30">
        <v>0.2</v>
      </c>
      <c r="M6" s="24">
        <f t="shared" si="3"/>
        <v>3220.2324129890262</v>
      </c>
    </row>
    <row r="7" spans="1:13" x14ac:dyDescent="0.25">
      <c r="A7" s="21">
        <v>3</v>
      </c>
      <c r="B7" s="23">
        <v>41.603389830508476</v>
      </c>
      <c r="C7" s="23">
        <v>31.691186440677985</v>
      </c>
      <c r="D7" s="23">
        <v>2.7084745762711866</v>
      </c>
      <c r="E7">
        <v>0</v>
      </c>
      <c r="F7" s="24">
        <v>2134.5485564279393</v>
      </c>
      <c r="G7">
        <v>681.92985429664805</v>
      </c>
      <c r="H7" s="24">
        <v>2846.0647419039178</v>
      </c>
      <c r="I7" s="26">
        <f t="shared" si="0"/>
        <v>0.3194726361427091</v>
      </c>
      <c r="J7" s="24">
        <f t="shared" si="1"/>
        <v>711.51618547597855</v>
      </c>
      <c r="K7" s="26">
        <f t="shared" si="2"/>
        <v>0.24999999999999967</v>
      </c>
      <c r="L7" s="30">
        <v>0.3</v>
      </c>
      <c r="M7" s="24">
        <f t="shared" si="3"/>
        <v>3049.3550806113421</v>
      </c>
    </row>
    <row r="8" spans="1:13" x14ac:dyDescent="0.25">
      <c r="A8" s="21" t="s">
        <v>32</v>
      </c>
      <c r="B8">
        <v>39.207025411061288</v>
      </c>
      <c r="C8">
        <v>28.247533632286995</v>
      </c>
      <c r="D8">
        <v>1.0949177877428999</v>
      </c>
      <c r="E8">
        <v>0.20478325859491778</v>
      </c>
      <c r="F8" s="24">
        <v>2842.1066544322248</v>
      </c>
      <c r="G8">
        <v>1423.4306291522926</v>
      </c>
      <c r="H8" s="24">
        <v>3095.1401030977645</v>
      </c>
      <c r="J8" s="24"/>
    </row>
    <row r="11" spans="1:13" x14ac:dyDescent="0.25">
      <c r="A11" s="25" t="s">
        <v>39</v>
      </c>
      <c r="B11" t="s">
        <v>40</v>
      </c>
    </row>
    <row r="12" spans="1:13" x14ac:dyDescent="0.25">
      <c r="A12" s="25" t="s">
        <v>41</v>
      </c>
      <c r="B12" t="s">
        <v>42</v>
      </c>
    </row>
    <row r="13" spans="1:13" x14ac:dyDescent="0.25">
      <c r="A13" s="25" t="s">
        <v>43</v>
      </c>
      <c r="B13" t="s">
        <v>45</v>
      </c>
    </row>
    <row r="14" spans="1:13" x14ac:dyDescent="0.25">
      <c r="A14" s="25" t="s">
        <v>44</v>
      </c>
      <c r="B14" t="s">
        <v>46</v>
      </c>
    </row>
  </sheetData>
  <phoneticPr fontId="19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Clientes</vt:lpstr>
      <vt:lpstr>Clusterização com Python</vt:lpstr>
      <vt:lpstr>Base_Clusterizada</vt:lpstr>
      <vt:lpstr>Quanto Cobrar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José Nivaldo  Silva</cp:lastModifiedBy>
  <dcterms:created xsi:type="dcterms:W3CDTF">2025-08-29T14:34:37Z</dcterms:created>
  <dcterms:modified xsi:type="dcterms:W3CDTF">2026-02-23T20:05:32Z</dcterms:modified>
</cp:coreProperties>
</file>